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Draft Board" sheetId="3" state="visible" r:id="rId3"/>
    <sheet name="Assumptions" sheetId="4" state="visible" r:id="rId4"/>
    <sheet name="NFL" sheetId="5" state="visible" r:id="rId5"/>
    <sheet name="NBA" sheetId="6" state="visible" r:id="rId6"/>
    <sheet name="MLB" sheetId="7" state="visible" r:id="rId7"/>
    <sheet name="NHL" sheetId="8" state="visible" r:id="rId8"/>
    <sheet name="NCAAF" sheetId="9" state="visible" r:id="rId9"/>
    <sheet name="NCAAB" sheetId="10" state="visible" r:id="rId10"/>
    <sheet name="Tennis" sheetId="11" state="visible" r:id="rId11"/>
    <sheet name="Golf" sheetId="12" state="visible" r:id="rId12"/>
    <sheet name="NASCAR" sheetId="13" state="visible" r:id="rId13"/>
    <sheet name="MLS" sheetId="14" state="visible" r:id="rId14"/>
    <sheet name="Actor" sheetId="15" state="visible" r:id="rId15"/>
    <sheet name="Actress" sheetId="16" state="visible" r:id="rId16"/>
    <sheet name="Musician" sheetId="17" state="visible" r:id="rId17"/>
    <sheet name="Country" sheetId="18" state="visible" r:id="rId18"/>
    <sheet name="Stock" sheetId="19" state="visible" r:id="rId19"/>
    <sheet name="QA" sheetId="20" state="visible" r:id="rId20"/>
    <sheet name="Aliases" sheetId="21" state="visible" r:id="rId21"/>
  </sheets>
  <definedNames>
    <definedName name="_xlnm._FilterDatabase" localSheetId="2" hidden="1">'Draft Board'!$A$1:$L$524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(v1,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prices; 2026 MLB/MLS/OWGR/ATP results (league standings).</t>
        </is>
      </c>
    </row>
    <row r="21">
      <c r="A21" t="inlineStr">
        <is>
          <t>MIXED: NCAAB (Aug 4 prices, 10 teams); Tennis/Golf (real current rankings, estimated slam/major probabilities); NASCAR/MLS (2026 prices shrunk to a 2027 prior).</t>
        </is>
      </c>
    </row>
    <row r="22">
      <c r="A22" t="inlineStr">
        <is>
          <t>SOFT: Actor/Actress (Wikipedia billed casts x my box-office/RT comps — cameos not captured; Secret Wars may slip to 2028); Musician baseline (no 2027 album dates found; Grammy part is solid); Country (priors until the Oct 13 IMF WEO); Stock (no price data pulled).</t>
        </is>
      </c>
    </row>
    <row r="23">
      <c r="A23" t="inlineStr">
        <is>
          <t>Reading the Draft Board: Musician Grammy picks and the NBA co-favorites carry the biggest edge; Actor/Actress/Country/Stock boards are flat (little separates #1 from #7), so draft them late unless you hold a specific view.</t>
        </is>
      </c>
    </row>
    <row r="24">
      <c r="A24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</t>
        </is>
      </c>
      <c r="C2" s="3" t="inlineStr">
        <is>
          <t>Oklahoma City Thunder Kalshi 21.5% · EV 20.1</t>
        </is>
      </c>
      <c r="D2" s="3" t="inlineStr">
        <is>
          <t>Los Angeles Dodgers · EV 15.5</t>
        </is>
      </c>
      <c r="E2" s="3" t="inlineStr">
        <is>
          <t>Colorado Avalanche Kalshi 12.5% · EV 15.9</t>
        </is>
      </c>
      <c r="F2" s="3" t="inlineStr">
        <is>
          <t>Georgia Kalshi 15.5% · EV 16.7</t>
        </is>
      </c>
      <c r="G2" s="3" t="inlineStr">
        <is>
          <t>Florida +600 · EV 17.4</t>
        </is>
      </c>
      <c r="H2" s="3" t="inlineStr">
        <is>
          <t>Jannik Sinner +100 AO 2027 (pre-injury) · EV 12.0</t>
        </is>
      </c>
      <c r="I2" s="3" t="inlineStr">
        <is>
          <t>Scottie Scheffler · EV 12.8</t>
        </is>
      </c>
      <c r="J2" s="3" t="inlineStr">
        <is>
          <t>Kyle Larson 2026 title: Kalshi 42.0% · EV 16.5</t>
        </is>
      </c>
      <c r="K2" s="3" t="inlineStr">
        <is>
          <t>Nashville SC 2026 Cup: Kalshi 18.0% · EV 13.5</t>
        </is>
      </c>
      <c r="L2" s="3" t="inlineStr">
        <is>
          <t>Ryan Gosling · EV 9.9</t>
        </is>
      </c>
      <c r="M2" s="3" t="inlineStr">
        <is>
          <t>Kristen Bell · EV 9.8</t>
        </is>
      </c>
      <c r="N2" s="3" t="inlineStr">
        <is>
          <t>Ella Langley Grammy EV 13.0 · EV 21.2</t>
        </is>
      </c>
      <c r="O2" s="3" t="inlineStr">
        <is>
          <t>Rwanda · EV 8.7</t>
        </is>
      </c>
      <c r="P2" s="3" t="inlineStr">
        <is>
          <t>RKLB (Long) · EV 7.3</t>
        </is>
      </c>
    </row>
    <row r="3">
      <c r="A3" t="inlineStr">
        <is>
          <t>#2</t>
        </is>
      </c>
      <c r="B3" s="3" t="inlineStr">
        <is>
          <t>Buffalo Bills Kalshi 10.5% · EV 14.6</t>
        </is>
      </c>
      <c r="C3" s="3" t="inlineStr">
        <is>
          <t>San Antonio Spurs Kalshi 21.5% · EV 19.3</t>
        </is>
      </c>
      <c r="D3" s="3" t="inlineStr">
        <is>
          <t>Milwaukee Brewers · EV 14.2</t>
        </is>
      </c>
      <c r="E3" s="3" t="inlineStr">
        <is>
          <t>Carolina Hurricanes Kalshi 9.5% · EV 15.4</t>
        </is>
      </c>
      <c r="F3" s="3" t="inlineStr">
        <is>
          <t>Texas Kalshi 13.5% · EV 16.2</t>
        </is>
      </c>
      <c r="G3" s="3" t="inlineStr">
        <is>
          <t>Duke +600 · EV 17.2</t>
        </is>
      </c>
      <c r="H3" s="3" t="inlineStr">
        <is>
          <t>Elena Rybakina +300 AO 2027 · EV 11.3</t>
        </is>
      </c>
      <c r="I3" s="3" t="inlineStr">
        <is>
          <t>Rory McIlroy · EV 12.1</t>
        </is>
      </c>
      <c r="J3" s="3" t="inlineStr">
        <is>
          <t>Denny Hamlin 2026 title: Kalshi 28.0% · EV 15.6</t>
        </is>
      </c>
      <c r="K3" s="3" t="inlineStr">
        <is>
          <t>Vancouver Whitecaps FC 2026 Cup: Kalshi 23.5% · EV 12.5</t>
        </is>
      </c>
      <c r="L3" s="3" t="inlineStr">
        <is>
          <t>Aaron Pierre · EV 9.9</t>
        </is>
      </c>
      <c r="M3" s="3" t="inlineStr">
        <is>
          <t>Hailee Steinfeld · EV 7.6</t>
        </is>
      </c>
      <c r="N3" s="3" t="inlineStr">
        <is>
          <t>Olivia Rodrigo Grammy EV 10.5 · EV 17.8</t>
        </is>
      </c>
      <c r="O3" s="3" t="inlineStr">
        <is>
          <t>India · EV 7.9</t>
        </is>
      </c>
      <c r="P3" s="3" t="inlineStr">
        <is>
          <t>AMD (Long) · EV 7.3</t>
        </is>
      </c>
    </row>
    <row r="4">
      <c r="A4" t="inlineStr">
        <is>
          <t>#3</t>
        </is>
      </c>
      <c r="B4" s="3" t="inlineStr">
        <is>
          <t>San Francisco 49ers Kalshi 9.5% · EV 14.2</t>
        </is>
      </c>
      <c r="C4" s="3" t="inlineStr">
        <is>
          <t>New York Knicks Kalshi 8.5% · EV 13.6</t>
        </is>
      </c>
      <c r="D4" s="3" t="inlineStr">
        <is>
          <t>New York Yankees · EV 12.4</t>
        </is>
      </c>
      <c r="E4" s="3" t="inlineStr">
        <is>
          <t>Florida Panthers Kalshi 10.5% · EV 15.4</t>
        </is>
      </c>
      <c r="F4" s="3" t="inlineStr">
        <is>
          <t>Ohio State Kalshi 16.5% · EV 15.9</t>
        </is>
      </c>
      <c r="G4" s="3" t="inlineStr">
        <is>
          <t>UConn +1300 · EV 13.1</t>
        </is>
      </c>
      <c r="H4" s="3" t="inlineStr">
        <is>
          <t>Aryna Sabalenka +175 to +185 AO 2027 · EV 11.0</t>
        </is>
      </c>
      <c r="I4" s="3" t="inlineStr">
        <is>
          <t>Matt Fitzpatrick · EV 11.2</t>
        </is>
      </c>
      <c r="J4" s="3" t="inlineStr">
        <is>
          <t>Christopher Bell 2026 title: Kalshi 10.5% · EV 11.1</t>
        </is>
      </c>
      <c r="K4" s="3" t="inlineStr">
        <is>
          <t>Inter Miami CF 2026 Cup: Kalshi 16.5% · EV 10.5</t>
        </is>
      </c>
      <c r="L4" s="3" t="inlineStr">
        <is>
          <t>Skyler Gisondo · EV 9.6</t>
        </is>
      </c>
      <c r="M4" s="3" t="inlineStr">
        <is>
          <t>Lauren Vélez · EV 7.5</t>
        </is>
      </c>
      <c r="N4" s="3" t="inlineStr">
        <is>
          <t>Olivia Dean Grammy EV 10.0 · EV 16.9</t>
        </is>
      </c>
      <c r="O4" s="3" t="inlineStr">
        <is>
          <t>Ethiopia · EV 7.5</t>
        </is>
      </c>
      <c r="P4" s="3" t="inlineStr">
        <is>
          <t>COIN (Long) · EV 7.1</t>
        </is>
      </c>
    </row>
    <row r="5">
      <c r="A5" t="inlineStr">
        <is>
          <t>#4</t>
        </is>
      </c>
      <c r="B5" s="4" t="inlineStr">
        <is>
          <t>Los Angeles Rams Kalshi 11.5% · EV 14.1</t>
        </is>
      </c>
      <c r="C5" s="4" t="inlineStr">
        <is>
          <t>Philadelphia 76ers Kalshi 12.5% · EV 13.4</t>
        </is>
      </c>
      <c r="D5" s="4" t="inlineStr">
        <is>
          <t>Tampa Bay Rays · EV 12.2</t>
        </is>
      </c>
      <c r="E5" s="4" t="inlineStr">
        <is>
          <t>Edmonton Oilers Kalshi 8.5% · EV 13.6</t>
        </is>
      </c>
      <c r="F5" s="4" t="inlineStr">
        <is>
          <t>Notre Dame Kalshi 11.5% · EV 15.2</t>
        </is>
      </c>
      <c r="G5" s="4" t="inlineStr">
        <is>
          <t>Illinois +1300 · EV 13.1</t>
        </is>
      </c>
      <c r="H5" s="4" t="inlineStr">
        <is>
          <t>Carlos Alcaraz +150 AO 2027 · EV 10.8</t>
        </is>
      </c>
      <c r="I5" s="4" t="inlineStr">
        <is>
          <t>Cameron Young · EV 10.4</t>
        </is>
      </c>
      <c r="J5" s="4" t="inlineStr">
        <is>
          <t>Joey Logano 2026 title: Kalshi 5.5% · EV 9.0</t>
        </is>
      </c>
      <c r="K5" s="4" t="inlineStr">
        <is>
          <t>St. Louis City SC 2026 Cup: Kalshi 5.5% · EV 8.8</t>
        </is>
      </c>
      <c r="L5" s="4" t="inlineStr">
        <is>
          <t>Josh Gad · EV 6.9</t>
        </is>
      </c>
      <c r="M5" s="4" t="inlineStr">
        <is>
          <t>Kimiko Glenn · EV 7.4</t>
        </is>
      </c>
      <c r="N5" s="4" t="inlineStr">
        <is>
          <t>Taylor Swift Grammy EV 7.7 · EV 16.6</t>
        </is>
      </c>
      <c r="O5" s="4" t="inlineStr">
        <is>
          <t>Guinea · EV 7.3</t>
        </is>
      </c>
      <c r="P5" s="4" t="inlineStr">
        <is>
          <t>HOOD (Long) · EV 7.1</t>
        </is>
      </c>
    </row>
    <row r="6">
      <c r="A6" t="inlineStr">
        <is>
          <t>#5</t>
        </is>
      </c>
      <c r="B6" s="4" t="inlineStr">
        <is>
          <t>Baltimore Ravens Kalshi 7.5% · EV 13.3</t>
        </is>
      </c>
      <c r="C6" s="4" t="inlineStr">
        <is>
          <t>Boston Celtics Kalshi 4.5% · EV 11.2</t>
        </is>
      </c>
      <c r="D6" s="4" t="inlineStr">
        <is>
          <t>Atlanta Braves · EV 12.0</t>
        </is>
      </c>
      <c r="E6" s="4" t="inlineStr">
        <is>
          <t>Minnesota Wild Kalshi 6.5% · EV 11.5</t>
        </is>
      </c>
      <c r="F6" s="4" t="inlineStr">
        <is>
          <t>Miami (FL) Kalshi 10.5% · EV 14.4</t>
        </is>
      </c>
      <c r="G6" s="4" t="inlineStr">
        <is>
          <t>Michigan +1600 · EV 11.7</t>
        </is>
      </c>
      <c r="H6" s="4" t="inlineStr">
        <is>
          <t>Alexander Zverev +700 AO 2027 · EV 10.5</t>
        </is>
      </c>
      <c r="I6" s="4" t="inlineStr">
        <is>
          <t>Wyndham Clark · EV 9.8</t>
        </is>
      </c>
      <c r="J6" s="4" t="inlineStr">
        <is>
          <t>Ryan Blaney 2026 title: Kalshi 5.5% · EV 8.9</t>
        </is>
      </c>
      <c r="K6" s="4" t="inlineStr">
        <is>
          <t>FC Dallas 2026 Cup: Kalshi 4.5% · EV 8.7</t>
        </is>
      </c>
      <c r="L6" s="4" t="inlineStr">
        <is>
          <t>Brian Tyree Henry · EV 6.9</t>
        </is>
      </c>
      <c r="M6" s="4" t="inlineStr">
        <is>
          <t>Adria Arjona · EV 7.3</t>
        </is>
      </c>
      <c r="N6" s="4" t="inlineStr">
        <is>
          <t>Bruno Mars Grammy EV 7.3 · EV 14.7</t>
        </is>
      </c>
      <c r="O6" s="4" t="inlineStr">
        <is>
          <t>Niger · EV 6.9</t>
        </is>
      </c>
      <c r="P6" s="4" t="inlineStr">
        <is>
          <t>OKLO (Long) · EV 7.0</t>
        </is>
      </c>
    </row>
    <row r="7">
      <c r="A7" t="inlineStr">
        <is>
          <t>#6</t>
        </is>
      </c>
      <c r="B7" s="4" t="inlineStr">
        <is>
          <t>Seattle Seahawks Kalshi 8.5% · EV 12.4</t>
        </is>
      </c>
      <c r="C7" s="4" t="inlineStr">
        <is>
          <t>Minnesota Timberwolves Kalshi 6.5% · EV 10.3</t>
        </is>
      </c>
      <c r="D7" s="4" t="inlineStr">
        <is>
          <t>San Diego Padres · EV 10.5</t>
        </is>
      </c>
      <c r="E7" s="4" t="inlineStr">
        <is>
          <t>Dallas Stars Kalshi 5.5% · EV 11.0</t>
        </is>
      </c>
      <c r="F7" s="4" t="inlineStr">
        <is>
          <t>Alabama Kalshi 9.5% · EV 12.9</t>
        </is>
      </c>
      <c r="G7" s="4" t="inlineStr">
        <is>
          <t>Michigan State +2200 · EV 10.2</t>
        </is>
      </c>
      <c r="H7" s="4" t="inlineStr">
        <is>
          <t>Jessica Pegula · EV 7.8</t>
        </is>
      </c>
      <c r="I7" s="4" t="inlineStr">
        <is>
          <t>Russell Henley · EV 9.1</t>
        </is>
      </c>
      <c r="J7" s="4" t="inlineStr">
        <is>
          <t>Chase Briscoe 2026 title: Kalshi 3.5% · EV 8.0</t>
        </is>
      </c>
      <c r="K7" s="4" t="inlineStr">
        <is>
          <t>New England Revolution 2026 Cup: Kalshi 3.5% · EV 8.4</t>
        </is>
      </c>
      <c r="L7" s="4" t="inlineStr">
        <is>
          <t>Matt Berry · EV 6.6</t>
        </is>
      </c>
      <c r="M7" s="4" t="inlineStr">
        <is>
          <t>Amy Adams · EV 6.9</t>
        </is>
      </c>
      <c r="N7" s="4" t="inlineStr">
        <is>
          <t>Harry Styles Grammy EV 3.7 · EV 10.7</t>
        </is>
      </c>
      <c r="O7" s="4" t="inlineStr">
        <is>
          <t>South Sudan · EV 6.9</t>
        </is>
      </c>
      <c r="P7" s="4" t="inlineStr">
        <is>
          <t>NVDA (Long) · EV 7.0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Chicago Cubs · EV 10.2</t>
        </is>
      </c>
      <c r="E8" s="4" t="inlineStr">
        <is>
          <t>Vegas Golden Knights Kalshi 7.5% · EV 10.9</t>
        </is>
      </c>
      <c r="F8" s="4" t="inlineStr">
        <is>
          <t>Indiana Kalshi 7.5% · EV 11.9</t>
        </is>
      </c>
      <c r="G8" s="4" t="inlineStr">
        <is>
          <t>Houston +2500 · EV 9.9</t>
        </is>
      </c>
      <c r="H8" s="4" t="inlineStr">
        <is>
          <t>Ben Shelton · EV 7.5</t>
        </is>
      </c>
      <c r="I8" s="4" t="inlineStr">
        <is>
          <t>Tommy Fleetwood · EV 8.5</t>
        </is>
      </c>
      <c r="J8" s="4" t="inlineStr">
        <is>
          <t>Tyler Reddick 2026 title: Kalshi 2.0% · EV 7.3</t>
        </is>
      </c>
      <c r="K8" s="4" t="inlineStr">
        <is>
          <t>San Jose Earthquakes 2026 Cup: Kalshi 2.5% · EV 8.0</t>
        </is>
      </c>
      <c r="L8" s="4" t="inlineStr">
        <is>
          <t>Shameik Moore · EV 6.3</t>
        </is>
      </c>
      <c r="M8" s="4" t="inlineStr">
        <is>
          <t>Mia Goth · EV 6.8</t>
        </is>
      </c>
      <c r="N8" s="4" t="inlineStr">
        <is>
          <t>Drake Grammy EV 1.4 · EV 10.3</t>
        </is>
      </c>
      <c r="O8" s="4" t="inlineStr">
        <is>
          <t>Senegal · EV 6.8</t>
        </is>
      </c>
      <c r="P8" s="4" t="inlineStr">
        <is>
          <t>AVGO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</t>
        </is>
      </c>
      <c r="D9" s="5" t="inlineStr">
        <is>
          <t>Philadelphia Phillies · EV 10.0</t>
        </is>
      </c>
      <c r="E9" s="5" t="inlineStr">
        <is>
          <t>Tampa Bay Lightning Kalshi 5.5% · EV 10.1</t>
        </is>
      </c>
      <c r="F9" s="5" t="inlineStr">
        <is>
          <t>Oregon Kalshi 4.5% · EV 8.2</t>
        </is>
      </c>
      <c r="G9" s="5" t="inlineStr">
        <is>
          <t>Arizona +2500 · EV 9.9</t>
        </is>
      </c>
      <c r="H9" s="5" t="inlineStr">
        <is>
          <t>Coco Gauff · EV 7.5</t>
        </is>
      </c>
      <c r="I9" s="5" t="inlineStr">
        <is>
          <t>Chris Gotterup · EV 7.9</t>
        </is>
      </c>
      <c r="J9" s="5" t="inlineStr">
        <is>
          <t>Chase Elliott 2026 title: Kalshi 1.0% · EV 6.8</t>
        </is>
      </c>
      <c r="K9" s="5" t="inlineStr">
        <is>
          <t>Houston Dynamo FC 2026 Cup: Kalshi 3.5% · EV 7.9</t>
        </is>
      </c>
      <c r="L9" s="5" t="inlineStr">
        <is>
          <t>Jake Johnson · EV 6.3</t>
        </is>
      </c>
      <c r="M9" s="5" t="inlineStr">
        <is>
          <t>Rachel Brosnahan · EV 6.4</t>
        </is>
      </c>
      <c r="N9" s="5" t="inlineStr">
        <is>
          <t>Rosalía Grammy EV 7.0 · EV 10.1</t>
        </is>
      </c>
      <c r="O9" s="5" t="inlineStr">
        <is>
          <t>Bhutan · EV 6.7</t>
        </is>
      </c>
      <c r="P9" s="5" t="inlineStr">
        <is>
          <t>CRWV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9.4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6.6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William Byron 2026 title: Kalshi 0.5% · EV 6.6</t>
        </is>
      </c>
      <c r="K10" s="5" t="inlineStr">
        <is>
          <t>Chicago Fire FC 2026 Cup: Kalshi 4.5% · EV 7.8</t>
        </is>
      </c>
      <c r="L10" s="5" t="inlineStr">
        <is>
          <t>Jason Schwartzman · EV 6.2</t>
        </is>
      </c>
      <c r="M10" s="5" t="inlineStr">
        <is>
          <t>Isabela Merced · EV 6.3</t>
        </is>
      </c>
      <c r="N10" s="5" t="inlineStr">
        <is>
          <t>BTS Grammy EV 2.6 · EV 9.5</t>
        </is>
      </c>
      <c r="O10" s="5" t="inlineStr">
        <is>
          <t>Uganda · EV 6.7</t>
        </is>
      </c>
      <c r="P10" s="5" t="inlineStr">
        <is>
          <t>TSLA (Long) · EV 6.9</t>
        </is>
      </c>
    </row>
    <row r="11">
      <c r="A11" t="inlineStr">
        <is>
          <t>#10</t>
        </is>
      </c>
      <c r="B11" s="5" t="inlineStr">
        <is>
          <t>Denver Broncos Kalshi 3.5% · EV 8.4</t>
        </is>
      </c>
      <c r="C11" s="5" t="inlineStr">
        <is>
          <t>Los Angeles Lakers Kalshi 3.5% · EV 7.2</t>
        </is>
      </c>
      <c r="D11" s="5" t="inlineStr">
        <is>
          <t>Arizona Diamondbacks · EV 8.2</t>
        </is>
      </c>
      <c r="E11" s="5" t="inlineStr">
        <is>
          <t>San Jose Sharks Kalshi 4.5% · EV 7.9</t>
        </is>
      </c>
      <c r="F11" s="5" t="inlineStr">
        <is>
          <t>Ole Miss Kalshi 2.5% · EV 6.8</t>
        </is>
      </c>
      <c r="G11" s="5" t="inlineStr">
        <is>
          <t>Kentucky · EV 6.1</t>
        </is>
      </c>
      <c r="H11" s="5" t="inlineStr">
        <is>
          <t>Felix Auger-Aliassime · EV 6.4</t>
        </is>
      </c>
      <c r="I11" s="5" t="inlineStr">
        <is>
          <t>Xander Schauffele · EV 6.6</t>
        </is>
      </c>
      <c r="J11" s="5" t="inlineStr">
        <is>
          <t>Shane van Gisbergen 2026 title: Kalshi 0.5% · EV 6.6</t>
        </is>
      </c>
      <c r="K11" s="5" t="inlineStr">
        <is>
          <t>Los Angeles FC 2026 Cup: Kalshi 5.5% · EV 7.7</t>
        </is>
      </c>
      <c r="L11" s="5" t="inlineStr">
        <is>
          <t>John Mulaney · EV 6.2</t>
        </is>
      </c>
      <c r="M11" s="5" t="inlineStr">
        <is>
          <t>Sara Sampaio · EV 6.3</t>
        </is>
      </c>
      <c r="N11" s="5" t="inlineStr">
        <is>
          <t>Raye Grammy EV 5.8 · EV 9.4</t>
        </is>
      </c>
      <c r="O11" s="5" t="inlineStr">
        <is>
          <t>Tanzania · EV 6.7</t>
        </is>
      </c>
      <c r="P11" s="5" t="inlineStr">
        <is>
          <t>MSTR (Long) · EV 6.9</t>
        </is>
      </c>
    </row>
    <row r="12">
      <c r="A12" t="inlineStr">
        <is>
          <t>#11</t>
        </is>
      </c>
      <c r="B12" s="5" t="inlineStr">
        <is>
          <t>Philadelphia Eagles Kalshi 2.5% · EV 7.7</t>
        </is>
      </c>
      <c r="C12" s="5" t="inlineStr">
        <is>
          <t>Cleveland Cavaliers Kalshi 2.5% · EV 7.2</t>
        </is>
      </c>
      <c r="D12" s="5" t="inlineStr">
        <is>
          <t>Cleveland Guardians · EV 7.6</t>
        </is>
      </c>
      <c r="E12" s="5" t="inlineStr">
        <is>
          <t>Washington Capitals Kalshi 5.5% · EV 7.8</t>
        </is>
      </c>
      <c r="F12" s="5" t="inlineStr">
        <is>
          <t>BYU +4000 · EV 6.4</t>
        </is>
      </c>
      <c r="G12" s="5" t="inlineStr">
        <is>
          <t>Purdue +6500 · EV 4.8</t>
        </is>
      </c>
      <c r="H12" s="5" t="inlineStr">
        <is>
          <t>Daniil Medvedev · EV 5.7</t>
        </is>
      </c>
      <c r="I12" s="5" t="inlineStr">
        <is>
          <t>Collin Morikawa · EV 6.1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7.5</t>
        </is>
      </c>
      <c r="L12" s="5" t="inlineStr">
        <is>
          <t>Karan Soni · EV 6.2</t>
        </is>
      </c>
      <c r="M12" s="5" t="inlineStr">
        <is>
          <t>María Gabriela de Faría · EV 6.3</t>
        </is>
      </c>
      <c r="N12" s="5" t="inlineStr">
        <is>
          <t>Morgan Wallen Grammy EV 0.8 · EV 8.2</t>
        </is>
      </c>
      <c r="O12" s="5" t="inlineStr">
        <is>
          <t>Côte d'Ivoire · EV 6.7</t>
        </is>
      </c>
      <c r="P12" s="5" t="inlineStr">
        <is>
          <t>SMCI (Long) · EV 6.8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</t>
        </is>
      </c>
      <c r="D13" s="5" t="inlineStr">
        <is>
          <t>Pittsburgh Pirates · EV 7.4</t>
        </is>
      </c>
      <c r="E13" s="5" t="inlineStr">
        <is>
          <t>New Jersey Devils Kalshi 3.5% · EV 7.5</t>
        </is>
      </c>
      <c r="F13" s="5" t="inlineStr">
        <is>
          <t>Texas Tech Kalshi 1.5% · EV 6.1</t>
        </is>
      </c>
      <c r="G13" s="5" t="inlineStr">
        <is>
          <t>Louisville · EV 4.5</t>
        </is>
      </c>
      <c r="H13" s="5" t="inlineStr">
        <is>
          <t>Linda Noskova · EV 5.6</t>
        </is>
      </c>
      <c r="I13" s="5" t="inlineStr">
        <is>
          <t>J.J. Spaun · EV 5.6</t>
        </is>
      </c>
      <c r="J13" s="5" t="inlineStr">
        <is>
          <t>Ty Gibbs 2026 title: Kalshi 0.5% · EV 6.5</t>
        </is>
      </c>
      <c r="K13" s="5" t="inlineStr">
        <is>
          <t>Philadelphia Union 2026 Cup: Kalshi 3.5% · EV 6.9</t>
        </is>
      </c>
      <c r="L13" s="5" t="inlineStr">
        <is>
          <t>Daniel Kaluuya · EV 6.2</t>
        </is>
      </c>
      <c r="M13" s="5" t="inlineStr">
        <is>
          <t>Milly Alcock · EV 6.3</t>
        </is>
      </c>
      <c r="N13" s="5" t="inlineStr">
        <is>
          <t>Sabrina Carpenter Grammy EV 1.0 · EV 7.4</t>
        </is>
      </c>
      <c r="O13" s="5" t="inlineStr">
        <is>
          <t>Vietnam · EV 6.7</t>
        </is>
      </c>
      <c r="P13" s="5" t="inlineStr">
        <is>
          <t>IONQ (Long) · EV 6.8</t>
        </is>
      </c>
    </row>
    <row r="14">
      <c r="A14" t="inlineStr">
        <is>
          <t>#13</t>
        </is>
      </c>
      <c r="B14" s="5" t="inlineStr">
        <is>
          <t>New England Patriots Kalshi 2.5% · EV 6.7</t>
        </is>
      </c>
      <c r="C14" s="5" t="inlineStr">
        <is>
          <t>Toronto Raptors Kalshi 2.5% · EV 6.0</t>
        </is>
      </c>
      <c r="D14" s="5" t="inlineStr">
        <is>
          <t>Chicago White Sox · EV 7.1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4.5</t>
        </is>
      </c>
      <c r="H14" s="5" t="inlineStr">
        <is>
          <t>Flavio Cobolli · EV 4.9</t>
        </is>
      </c>
      <c r="I14" s="5" t="inlineStr">
        <is>
          <t>Viktor Hovland · EV 5.1</t>
        </is>
      </c>
      <c r="J14" s="5" t="inlineStr">
        <is>
          <t>Alex Bowman 2026 title: Kalshi 0.5% · EV 6.5</t>
        </is>
      </c>
      <c r="K14" s="5" t="inlineStr">
        <is>
          <t>Seattle Sounders FC 2026 Cup: Kalshi 1.5% · EV 6.4</t>
        </is>
      </c>
      <c r="L14" s="5" t="inlineStr">
        <is>
          <t>Oscar Isaac · EV 6.2</t>
        </is>
      </c>
      <c r="M14" s="5" t="inlineStr">
        <is>
          <t>Idina Menzel · EV 6.3</t>
        </is>
      </c>
      <c r="N14" s="5" t="inlineStr">
        <is>
          <t>Ariana Grande Grammy EV 2.6 · EV 7.4</t>
        </is>
      </c>
      <c r="O14" s="5" t="inlineStr">
        <is>
          <t>Libya · EV 6.4</t>
        </is>
      </c>
      <c r="P14" s="5" t="inlineStr">
        <is>
          <t>UNH (Long) · EV 6.8</t>
        </is>
      </c>
    </row>
    <row r="15">
      <c r="A15" t="inlineStr">
        <is>
          <t>#14</t>
        </is>
      </c>
      <c r="B15" s="6" t="inlineStr">
        <is>
          <t>Detroit Lions +3500 · EV 6.4</t>
        </is>
      </c>
      <c r="C15" s="6" t="inlineStr">
        <is>
          <t>Indiana Pacers Kalshi 1.5% · EV 4.8</t>
        </is>
      </c>
      <c r="D15" s="6" t="inlineStr">
        <is>
          <t>Baltimore Orioles · EV 6.9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Texas Tech · EV 4.5</t>
        </is>
      </c>
      <c r="H15" s="6" t="inlineStr">
        <is>
          <t>Novak Djokovic +1600 AO 2027 · EV 4.8</t>
        </is>
      </c>
      <c r="I15" s="6" t="inlineStr">
        <is>
          <t>Si Woo Kim · EV 4.7</t>
        </is>
      </c>
      <c r="J15" s="6" t="inlineStr">
        <is>
          <t>AJ Allmendinger 2026 title: Kalshi 0.5% · EV 6.5</t>
        </is>
      </c>
      <c r="K15" s="6" t="inlineStr">
        <is>
          <t>LA Galaxy 2026 Cup: Kalshi 1.5% · EV 6.1</t>
        </is>
      </c>
      <c r="L15" s="6" t="inlineStr">
        <is>
          <t>Nicolas Cage · EV 6.2</t>
        </is>
      </c>
      <c r="M15" s="6" t="inlineStr">
        <is>
          <t>Zendaya · EV 5.4</t>
        </is>
      </c>
      <c r="N15" s="6" t="inlineStr">
        <is>
          <t>Bad Bunny Grammy EV 1.1 · EV 6.3</t>
        </is>
      </c>
      <c r="O15" s="6" t="inlineStr">
        <is>
          <t>Syria · EV 6.4</t>
        </is>
      </c>
      <c r="P15" s="6" t="inlineStr">
        <is>
          <t>CRCL (Long) · EV 6.8</t>
        </is>
      </c>
    </row>
    <row r="16">
      <c r="A16" t="inlineStr">
        <is>
          <t>#15</t>
        </is>
      </c>
      <c r="B16" s="6" t="inlineStr">
        <is>
          <t>Green Bay Packers +3500 · EV 6.3</t>
        </is>
      </c>
      <c r="C16" s="6" t="inlineStr">
        <is>
          <t>Orlando Magic Kalshi 1.5% · EV 4.3</t>
        </is>
      </c>
      <c r="D16" s="6" t="inlineStr">
        <is>
          <t>Toronto Blue Jays · EV 6.9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Alabama · EV 4.5</t>
        </is>
      </c>
      <c r="H16" s="6" t="inlineStr">
        <is>
          <t>Iga Swiatek +500 AO 2027 · EV 4.7</t>
        </is>
      </c>
      <c r="I16" s="6" t="inlineStr">
        <is>
          <t>Jon Rahm · EV 4.3</t>
        </is>
      </c>
      <c r="J16" s="6" t="inlineStr">
        <is>
          <t>Riley Herbst 2026 title: Kalshi 0.5% · EV 6.5</t>
        </is>
      </c>
      <c r="K16" s="6" t="inlineStr">
        <is>
          <t>Colorado Rapids 2026 Cup: Kalshi 0.5% · EV 5.9</t>
        </is>
      </c>
      <c r="L16" s="6" t="inlineStr">
        <is>
          <t>Mahershala Ali · EV 6.2</t>
        </is>
      </c>
      <c r="M16" s="6" t="inlineStr">
        <is>
          <t>Cameron Diaz · EV 5.1</t>
        </is>
      </c>
      <c r="N16" s="6" t="inlineStr">
        <is>
          <t>Phoebe Bridgers Grammy EV 3.9 · EV 6.2</t>
        </is>
      </c>
      <c r="O16" s="6" t="inlineStr">
        <is>
          <t>Gaza / West Bank · EV 6.0</t>
        </is>
      </c>
      <c r="P16" s="6" t="inlineStr">
        <is>
          <t>MU (Long) · EV 6.7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0" customWidth="1" min="4" max="4"/>
    <col width="9" customWidth="1" min="5" max="5"/>
    <col width="12" customWidth="1" min="6" max="6"/>
    <col width="9" customWidth="1" min="7" max="7"/>
    <col width="22" customWidth="1" min="8" max="8"/>
    <col width="40" customWidth="1" min="9" max="9"/>
    <col width="6" customWidth="1" min="10" max="10"/>
    <col width="40" customWidth="1" min="11" max="11"/>
    <col width="11" customWidth="1" min="12" max="12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E[total]</t>
        </is>
      </c>
      <c r="E1" s="2" t="inlineStr">
        <is>
          <t>VOR</t>
        </is>
      </c>
      <c r="F1" s="2" t="inlineStr">
        <is>
          <t>Risk-adj VOR</t>
        </is>
      </c>
      <c r="G1" s="2" t="inlineStr">
        <is>
          <t>Tier in category</t>
        </is>
      </c>
      <c r="H1" s="2" t="inlineStr">
        <is>
          <t>Odds / price</t>
        </is>
      </c>
      <c r="I1" s="2" t="inlineStr">
        <is>
          <t>Detail</t>
        </is>
      </c>
      <c r="J1" s="2" t="inlineStr">
        <is>
          <t>Conf</t>
        </is>
      </c>
      <c r="K1" s="2" t="inlineStr">
        <is>
          <t>Source</t>
        </is>
      </c>
      <c r="L1" s="2" t="inlineStr">
        <is>
          <t>As of</t>
        </is>
      </c>
    </row>
    <row r="2">
      <c r="A2" t="n">
        <v>1</v>
      </c>
      <c r="B2" t="inlineStr">
        <is>
          <t>NBA</t>
        </is>
      </c>
      <c r="C2" s="7" t="inlineStr">
        <is>
          <t>Oklahoma City Thunder</t>
        </is>
      </c>
      <c r="D2">
        <f>'NBA'!M5</f>
        <v/>
      </c>
      <c r="E2">
        <f>'NBA'!N5</f>
        <v/>
      </c>
      <c r="F2">
        <f>'NBA'!O5</f>
        <v/>
      </c>
      <c r="G2" t="n">
        <v>1</v>
      </c>
      <c r="H2" t="inlineStr">
        <is>
          <t>Kalshi 21.5%</t>
        </is>
      </c>
      <c r="I2" t="inlineStr">
        <is>
          <t>West; win total 62.5</t>
        </is>
      </c>
      <c r="J2" t="inlineStr">
        <is>
          <t>A</t>
        </is>
      </c>
      <c r="K2" t="inlineStr">
        <is>
          <t>KXNBA-27 exchange mid-price, pulled 2026-10-08; p(final)=KXNBAEAST/KXNBAWEST-27 Kalshi mid</t>
        </is>
      </c>
      <c r="L2" t="inlineStr">
        <is>
          <t>2026-10-08</t>
        </is>
      </c>
    </row>
    <row r="3">
      <c r="A3" t="n">
        <v>2</v>
      </c>
      <c r="B3" t="inlineStr">
        <is>
          <t>Musician</t>
        </is>
      </c>
      <c r="C3" s="7" t="inlineStr">
        <is>
          <t>Ella Langley</t>
        </is>
      </c>
      <c r="D3">
        <f>'Musician'!M5</f>
        <v/>
      </c>
      <c r="E3">
        <f>'Musician'!N5</f>
        <v/>
      </c>
      <c r="F3">
        <f>'Musician'!O5</f>
        <v/>
      </c>
      <c r="G3" t="n">
        <v>1</v>
      </c>
      <c r="H3" t="inlineStr">
        <is>
          <t>Grammy EV 13.0</t>
        </is>
      </c>
      <c r="I3" t="inlineStr">
        <is>
          <t>'Choosin' Texas' 24 wks #1 in 2026 (record run); top-10 tail into 2027; 'Dandelion' album</t>
        </is>
      </c>
      <c r="J3" t="inlineStr">
        <is>
          <t>C</t>
        </is>
      </c>
      <c r="K3" t="inlineStr">
        <is>
          <t>2027 Hot 100 baseline = my estimate; Grammy: Kalshi KXGRAM*-69 prices (A) + estimates for other categories (C)</t>
        </is>
      </c>
      <c r="L3" t="inlineStr">
        <is>
          <t>2026-10-08</t>
        </is>
      </c>
    </row>
    <row r="4">
      <c r="A4" t="n">
        <v>3</v>
      </c>
      <c r="B4" t="inlineStr">
        <is>
          <t>NBA</t>
        </is>
      </c>
      <c r="C4" s="7" t="inlineStr">
        <is>
          <t>San Antonio Spurs</t>
        </is>
      </c>
      <c r="D4">
        <f>'NBA'!M6</f>
        <v/>
      </c>
      <c r="E4">
        <f>'NBA'!N6</f>
        <v/>
      </c>
      <c r="F4">
        <f>'NBA'!O6</f>
        <v/>
      </c>
      <c r="G4" t="n">
        <v>1</v>
      </c>
      <c r="H4" t="inlineStr">
        <is>
          <t>Kalshi 21.5%</t>
        </is>
      </c>
      <c r="I4" t="inlineStr">
        <is>
          <t>West; win total 59.5</t>
        </is>
      </c>
      <c r="J4" t="inlineStr">
        <is>
          <t>A</t>
        </is>
      </c>
      <c r="K4" t="inlineStr">
        <is>
          <t>KXNBA-27 exchange mid-price, pulled 2026-10-08; p(final)=KXNBAEAST/KXNBAWEST-27 Kalshi mid</t>
        </is>
      </c>
      <c r="L4" t="inlineStr">
        <is>
          <t>2026-10-08</t>
        </is>
      </c>
    </row>
    <row r="5">
      <c r="A5" t="n">
        <v>4</v>
      </c>
      <c r="B5" t="inlineStr">
        <is>
          <t>NASCAR</t>
        </is>
      </c>
      <c r="C5" s="7" t="inlineStr">
        <is>
          <t>Kyle Larson</t>
        </is>
      </c>
      <c r="D5">
        <f>'NASCAR'!M5</f>
        <v/>
      </c>
      <c r="E5">
        <f>'NASCAR'!N5</f>
        <v/>
      </c>
      <c r="F5">
        <f>'NASCAR'!O5</f>
        <v/>
      </c>
      <c r="G5" t="n">
        <v>1</v>
      </c>
      <c r="H5" t="inlineStr">
        <is>
          <t>2026 title: Kalshi 42.0%</t>
        </is>
      </c>
      <c r="I5" t="inlineStr">
        <is>
          <t>2,318 pts, leads Chase after Las Vegas</t>
        </is>
      </c>
      <c r="J5" t="inlineStr">
        <is>
          <t>C</t>
        </is>
      </c>
      <c r="K5" t="inlineStr">
        <is>
          <t>Kalshi KXNASCARCUPSERIES-NCS26 (2026 champion) shrunk to a 2027 prior; Chase standings via search</t>
        </is>
      </c>
      <c r="L5" t="inlineStr">
        <is>
          <t>2026-10-08</t>
        </is>
      </c>
    </row>
    <row r="6">
      <c r="A6" t="n">
        <v>5</v>
      </c>
      <c r="B6" t="inlineStr">
        <is>
          <t>NASCAR</t>
        </is>
      </c>
      <c r="C6" s="7" t="inlineStr">
        <is>
          <t>Denny Hamlin</t>
        </is>
      </c>
      <c r="D6">
        <f>'NASCAR'!M6</f>
        <v/>
      </c>
      <c r="E6">
        <f>'NASCAR'!N6</f>
        <v/>
      </c>
      <c r="F6">
        <f>'NASCAR'!O6</f>
        <v/>
      </c>
      <c r="G6" t="n">
        <v>1</v>
      </c>
      <c r="H6" t="inlineStr">
        <is>
          <t>2026 title: Kalshi 28.0%</t>
        </is>
      </c>
      <c r="I6" t="inlineStr">
        <is>
          <t>2,278 pts (2nd)</t>
        </is>
      </c>
      <c r="J6" t="inlineStr">
        <is>
          <t>C</t>
        </is>
      </c>
      <c r="K6" t="inlineStr">
        <is>
          <t>Kalshi KXNASCARCUPSERIES-NCS26 (2026 champion) shrunk to a 2027 prior; Chase standings via search</t>
        </is>
      </c>
      <c r="L6" t="inlineStr">
        <is>
          <t>2026-10-08</t>
        </is>
      </c>
    </row>
    <row r="7">
      <c r="A7" t="n">
        <v>6</v>
      </c>
      <c r="B7" t="inlineStr">
        <is>
          <t>Musician</t>
        </is>
      </c>
      <c r="C7" s="7" t="inlineStr">
        <is>
          <t>Olivia Rodrigo</t>
        </is>
      </c>
      <c r="D7">
        <f>'Musician'!M6</f>
        <v/>
      </c>
      <c r="E7">
        <f>'Musician'!N6</f>
        <v/>
      </c>
      <c r="F7">
        <f>'Musician'!O6</f>
        <v/>
      </c>
      <c r="G7" t="n">
        <v>1</v>
      </c>
      <c r="H7" t="inlineStr">
        <is>
          <t>Grammy EV 10.5</t>
        </is>
      </c>
      <c r="I7" t="inlineStr">
        <is>
          <t>2026 #1 'drop dead' (1 wk) + top-10 songs; AOTY frontrunner album</t>
        </is>
      </c>
      <c r="J7" t="inlineStr">
        <is>
          <t>C</t>
        </is>
      </c>
      <c r="K7" t="inlineStr">
        <is>
          <t>2027 Hot 100 baseline = my estimate; Grammy: Kalshi KXGRAM*-69 prices (A) + estimates for other categories (C)</t>
        </is>
      </c>
      <c r="L7" t="inlineStr">
        <is>
          <t>2026-10-08</t>
        </is>
      </c>
    </row>
    <row r="8">
      <c r="A8" t="n">
        <v>7</v>
      </c>
      <c r="B8" t="inlineStr">
        <is>
          <t>NCAAB</t>
        </is>
      </c>
      <c r="C8" s="7" t="inlineStr">
        <is>
          <t>Florida</t>
        </is>
      </c>
      <c r="D8">
        <f>'NCAAB'!M5</f>
        <v/>
      </c>
      <c r="E8">
        <f>'NCAAB'!N5</f>
        <v/>
      </c>
      <c r="F8">
        <f>'NCAAB'!O5</f>
        <v/>
      </c>
      <c r="G8" t="n">
        <v>1</v>
      </c>
      <c r="H8" t="inlineStr">
        <is>
          <t>+600</t>
        </is>
      </c>
      <c r="I8" t="inlineStr"/>
      <c r="J8" t="inlineStr">
        <is>
          <t>B</t>
        </is>
      </c>
      <c r="K8" t="inlineStr">
        <is>
          <t>CBS Sports title odds 2026-08-04</t>
        </is>
      </c>
      <c r="L8" t="inlineStr">
        <is>
          <t>2026-10-08</t>
        </is>
      </c>
    </row>
    <row r="9">
      <c r="A9" t="n">
        <v>8</v>
      </c>
      <c r="B9" t="inlineStr">
        <is>
          <t>NCAAB</t>
        </is>
      </c>
      <c r="C9" s="7" t="inlineStr">
        <is>
          <t>Duke</t>
        </is>
      </c>
      <c r="D9">
        <f>'NCAAB'!M6</f>
        <v/>
      </c>
      <c r="E9">
        <f>'NCAAB'!N6</f>
        <v/>
      </c>
      <c r="F9">
        <f>'NCAAB'!O6</f>
        <v/>
      </c>
      <c r="G9" t="n">
        <v>1</v>
      </c>
      <c r="H9" t="inlineStr">
        <is>
          <t>+600</t>
        </is>
      </c>
      <c r="I9" t="inlineStr"/>
      <c r="J9" t="inlineStr">
        <is>
          <t>B</t>
        </is>
      </c>
      <c r="K9" t="inlineStr">
        <is>
          <t>CBS Sports title odds 2026-08-04</t>
        </is>
      </c>
      <c r="L9" t="inlineStr">
        <is>
          <t>2026-10-08</t>
        </is>
      </c>
    </row>
    <row r="10">
      <c r="A10" t="n">
        <v>9</v>
      </c>
      <c r="B10" t="inlineStr">
        <is>
          <t>Musician</t>
        </is>
      </c>
      <c r="C10" s="7" t="inlineStr">
        <is>
          <t>Olivia Dean</t>
        </is>
      </c>
      <c r="D10">
        <f>'Musician'!M7</f>
        <v/>
      </c>
      <c r="E10">
        <f>'Musician'!N7</f>
        <v/>
      </c>
      <c r="F10">
        <f>'Musician'!O7</f>
        <v/>
      </c>
      <c r="G10" t="n">
        <v>1</v>
      </c>
      <c r="H10" t="inlineStr">
        <is>
          <t>Grammy EV 10.0</t>
        </is>
      </c>
      <c r="I10" t="inlineStr">
        <is>
          <t>'Man I Need' (2026 top 10, 43+ wks per Wikipedia); The Art of Loving</t>
        </is>
      </c>
      <c r="J10" t="inlineStr">
        <is>
          <t>C</t>
        </is>
      </c>
      <c r="K10" t="inlineStr">
        <is>
          <t>2027 Hot 100 baseline = my estimate; Grammy: Kalshi KXGRAM*-69 prices (A) + estimates for other categories (C)</t>
        </is>
      </c>
      <c r="L10" t="inlineStr">
        <is>
          <t>2026-10-08</t>
        </is>
      </c>
    </row>
    <row r="11">
      <c r="A11" t="n">
        <v>10</v>
      </c>
      <c r="B11" t="inlineStr">
        <is>
          <t>Musician</t>
        </is>
      </c>
      <c r="C11" s="7" t="inlineStr">
        <is>
          <t>Taylor Swift</t>
        </is>
      </c>
      <c r="D11">
        <f>'Musician'!M8</f>
        <v/>
      </c>
      <c r="E11">
        <f>'Musician'!N8</f>
        <v/>
      </c>
      <c r="F11">
        <f>'Musician'!O8</f>
        <v/>
      </c>
      <c r="G11" t="n">
        <v>2</v>
      </c>
      <c r="H11" t="inlineStr">
        <is>
          <t>Grammy EV 7.7</t>
        </is>
      </c>
      <c r="I11" t="inlineStr">
        <is>
          <t>6 #1 weeks in 2026 (3 songs); 2027 album unannounced</t>
        </is>
      </c>
      <c r="J11" t="inlineStr">
        <is>
          <t>C</t>
        </is>
      </c>
      <c r="K11" t="inlineStr">
        <is>
          <t>2027 Hot 100 baseline = my estimate; Grammy: Kalshi KXGRAM*-69 prices (A) + estimates for other categories (C)</t>
        </is>
      </c>
      <c r="L11" t="inlineStr">
        <is>
          <t>2026-10-08</t>
        </is>
      </c>
    </row>
    <row r="12">
      <c r="A12" t="n">
        <v>11</v>
      </c>
      <c r="B12" t="inlineStr">
        <is>
          <t>MLS</t>
        </is>
      </c>
      <c r="C12" s="7" t="inlineStr">
        <is>
          <t>Nashville SC</t>
        </is>
      </c>
      <c r="D12">
        <f>'MLS'!M5</f>
        <v/>
      </c>
      <c r="E12">
        <f>'MLS'!N5</f>
        <v/>
      </c>
      <c r="F12">
        <f>'MLS'!O5</f>
        <v/>
      </c>
      <c r="G12" t="n">
        <v>1</v>
      </c>
      <c r="H12" t="inlineStr">
        <is>
          <t>2026 Cup: Kalshi 18.0%</t>
        </is>
      </c>
      <c r="I12" t="inlineStr">
        <is>
          <t>2026: 60 pts (as of 10-08; season ends Nov 7)</t>
        </is>
      </c>
      <c r="J12" t="inlineStr">
        <is>
          <t>C</t>
        </is>
      </c>
      <c r="K12" t="inlineStr">
        <is>
          <t>2026 points (league standings, A) + Kalshi KXMLSCUP-26 price as strength proxy, shrunk 50% toward the field</t>
        </is>
      </c>
      <c r="L12" t="inlineStr">
        <is>
          <t>2026-10-08</t>
        </is>
      </c>
    </row>
    <row r="13">
      <c r="A13" t="n">
        <v>12</v>
      </c>
      <c r="B13" t="inlineStr">
        <is>
          <t>MLB</t>
        </is>
      </c>
      <c r="C13" s="7" t="inlineStr">
        <is>
          <t>Los Angeles Dodgers</t>
        </is>
      </c>
      <c r="D13">
        <f>'MLB'!M5</f>
        <v/>
      </c>
      <c r="E13">
        <f>'MLB'!N5</f>
        <v/>
      </c>
      <c r="F13">
        <f>'MLB'!O5</f>
        <v/>
      </c>
      <c r="G13" t="n">
        <v>1</v>
      </c>
      <c r="I13" t="inlineStr">
        <is>
          <t>2026: 100-62 (.6173)</t>
        </is>
      </c>
      <c r="J13" t="inlineStr">
        <is>
          <t>C</t>
        </is>
      </c>
      <c r="K13" t="inlineStr">
        <is>
          <t>2026 win% from league standings (A); title prob = model estimate — no 2027 World Series odds posted</t>
        </is>
      </c>
      <c r="L13" t="inlineStr">
        <is>
          <t>2026-10-08</t>
        </is>
      </c>
    </row>
    <row r="14">
      <c r="A14" t="n">
        <v>13</v>
      </c>
      <c r="B14" t="inlineStr">
        <is>
          <t>NHL</t>
        </is>
      </c>
      <c r="C14" s="7" t="inlineStr">
        <is>
          <t>Colorado Avalanche</t>
        </is>
      </c>
      <c r="D14">
        <f>'NHL'!M5</f>
        <v/>
      </c>
      <c r="E14">
        <f>'NHL'!N5</f>
        <v/>
      </c>
      <c r="F14">
        <f>'NHL'!O5</f>
        <v/>
      </c>
      <c r="G14" t="n">
        <v>1</v>
      </c>
      <c r="H14" t="inlineStr">
        <is>
          <t>Kalshi 12.5%</t>
        </is>
      </c>
      <c r="I14" t="inlineStr">
        <is>
          <t>West</t>
        </is>
      </c>
      <c r="J14" t="inlineStr">
        <is>
          <t>A</t>
        </is>
      </c>
      <c r="K14" t="inlineStr">
        <is>
          <t>KXNHL-27 exchange mid-price, pulled 2026-10-08; p(final)=KXNHLEAST/KXNHLWEST-27 Kalshi mid</t>
        </is>
      </c>
      <c r="L14" t="inlineStr">
        <is>
          <t>2026-10-08</t>
        </is>
      </c>
    </row>
    <row r="15">
      <c r="A15" t="n">
        <v>14</v>
      </c>
      <c r="B15" t="inlineStr">
        <is>
          <t>NCAAF</t>
        </is>
      </c>
      <c r="C15" s="7" t="inlineStr">
        <is>
          <t>Georgia</t>
        </is>
      </c>
      <c r="D15">
        <f>'NCAAF'!M5</f>
        <v/>
      </c>
      <c r="E15">
        <f>'NCAAF'!N5</f>
        <v/>
      </c>
      <c r="F15">
        <f>'NCAAF'!O5</f>
        <v/>
      </c>
      <c r="G15" t="n">
        <v>1</v>
      </c>
      <c r="H15" t="inlineStr">
        <is>
          <t>Kalshi 15.5%</t>
        </is>
      </c>
      <c r="I15" t="inlineStr">
        <is>
          <t>AP #2, 5-0, SEC</t>
        </is>
      </c>
      <c r="J15" t="inlineStr">
        <is>
          <t>A</t>
        </is>
      </c>
      <c r="K15" t="inlineStr">
        <is>
          <t>KXNCAAF-27 exchange mid-price, pulled 2026-10-08</t>
        </is>
      </c>
      <c r="L15" t="inlineStr">
        <is>
          <t>2026-10-08</t>
        </is>
      </c>
    </row>
    <row r="16">
      <c r="A16" t="n">
        <v>15</v>
      </c>
      <c r="B16" t="inlineStr">
        <is>
          <t>MLS</t>
        </is>
      </c>
      <c r="C16" s="7" t="inlineStr">
        <is>
          <t>Vancouver Whitecaps FC</t>
        </is>
      </c>
      <c r="D16">
        <f>'MLS'!M6</f>
        <v/>
      </c>
      <c r="E16">
        <f>'MLS'!N6</f>
        <v/>
      </c>
      <c r="F16">
        <f>'MLS'!O6</f>
        <v/>
      </c>
      <c r="G16" t="n">
        <v>1</v>
      </c>
      <c r="H16" t="inlineStr">
        <is>
          <t>2026 Cup: Kalshi 23.5%</t>
        </is>
      </c>
      <c r="I16" t="inlineStr">
        <is>
          <t>2026: 50 pts (as of 10-08; season ends Nov 7)</t>
        </is>
      </c>
      <c r="J16" t="inlineStr">
        <is>
          <t>C</t>
        </is>
      </c>
      <c r="K16" t="inlineStr">
        <is>
          <t>2026 points (league standings, A) + Kalshi KXMLSCUP-26 price as strength proxy, shrunk 50% toward the field</t>
        </is>
      </c>
      <c r="L16" t="inlineStr">
        <is>
          <t>2026-10-08</t>
        </is>
      </c>
    </row>
    <row r="17">
      <c r="A17" t="n">
        <v>16</v>
      </c>
      <c r="B17" t="inlineStr">
        <is>
          <t>NHL</t>
        </is>
      </c>
      <c r="C17" t="inlineStr">
        <is>
          <t>Carolina Hurricanes</t>
        </is>
      </c>
      <c r="D17">
        <f>'NHL'!M6</f>
        <v/>
      </c>
      <c r="E17">
        <f>'NHL'!N6</f>
        <v/>
      </c>
      <c r="F17">
        <f>'NHL'!O6</f>
        <v/>
      </c>
      <c r="G17" t="n">
        <v>1</v>
      </c>
      <c r="H17" t="inlineStr">
        <is>
          <t>Kalshi 9.5%</t>
        </is>
      </c>
      <c r="I17" t="inlineStr">
        <is>
          <t>East</t>
        </is>
      </c>
      <c r="J17" t="inlineStr">
        <is>
          <t>A</t>
        </is>
      </c>
      <c r="K17" t="inlineStr">
        <is>
          <t>KXNHL-27 exchange mid-price, pulled 2026-10-08; p(final)=KXNHLEAST/KXNHLWEST-27 Kalshi mid</t>
        </is>
      </c>
      <c r="L17" t="inlineStr">
        <is>
          <t>2026-10-08</t>
        </is>
      </c>
    </row>
    <row r="18">
      <c r="A18" t="n">
        <v>17</v>
      </c>
      <c r="B18" t="inlineStr">
        <is>
          <t>Tennis</t>
        </is>
      </c>
      <c r="C18" t="inlineStr">
        <is>
          <t>Jannik Sinner</t>
        </is>
      </c>
      <c r="D18">
        <f>'Tennis'!M5</f>
        <v/>
      </c>
      <c r="E18">
        <f>'Tennis'!N5</f>
        <v/>
      </c>
      <c r="F18">
        <f>'Tennis'!O5</f>
        <v/>
      </c>
      <c r="G18" t="n">
        <v>1</v>
      </c>
      <c r="H18" t="inlineStr">
        <is>
          <t>+100 AO 2027 (pre-injury)</t>
        </is>
      </c>
      <c r="I18" t="inlineStr">
        <is>
          <t>ATP 1 (2026-10-08)</t>
        </is>
      </c>
      <c r="J18" t="inlineStr">
        <is>
          <t>B</t>
        </is>
      </c>
      <c r="K18" t="inlineStr">
        <is>
          <t>ATP rank from league standings pull (A) / WTA via Olympics.com Oct 5; AO odds VegasInsider/Johnnybet Oct 2026; probabilities = agent estimates</t>
        </is>
      </c>
      <c r="L18" t="inlineStr">
        <is>
          <t>2026-10-08</t>
        </is>
      </c>
    </row>
    <row r="19">
      <c r="A19" t="n">
        <v>18</v>
      </c>
      <c r="B19" t="inlineStr">
        <is>
          <t>Musician</t>
        </is>
      </c>
      <c r="C19" t="inlineStr">
        <is>
          <t>Bruno Mars</t>
        </is>
      </c>
      <c r="D19">
        <f>'Musician'!M9</f>
        <v/>
      </c>
      <c r="E19">
        <f>'Musician'!N9</f>
        <v/>
      </c>
      <c r="F19">
        <f>'Musician'!O9</f>
        <v/>
      </c>
      <c r="G19" t="n">
        <v>2</v>
      </c>
      <c r="H19" t="inlineStr">
        <is>
          <t>Grammy EV 7.3</t>
        </is>
      </c>
      <c r="I19" t="inlineStr">
        <is>
          <t>'I Just Might' 3 wks #1 (Jan 2026); The Romantic</t>
        </is>
      </c>
      <c r="J19" t="inlineStr">
        <is>
          <t>C</t>
        </is>
      </c>
      <c r="K19" t="inlineStr">
        <is>
          <t>2027 Hot 100 baseline = my estimate; Grammy: Kalshi KXGRAM*-69 prices (A) + estimates for other categories (C)</t>
        </is>
      </c>
      <c r="L19" t="inlineStr">
        <is>
          <t>2026-10-08</t>
        </is>
      </c>
    </row>
    <row r="20">
      <c r="A20" t="n">
        <v>19</v>
      </c>
      <c r="B20" t="inlineStr">
        <is>
          <t>NBA</t>
        </is>
      </c>
      <c r="C20" t="inlineStr">
        <is>
          <t>New York Knicks</t>
        </is>
      </c>
      <c r="D20">
        <f>'NBA'!M7</f>
        <v/>
      </c>
      <c r="E20">
        <f>'NBA'!N7</f>
        <v/>
      </c>
      <c r="F20">
        <f>'NBA'!O7</f>
        <v/>
      </c>
      <c r="G20" t="n">
        <v>1</v>
      </c>
      <c r="H20" t="inlineStr">
        <is>
          <t>Kalshi 8.5%</t>
        </is>
      </c>
      <c r="I20" t="inlineStr">
        <is>
          <t>East; win total 52.5</t>
        </is>
      </c>
      <c r="J20" t="inlineStr">
        <is>
          <t>A</t>
        </is>
      </c>
      <c r="K20" t="inlineStr">
        <is>
          <t>KXNBA-27 exchange mid-price, pulled 2026-10-08; p(final)=KXNBAEAST/KXNBAWEST-27 Kalshi mid</t>
        </is>
      </c>
      <c r="L20" t="inlineStr">
        <is>
          <t>2026-10-08</t>
        </is>
      </c>
    </row>
    <row r="21">
      <c r="A21" t="n">
        <v>20</v>
      </c>
      <c r="B21" t="inlineStr">
        <is>
          <t>NHL</t>
        </is>
      </c>
      <c r="C21" t="inlineStr">
        <is>
          <t>Florida Panthers</t>
        </is>
      </c>
      <c r="D21">
        <f>'NHL'!M7</f>
        <v/>
      </c>
      <c r="E21">
        <f>'NHL'!N7</f>
        <v/>
      </c>
      <c r="F21">
        <f>'NHL'!O7</f>
        <v/>
      </c>
      <c r="G21" t="n">
        <v>1</v>
      </c>
      <c r="H21" t="inlineStr">
        <is>
          <t>Kalshi 10.5%</t>
        </is>
      </c>
      <c r="I21" t="inlineStr">
        <is>
          <t>East</t>
        </is>
      </c>
      <c r="J21" t="inlineStr">
        <is>
          <t>A</t>
        </is>
      </c>
      <c r="K21" t="inlineStr">
        <is>
          <t>KXNHL-27 exchange mid-price, pulled 2026-10-08; p(final)=KXNHLEAST/KXNHLWEST-27 Kalshi mid</t>
        </is>
      </c>
      <c r="L21" t="inlineStr">
        <is>
          <t>2026-10-08</t>
        </is>
      </c>
    </row>
    <row r="22">
      <c r="A22" t="n">
        <v>21</v>
      </c>
      <c r="B22" t="inlineStr">
        <is>
          <t>Golf</t>
        </is>
      </c>
      <c r="C22" t="inlineStr">
        <is>
          <t>Scottie Scheffler</t>
        </is>
      </c>
      <c r="D22">
        <f>'Golf'!M5</f>
        <v/>
      </c>
      <c r="E22">
        <f>'Golf'!N5</f>
        <v/>
      </c>
      <c r="F22">
        <f>'Golf'!O5</f>
        <v/>
      </c>
      <c r="G22" t="n">
        <v>1</v>
      </c>
      <c r="I22" t="inlineStr">
        <is>
          <t>OWGR 1 (2026-10-08)</t>
        </is>
      </c>
      <c r="J22" t="inlineStr">
        <is>
          <t>C</t>
        </is>
      </c>
      <c r="K22" t="inlineStr">
        <is>
          <t>OWGR rank from league standings pull (A); major-win probabilities = model (rank-weighted share of 4 majors)</t>
        </is>
      </c>
      <c r="L22" t="inlineStr">
        <is>
          <t>2026-10-08</t>
        </is>
      </c>
    </row>
    <row r="23">
      <c r="A23" t="n">
        <v>22</v>
      </c>
      <c r="B23" t="inlineStr">
        <is>
          <t>NCAAF</t>
        </is>
      </c>
      <c r="C23" t="inlineStr">
        <is>
          <t>Texas</t>
        </is>
      </c>
      <c r="D23">
        <f>'NCAAF'!M6</f>
        <v/>
      </c>
      <c r="E23">
        <f>'NCAAF'!N6</f>
        <v/>
      </c>
      <c r="F23">
        <f>'NCAAF'!O6</f>
        <v/>
      </c>
      <c r="G23" t="n">
        <v>1</v>
      </c>
      <c r="H23" t="inlineStr">
        <is>
          <t>Kalshi 13.5%</t>
        </is>
      </c>
      <c r="I23" t="inlineStr">
        <is>
          <t>AP #1, 4-0, SEC</t>
        </is>
      </c>
      <c r="J23" t="inlineStr">
        <is>
          <t>A</t>
        </is>
      </c>
      <c r="K23" t="inlineStr">
        <is>
          <t>KXNCAAF-27 exchange mid-price, pulled 2026-10-08</t>
        </is>
      </c>
      <c r="L23" t="inlineStr">
        <is>
          <t>2026-10-08</t>
        </is>
      </c>
    </row>
    <row r="24">
      <c r="A24" t="n">
        <v>23</v>
      </c>
      <c r="B24" t="inlineStr">
        <is>
          <t>NBA</t>
        </is>
      </c>
      <c r="C24" t="inlineStr">
        <is>
          <t>Philadelphia 76ers</t>
        </is>
      </c>
      <c r="D24">
        <f>'NBA'!M8</f>
        <v/>
      </c>
      <c r="E24">
        <f>'NBA'!N8</f>
        <v/>
      </c>
      <c r="F24">
        <f>'NBA'!O8</f>
        <v/>
      </c>
      <c r="G24" t="n">
        <v>2</v>
      </c>
      <c r="H24" t="inlineStr">
        <is>
          <t>Kalshi 12.5%</t>
        </is>
      </c>
      <c r="I24" t="inlineStr">
        <is>
          <t>East; win total 50.5</t>
        </is>
      </c>
      <c r="J24" t="inlineStr">
        <is>
          <t>A</t>
        </is>
      </c>
      <c r="K24" t="inlineStr">
        <is>
          <t>KXNBA-27 exchange mid-price, pulled 2026-10-08; p(final)=KXNBAEAST/KXNBAWEST-27 Kalshi mid</t>
        </is>
      </c>
      <c r="L24" t="inlineStr">
        <is>
          <t>2026-10-08</t>
        </is>
      </c>
    </row>
    <row r="25">
      <c r="A25" t="n">
        <v>24</v>
      </c>
      <c r="B25" t="inlineStr">
        <is>
          <t>MLB</t>
        </is>
      </c>
      <c r="C25" t="inlineStr">
        <is>
          <t>Milwaukee Brewers</t>
        </is>
      </c>
      <c r="D25">
        <f>'MLB'!M6</f>
        <v/>
      </c>
      <c r="E25">
        <f>'MLB'!N6</f>
        <v/>
      </c>
      <c r="F25">
        <f>'MLB'!O6</f>
        <v/>
      </c>
      <c r="G25" t="n">
        <v>1</v>
      </c>
      <c r="I25" t="inlineStr">
        <is>
          <t>2026: 103-59 (.6358)</t>
        </is>
      </c>
      <c r="J25" t="inlineStr">
        <is>
          <t>C</t>
        </is>
      </c>
      <c r="K25" t="inlineStr">
        <is>
          <t>2026 win% from league standings (A); title prob = model estimate — no 2027 World Series odds posted</t>
        </is>
      </c>
      <c r="L25" t="inlineStr">
        <is>
          <t>2026-10-08</t>
        </is>
      </c>
    </row>
    <row r="26">
      <c r="A26" t="n">
        <v>25</v>
      </c>
      <c r="B26" t="inlineStr">
        <is>
          <t>NCAAF</t>
        </is>
      </c>
      <c r="C26" t="inlineStr">
        <is>
          <t>Ohio State</t>
        </is>
      </c>
      <c r="D26">
        <f>'NCAAF'!M7</f>
        <v/>
      </c>
      <c r="E26">
        <f>'NCAAF'!N7</f>
        <v/>
      </c>
      <c r="F26">
        <f>'NCAAF'!O7</f>
        <v/>
      </c>
      <c r="G26" t="n">
        <v>1</v>
      </c>
      <c r="H26" t="inlineStr">
        <is>
          <t>Kalshi 16.5%</t>
        </is>
      </c>
      <c r="I26" t="inlineStr">
        <is>
          <t>AP #5, 4-1, Big Ten</t>
        </is>
      </c>
      <c r="J26" t="inlineStr">
        <is>
          <t>A</t>
        </is>
      </c>
      <c r="K26" t="inlineStr">
        <is>
          <t>KXNCAAF-27 exchange mid-price, pulled 2026-10-08</t>
        </is>
      </c>
      <c r="L26" t="inlineStr">
        <is>
          <t>2026-10-08</t>
        </is>
      </c>
    </row>
    <row r="27">
      <c r="A27" t="n">
        <v>26</v>
      </c>
      <c r="B27" t="inlineStr">
        <is>
          <t>NASCAR</t>
        </is>
      </c>
      <c r="C27" t="inlineStr">
        <is>
          <t>Christopher Bell</t>
        </is>
      </c>
      <c r="D27">
        <f>'NASCAR'!M7</f>
        <v/>
      </c>
      <c r="E27">
        <f>'NASCAR'!N7</f>
        <v/>
      </c>
      <c r="F27">
        <f>'NASCAR'!O7</f>
        <v/>
      </c>
      <c r="G27" t="n">
        <v>1</v>
      </c>
      <c r="H27" t="inlineStr">
        <is>
          <t>2026 title: Kalshi 10.5%</t>
        </is>
      </c>
      <c r="I27" t="inlineStr">
        <is>
          <t>2,263 pts (3rd)</t>
        </is>
      </c>
      <c r="J27" t="inlineStr">
        <is>
          <t>C</t>
        </is>
      </c>
      <c r="K27" t="inlineStr">
        <is>
          <t>Kalshi KXNASCARCUPSERIES-NCS26 (2026 champion) shrunk to a 2027 prior; Chase standings via search</t>
        </is>
      </c>
      <c r="L27" t="inlineStr">
        <is>
          <t>2026-10-08</t>
        </is>
      </c>
    </row>
    <row r="28">
      <c r="A28" t="n">
        <v>27</v>
      </c>
      <c r="B28" t="inlineStr">
        <is>
          <t>Tennis</t>
        </is>
      </c>
      <c r="C28" t="inlineStr">
        <is>
          <t>Elena Rybakina</t>
        </is>
      </c>
      <c r="D28">
        <f>'Tennis'!M6</f>
        <v/>
      </c>
      <c r="E28">
        <f>'Tennis'!N6</f>
        <v/>
      </c>
      <c r="F28">
        <f>'Tennis'!O6</f>
        <v/>
      </c>
      <c r="G28" t="n">
        <v>1</v>
      </c>
      <c r="H28" t="inlineStr">
        <is>
          <t>+300 AO 2027</t>
        </is>
      </c>
      <c r="I28" t="inlineStr">
        <is>
          <t>WTA 1 (2026-10-08)</t>
        </is>
      </c>
      <c r="J28" t="inlineStr">
        <is>
          <t>B</t>
        </is>
      </c>
      <c r="K28" t="inlineStr">
        <is>
          <t>ATP rank from league standings pull (A) / WTA via Olympics.com Oct 5; AO odds VegasInsider/Johnnybet Oct 2026; probabilities = agent estimates</t>
        </is>
      </c>
      <c r="L28" t="inlineStr">
        <is>
          <t>2026-10-08</t>
        </is>
      </c>
    </row>
    <row r="29">
      <c r="A29" t="n">
        <v>28</v>
      </c>
      <c r="B29" t="inlineStr">
        <is>
          <t>Actor</t>
        </is>
      </c>
      <c r="C29" t="inlineStr">
        <is>
          <t>Ryan Gosling</t>
        </is>
      </c>
      <c r="D29">
        <f>'Actor'!M5</f>
        <v/>
      </c>
      <c r="E29">
        <f>'Actor'!N5</f>
        <v/>
      </c>
      <c r="F29">
        <f>'Actor'!O5</f>
        <v/>
      </c>
      <c r="G29" t="n">
        <v>1</v>
      </c>
      <c r="I29" t="inlineStr">
        <is>
          <t>Starfighter (May 28); Avengers: Secret Wars (Dec 17)</t>
        </is>
      </c>
      <c r="J29" t="inlineStr">
        <is>
          <t>C</t>
        </is>
      </c>
      <c r="K29" t="inlineStr">
        <is>
          <t>Wikipedia 'List of American films of 2027' casts (Actions-runner pull 2026-10-08) x comp-based box office/RT estimates; cast lists are billed leads only (cameos not captured)</t>
        </is>
      </c>
      <c r="L29" t="inlineStr">
        <is>
          <t>2026-10-08</t>
        </is>
      </c>
    </row>
    <row r="30">
      <c r="A30" t="n">
        <v>29</v>
      </c>
      <c r="B30" t="inlineStr">
        <is>
          <t>Golf</t>
        </is>
      </c>
      <c r="C30" t="inlineStr">
        <is>
          <t>Rory McIlroy</t>
        </is>
      </c>
      <c r="D30">
        <f>'Golf'!M6</f>
        <v/>
      </c>
      <c r="E30">
        <f>'Golf'!N6</f>
        <v/>
      </c>
      <c r="F30">
        <f>'Golf'!O6</f>
        <v/>
      </c>
      <c r="G30" t="n">
        <v>1</v>
      </c>
      <c r="I30" t="inlineStr">
        <is>
          <t>OWGR 2 (2026-10-08)</t>
        </is>
      </c>
      <c r="J30" t="inlineStr">
        <is>
          <t>C</t>
        </is>
      </c>
      <c r="K30" t="inlineStr">
        <is>
          <t>OWGR rank from league standings pull (A); major-win probabilities = model (rank-weighted share of 4 majors)</t>
        </is>
      </c>
      <c r="L30" t="inlineStr">
        <is>
          <t>2026-10-08</t>
        </is>
      </c>
    </row>
    <row r="31">
      <c r="A31" t="n">
        <v>30</v>
      </c>
      <c r="B31" t="inlineStr">
        <is>
          <t>Actor</t>
        </is>
      </c>
      <c r="C31" t="inlineStr">
        <is>
          <t>Aaron Pierre</t>
        </is>
      </c>
      <c r="D31">
        <f>'Actor'!M6</f>
        <v/>
      </c>
      <c r="E31">
        <f>'Actor'!N6</f>
        <v/>
      </c>
      <c r="F31">
        <f>'Actor'!O6</f>
        <v/>
      </c>
      <c r="G31" t="n">
        <v>1</v>
      </c>
      <c r="I31" t="inlineStr">
        <is>
          <t>Starfighter (May 28); Man of Tomorrow (Jul 9)</t>
        </is>
      </c>
      <c r="J31" t="inlineStr">
        <is>
          <t>C</t>
        </is>
      </c>
      <c r="K31" t="inlineStr">
        <is>
          <t>Wikipedia 'List of American films of 2027' casts (Actions-runner pull 2026-10-08) x comp-based box office/RT estimates; cast lists are billed leads only (cameos not captured)</t>
        </is>
      </c>
      <c r="L31" t="inlineStr">
        <is>
          <t>2026-10-08</t>
        </is>
      </c>
    </row>
    <row r="32">
      <c r="A32" t="n">
        <v>31</v>
      </c>
      <c r="B32" t="inlineStr">
        <is>
          <t>NFL</t>
        </is>
      </c>
      <c r="C32" t="inlineStr">
        <is>
          <t>Kansas City Chiefs</t>
        </is>
      </c>
      <c r="D32">
        <f>'NFL'!M5</f>
        <v/>
      </c>
      <c r="E32">
        <f>'NFL'!N5</f>
        <v/>
      </c>
      <c r="F32">
        <f>'NFL'!O5</f>
        <v/>
      </c>
      <c r="G32" t="n">
        <v>1</v>
      </c>
      <c r="H32" t="inlineStr">
        <is>
          <t>Kalshi 9.5%</t>
        </is>
      </c>
      <c r="I32" t="inlineStr">
        <is>
          <t>4-0, AFC West</t>
        </is>
      </c>
      <c r="J32" t="inlineStr">
        <is>
          <t>A</t>
        </is>
      </c>
      <c r="K32" t="inlineStr">
        <is>
          <t>KXSB-27 exchange mid-price, pulled 2026-10-08; p(final)=KXNFLAFCCHAMP/KXNFLNFCCHAMP-27 Kalshi mid</t>
        </is>
      </c>
      <c r="L32" t="inlineStr">
        <is>
          <t>2026-10-08</t>
        </is>
      </c>
    </row>
    <row r="33">
      <c r="A33" t="n">
        <v>32</v>
      </c>
      <c r="B33" t="inlineStr">
        <is>
          <t>NFL</t>
        </is>
      </c>
      <c r="C33" t="inlineStr">
        <is>
          <t>Buffalo Bills</t>
        </is>
      </c>
      <c r="D33">
        <f>'NFL'!M6</f>
        <v/>
      </c>
      <c r="E33">
        <f>'NFL'!N6</f>
        <v/>
      </c>
      <c r="F33">
        <f>'NFL'!O6</f>
        <v/>
      </c>
      <c r="G33" t="n">
        <v>1</v>
      </c>
      <c r="H33" t="inlineStr">
        <is>
          <t>Kalshi 10.5%</t>
        </is>
      </c>
      <c r="I33" t="inlineStr">
        <is>
          <t>3-1, AFC East</t>
        </is>
      </c>
      <c r="J33" t="inlineStr">
        <is>
          <t>A</t>
        </is>
      </c>
      <c r="K33" t="inlineStr">
        <is>
          <t>KXSB-27 exchange mid-price, pulled 2026-10-08; p(final)=KXNFLAFCCHAMP/KXNFLNFCCHAMP-27 Kalshi mid</t>
        </is>
      </c>
      <c r="L33" t="inlineStr">
        <is>
          <t>2026-10-08</t>
        </is>
      </c>
    </row>
    <row r="34">
      <c r="A34" t="n">
        <v>33</v>
      </c>
      <c r="B34" t="inlineStr">
        <is>
          <t>Tennis</t>
        </is>
      </c>
      <c r="C34" t="inlineStr">
        <is>
          <t>Aryna Sabalenka</t>
        </is>
      </c>
      <c r="D34">
        <f>'Tennis'!M7</f>
        <v/>
      </c>
      <c r="E34">
        <f>'Tennis'!N7</f>
        <v/>
      </c>
      <c r="F34">
        <f>'Tennis'!O7</f>
        <v/>
      </c>
      <c r="G34" t="n">
        <v>1</v>
      </c>
      <c r="H34" t="inlineStr">
        <is>
          <t>+175 to +185 AO 2027</t>
        </is>
      </c>
      <c r="I34" t="inlineStr">
        <is>
          <t>WTA 2 (2026-10-08)</t>
        </is>
      </c>
      <c r="J34" t="inlineStr">
        <is>
          <t>B</t>
        </is>
      </c>
      <c r="K34" t="inlineStr">
        <is>
          <t>ATP rank from league standings pull (A) / WTA via Olympics.com Oct 5; AO odds VegasInsider/Johnnybet Oct 2026; probabilities = agent estimates</t>
        </is>
      </c>
      <c r="L34" t="inlineStr">
        <is>
          <t>2026-10-08</t>
        </is>
      </c>
    </row>
    <row r="35">
      <c r="A35" t="n">
        <v>34</v>
      </c>
      <c r="B35" t="inlineStr">
        <is>
          <t>Actor</t>
        </is>
      </c>
      <c r="C35" t="inlineStr">
        <is>
          <t>Skyler Gisondo</t>
        </is>
      </c>
      <c r="D35">
        <f>'Actor'!M7</f>
        <v/>
      </c>
      <c r="E35">
        <f>'Actor'!N7</f>
        <v/>
      </c>
      <c r="F35">
        <f>'Actor'!O7</f>
        <v/>
      </c>
      <c r="G35" t="n">
        <v>1</v>
      </c>
      <c r="I35" t="inlineStr">
        <is>
          <t>Man of Tomorrow (Jul 9); Shrek 5 (Jun 30)</t>
        </is>
      </c>
      <c r="J35" t="inlineStr">
        <is>
          <t>C</t>
        </is>
      </c>
      <c r="K35" t="inlineStr">
        <is>
          <t>Wikipedia 'List of American films of 2027' casts (Actions-runner pull 2026-10-08) x comp-based box office/RT estimates; cast lists are billed leads only (cameos not captured)</t>
        </is>
      </c>
      <c r="L35" t="inlineStr">
        <is>
          <t>2026-10-08</t>
        </is>
      </c>
    </row>
    <row r="36">
      <c r="A36" t="n">
        <v>35</v>
      </c>
      <c r="B36" t="inlineStr">
        <is>
          <t>NCAAF</t>
        </is>
      </c>
      <c r="C36" t="inlineStr">
        <is>
          <t>Notre Dame</t>
        </is>
      </c>
      <c r="D36">
        <f>'NCAAF'!M8</f>
        <v/>
      </c>
      <c r="E36">
        <f>'NCAAF'!N8</f>
        <v/>
      </c>
      <c r="F36">
        <f>'NCAAF'!O8</f>
        <v/>
      </c>
      <c r="G36" t="n">
        <v>2</v>
      </c>
      <c r="H36" t="inlineStr">
        <is>
          <t>Kalshi 11.5%</t>
        </is>
      </c>
      <c r="I36" t="inlineStr">
        <is>
          <t>AP #3, 5-0, Ind</t>
        </is>
      </c>
      <c r="J36" t="inlineStr">
        <is>
          <t>A</t>
        </is>
      </c>
      <c r="K36" t="inlineStr">
        <is>
          <t>KXNCAAF-27 exchange mid-price, pulled 2026-10-08</t>
        </is>
      </c>
      <c r="L36" t="inlineStr">
        <is>
          <t>2026-10-08</t>
        </is>
      </c>
    </row>
    <row r="37">
      <c r="A37" t="n">
        <v>36</v>
      </c>
      <c r="B37" t="inlineStr">
        <is>
          <t>Tennis</t>
        </is>
      </c>
      <c r="C37" t="inlineStr">
        <is>
          <t>Carlos Alcaraz</t>
        </is>
      </c>
      <c r="D37">
        <f>'Tennis'!M8</f>
        <v/>
      </c>
      <c r="E37">
        <f>'Tennis'!N8</f>
        <v/>
      </c>
      <c r="F37">
        <f>'Tennis'!O8</f>
        <v/>
      </c>
      <c r="G37" t="n">
        <v>2</v>
      </c>
      <c r="H37" t="inlineStr">
        <is>
          <t>+150 AO 2027</t>
        </is>
      </c>
      <c r="I37" t="inlineStr">
        <is>
          <t>ATP 3 (2026-10-08)</t>
        </is>
      </c>
      <c r="J37" t="inlineStr">
        <is>
          <t>B</t>
        </is>
      </c>
      <c r="K37" t="inlineStr">
        <is>
          <t>ATP rank from league standings pull (A) / WTA via Olympics.com Oct 5; AO odds VegasInsider/Johnnybet Oct 2026; probabilities = agent estimates</t>
        </is>
      </c>
      <c r="L37" t="inlineStr">
        <is>
          <t>2026-10-08</t>
        </is>
      </c>
    </row>
    <row r="38">
      <c r="A38" t="n">
        <v>37</v>
      </c>
      <c r="B38" t="inlineStr">
        <is>
          <t>NCAAB</t>
        </is>
      </c>
      <c r="C38" t="inlineStr">
        <is>
          <t>UConn</t>
        </is>
      </c>
      <c r="D38">
        <f>'NCAAB'!M7</f>
        <v/>
      </c>
      <c r="E38">
        <f>'NCAAB'!N7</f>
        <v/>
      </c>
      <c r="F38">
        <f>'NCAAB'!O7</f>
        <v/>
      </c>
      <c r="G38" t="n">
        <v>1</v>
      </c>
      <c r="H38" t="inlineStr">
        <is>
          <t>+1300</t>
        </is>
      </c>
      <c r="I38" t="inlineStr"/>
      <c r="J38" t="inlineStr">
        <is>
          <t>B</t>
        </is>
      </c>
      <c r="K38" t="inlineStr">
        <is>
          <t>CBS Sports title odds 2026-08-04</t>
        </is>
      </c>
      <c r="L38" t="inlineStr">
        <is>
          <t>2026-10-08</t>
        </is>
      </c>
    </row>
    <row r="39">
      <c r="A39" t="n">
        <v>38</v>
      </c>
      <c r="B39" t="inlineStr">
        <is>
          <t>NCAAB</t>
        </is>
      </c>
      <c r="C39" t="inlineStr">
        <is>
          <t>Illinois</t>
        </is>
      </c>
      <c r="D39">
        <f>'NCAAB'!M8</f>
        <v/>
      </c>
      <c r="E39">
        <f>'NCAAB'!N8</f>
        <v/>
      </c>
      <c r="F39">
        <f>'NCAAB'!O8</f>
        <v/>
      </c>
      <c r="G39" t="n">
        <v>2</v>
      </c>
      <c r="H39" t="inlineStr">
        <is>
          <t>+1300</t>
        </is>
      </c>
      <c r="I39" t="inlineStr"/>
      <c r="J39" t="inlineStr">
        <is>
          <t>B</t>
        </is>
      </c>
      <c r="K39" t="inlineStr">
        <is>
          <t>CBS Sports title odds 2026-08-04</t>
        </is>
      </c>
      <c r="L39" t="inlineStr">
        <is>
          <t>2026-10-08</t>
        </is>
      </c>
    </row>
    <row r="40">
      <c r="A40" t="n">
        <v>39</v>
      </c>
      <c r="B40" t="inlineStr">
        <is>
          <t>NFL</t>
        </is>
      </c>
      <c r="C40" t="inlineStr">
        <is>
          <t>San Francisco 49ers</t>
        </is>
      </c>
      <c r="D40">
        <f>'NFL'!M7</f>
        <v/>
      </c>
      <c r="E40">
        <f>'NFL'!N7</f>
        <v/>
      </c>
      <c r="F40">
        <f>'NFL'!O7</f>
        <v/>
      </c>
      <c r="G40" t="n">
        <v>1</v>
      </c>
      <c r="H40" t="inlineStr">
        <is>
          <t>Kalshi 9.5%</t>
        </is>
      </c>
      <c r="I40" t="inlineStr">
        <is>
          <t>4-0, NFC West</t>
        </is>
      </c>
      <c r="J40" t="inlineStr">
        <is>
          <t>A</t>
        </is>
      </c>
      <c r="K40" t="inlineStr">
        <is>
          <t>KXSB-27 exchange mid-price, pulled 2026-10-08; p(final)=KXNFLAFCCHAMP/KXNFLNFCCHAMP-27 Kalshi mid</t>
        </is>
      </c>
      <c r="L40" t="inlineStr">
        <is>
          <t>2026-10-08</t>
        </is>
      </c>
    </row>
    <row r="41">
      <c r="A41" t="n">
        <v>40</v>
      </c>
      <c r="B41" t="inlineStr">
        <is>
          <t>Actress</t>
        </is>
      </c>
      <c r="C41" t="inlineStr">
        <is>
          <t>Kristen Bell</t>
        </is>
      </c>
      <c r="D41">
        <f>'Actress'!M5</f>
        <v/>
      </c>
      <c r="E41">
        <f>'Actress'!N5</f>
        <v/>
      </c>
      <c r="F41">
        <f>'Actress'!O5</f>
        <v/>
      </c>
      <c r="G41" t="n">
        <v>1</v>
      </c>
      <c r="I41" t="inlineStr">
        <is>
          <t>Frozen 3 (Nov 24); Sonic the Hedgehog 4 (Mar 19)</t>
        </is>
      </c>
      <c r="J41" t="inlineStr">
        <is>
          <t>C</t>
        </is>
      </c>
      <c r="K41" t="inlineStr">
        <is>
          <t>Wikipedia 'List of American films of 2027' casts (Actions-runner pull 2026-10-08) x comp-based box office/RT estimates; cast lists are billed leads only (cameos not captured)</t>
        </is>
      </c>
      <c r="L41" t="inlineStr">
        <is>
          <t>2026-10-08</t>
        </is>
      </c>
    </row>
    <row r="42">
      <c r="A42" t="n">
        <v>41</v>
      </c>
      <c r="B42" t="inlineStr">
        <is>
          <t>Tennis</t>
        </is>
      </c>
      <c r="C42" t="inlineStr">
        <is>
          <t>Alexander Zverev</t>
        </is>
      </c>
      <c r="D42">
        <f>'Tennis'!M9</f>
        <v/>
      </c>
      <c r="E42">
        <f>'Tennis'!N9</f>
        <v/>
      </c>
      <c r="F42">
        <f>'Tennis'!O9</f>
        <v/>
      </c>
      <c r="G42" t="n">
        <v>2</v>
      </c>
      <c r="H42" t="inlineStr">
        <is>
          <t>+700 AO 2027</t>
        </is>
      </c>
      <c r="I42" t="inlineStr">
        <is>
          <t>ATP 2 (2026-10-08)</t>
        </is>
      </c>
      <c r="J42" t="inlineStr">
        <is>
          <t>B</t>
        </is>
      </c>
      <c r="K42" t="inlineStr">
        <is>
          <t>ATP rank from league standings pull (A) / WTA via Olympics.com Oct 5; AO odds VegasInsider/Johnnybet Oct 2026; probabilities = agent estimates</t>
        </is>
      </c>
      <c r="L42" t="inlineStr">
        <is>
          <t>2026-10-08</t>
        </is>
      </c>
    </row>
    <row r="43">
      <c r="A43" t="n">
        <v>42</v>
      </c>
      <c r="B43" t="inlineStr">
        <is>
          <t>NFL</t>
        </is>
      </c>
      <c r="C43" t="inlineStr">
        <is>
          <t>Los Angeles Rams</t>
        </is>
      </c>
      <c r="D43">
        <f>'NFL'!M8</f>
        <v/>
      </c>
      <c r="E43">
        <f>'NFL'!N8</f>
        <v/>
      </c>
      <c r="F43">
        <f>'NFL'!O8</f>
        <v/>
      </c>
      <c r="G43" t="n">
        <v>2</v>
      </c>
      <c r="H43" t="inlineStr">
        <is>
          <t>Kalshi 11.5%</t>
        </is>
      </c>
      <c r="I43" t="inlineStr">
        <is>
          <t>2-2, NFC West</t>
        </is>
      </c>
      <c r="J43" t="inlineStr">
        <is>
          <t>A</t>
        </is>
      </c>
      <c r="K43" t="inlineStr">
        <is>
          <t>KXSB-27 exchange mid-price, pulled 2026-10-08; p(final)=KXNFLAFCCHAMP/KXNFLNFCCHAMP-27 Kalshi mid</t>
        </is>
      </c>
      <c r="L43" t="inlineStr">
        <is>
          <t>2026-10-08</t>
        </is>
      </c>
    </row>
    <row r="44">
      <c r="A44" t="n">
        <v>43</v>
      </c>
      <c r="B44" t="inlineStr">
        <is>
          <t>Golf</t>
        </is>
      </c>
      <c r="C44" t="inlineStr">
        <is>
          <t>Matt Fitzpatrick</t>
        </is>
      </c>
      <c r="D44">
        <f>'Golf'!M7</f>
        <v/>
      </c>
      <c r="E44">
        <f>'Golf'!N7</f>
        <v/>
      </c>
      <c r="F44">
        <f>'Golf'!O7</f>
        <v/>
      </c>
      <c r="G44" t="n">
        <v>1</v>
      </c>
      <c r="I44" t="inlineStr">
        <is>
          <t>OWGR 3 (2026-10-08)</t>
        </is>
      </c>
      <c r="J44" t="inlineStr">
        <is>
          <t>C</t>
        </is>
      </c>
      <c r="K44" t="inlineStr">
        <is>
          <t>OWGR rank from league standings pull (A); major-win probabilities = model (rank-weighted share of 4 majors)</t>
        </is>
      </c>
      <c r="L44" t="inlineStr">
        <is>
          <t>2026-10-08</t>
        </is>
      </c>
    </row>
    <row r="45">
      <c r="A45" t="n">
        <v>44</v>
      </c>
      <c r="B45" t="inlineStr">
        <is>
          <t>NHL</t>
        </is>
      </c>
      <c r="C45" t="inlineStr">
        <is>
          <t>Edmonton Oilers</t>
        </is>
      </c>
      <c r="D45">
        <f>'NHL'!M8</f>
        <v/>
      </c>
      <c r="E45">
        <f>'NHL'!N8</f>
        <v/>
      </c>
      <c r="F45">
        <f>'NHL'!O8</f>
        <v/>
      </c>
      <c r="G45" t="n">
        <v>2</v>
      </c>
      <c r="H45" t="inlineStr">
        <is>
          <t>Kalshi 8.5%</t>
        </is>
      </c>
      <c r="I45" t="inlineStr">
        <is>
          <t>West</t>
        </is>
      </c>
      <c r="J45" t="inlineStr">
        <is>
          <t>A</t>
        </is>
      </c>
      <c r="K45" t="inlineStr">
        <is>
          <t>KXNHL-27 exchange mid-price, pulled 2026-10-08; p(final)=KXNHLEAST/KXNHLWEST-27 Kalshi mid</t>
        </is>
      </c>
      <c r="L45" t="inlineStr">
        <is>
          <t>2026-10-08</t>
        </is>
      </c>
    </row>
    <row r="46">
      <c r="A46" t="n">
        <v>45</v>
      </c>
      <c r="B46" t="inlineStr">
        <is>
          <t>MLS</t>
        </is>
      </c>
      <c r="C46" t="inlineStr">
        <is>
          <t>Inter Miami CF</t>
        </is>
      </c>
      <c r="D46">
        <f>'MLS'!M7</f>
        <v/>
      </c>
      <c r="E46">
        <f>'MLS'!N7</f>
        <v/>
      </c>
      <c r="F46">
        <f>'MLS'!O7</f>
        <v/>
      </c>
      <c r="G46" t="n">
        <v>1</v>
      </c>
      <c r="H46" t="inlineStr">
        <is>
          <t>2026 Cup: Kalshi 16.5%</t>
        </is>
      </c>
      <c r="I46" t="inlineStr">
        <is>
          <t>2026: 46 pts (as of 10-08; season ends Nov 7)</t>
        </is>
      </c>
      <c r="J46" t="inlineStr">
        <is>
          <t>C</t>
        </is>
      </c>
      <c r="K46" t="inlineStr">
        <is>
          <t>2026 points (league standings, A) + Kalshi KXMLSCUP-26 price as strength proxy, shrunk 50% toward the field</t>
        </is>
      </c>
      <c r="L46" t="inlineStr">
        <is>
          <t>2026-10-08</t>
        </is>
      </c>
    </row>
    <row r="47">
      <c r="A47" t="n">
        <v>46</v>
      </c>
      <c r="B47" t="inlineStr">
        <is>
          <t>NCAAF</t>
        </is>
      </c>
      <c r="C47" t="inlineStr">
        <is>
          <t>Miami (FL)</t>
        </is>
      </c>
      <c r="D47">
        <f>'NCAAF'!M9</f>
        <v/>
      </c>
      <c r="E47">
        <f>'NCAAF'!N9</f>
        <v/>
      </c>
      <c r="F47">
        <f>'NCAAF'!O9</f>
        <v/>
      </c>
      <c r="G47" t="n">
        <v>2</v>
      </c>
      <c r="H47" t="inlineStr">
        <is>
          <t>Kalshi 10.5%</t>
        </is>
      </c>
      <c r="I47" t="inlineStr">
        <is>
          <t>AP #4, 5-0, ACC</t>
        </is>
      </c>
      <c r="J47" t="inlineStr">
        <is>
          <t>A</t>
        </is>
      </c>
      <c r="K47" t="inlineStr">
        <is>
          <t>KXNCAAF-27 exchange mid-price, pulled 2026-10-08</t>
        </is>
      </c>
      <c r="L47" t="inlineStr">
        <is>
          <t>2026-10-08</t>
        </is>
      </c>
    </row>
    <row r="48">
      <c r="A48" t="n">
        <v>47</v>
      </c>
      <c r="B48" t="inlineStr">
        <is>
          <t>MLB</t>
        </is>
      </c>
      <c r="C48" t="inlineStr">
        <is>
          <t>New York Yankees</t>
        </is>
      </c>
      <c r="D48">
        <f>'MLB'!M7</f>
        <v/>
      </c>
      <c r="E48">
        <f>'MLB'!N7</f>
        <v/>
      </c>
      <c r="F48">
        <f>'MLB'!O7</f>
        <v/>
      </c>
      <c r="G48" t="n">
        <v>1</v>
      </c>
      <c r="I48" t="inlineStr">
        <is>
          <t>2026: 94-68 (.5776)</t>
        </is>
      </c>
      <c r="J48" t="inlineStr">
        <is>
          <t>C</t>
        </is>
      </c>
      <c r="K48" t="inlineStr">
        <is>
          <t>2026 win% from league standings (A); title prob = model estimate — no 2027 World Series odds posted</t>
        </is>
      </c>
      <c r="L48" t="inlineStr">
        <is>
          <t>2026-10-08</t>
        </is>
      </c>
    </row>
    <row r="49">
      <c r="A49" t="n">
        <v>48</v>
      </c>
      <c r="B49" t="inlineStr">
        <is>
          <t>NFL</t>
        </is>
      </c>
      <c r="C49" t="inlineStr">
        <is>
          <t>Baltimore Ravens</t>
        </is>
      </c>
      <c r="D49">
        <f>'NFL'!M9</f>
        <v/>
      </c>
      <c r="E49">
        <f>'NFL'!N9</f>
        <v/>
      </c>
      <c r="F49">
        <f>'NFL'!O9</f>
        <v/>
      </c>
      <c r="G49" t="n">
        <v>2</v>
      </c>
      <c r="H49" t="inlineStr">
        <is>
          <t>Kalshi 7.5%</t>
        </is>
      </c>
      <c r="I49" t="inlineStr">
        <is>
          <t>3-1, AFC North</t>
        </is>
      </c>
      <c r="J49" t="inlineStr">
        <is>
          <t>A</t>
        </is>
      </c>
      <c r="K49" t="inlineStr">
        <is>
          <t>KXSB-27 exchange mid-price, pulled 2026-10-08; p(final)=KXNFLAFCCHAMP/KXNFLNFCCHAMP-27 Kalshi mid</t>
        </is>
      </c>
      <c r="L49" t="inlineStr">
        <is>
          <t>2026-10-08</t>
        </is>
      </c>
    </row>
    <row r="50">
      <c r="A50" t="n">
        <v>49</v>
      </c>
      <c r="B50" t="inlineStr">
        <is>
          <t>NBA</t>
        </is>
      </c>
      <c r="C50" t="inlineStr">
        <is>
          <t>Boston Celtics</t>
        </is>
      </c>
      <c r="D50">
        <f>'NBA'!M9</f>
        <v/>
      </c>
      <c r="E50">
        <f>'NBA'!N9</f>
        <v/>
      </c>
      <c r="F50">
        <f>'NBA'!O9</f>
        <v/>
      </c>
      <c r="G50" t="n">
        <v>2</v>
      </c>
      <c r="H50" t="inlineStr">
        <is>
          <t>Kalshi 4.5%</t>
        </is>
      </c>
      <c r="I50" t="inlineStr">
        <is>
          <t>East; win total 51.5</t>
        </is>
      </c>
      <c r="J50" t="inlineStr">
        <is>
          <t>A</t>
        </is>
      </c>
      <c r="K50" t="inlineStr">
        <is>
          <t>KXNBA-27 exchange mid-price, pulled 2026-10-08; p(final)=KXNBAEAST/KXNBAWEST-27 Kalshi mid</t>
        </is>
      </c>
      <c r="L50" t="inlineStr">
        <is>
          <t>2026-10-08</t>
        </is>
      </c>
    </row>
    <row r="51">
      <c r="A51" t="n">
        <v>50</v>
      </c>
      <c r="B51" t="inlineStr">
        <is>
          <t>MLB</t>
        </is>
      </c>
      <c r="C51" t="inlineStr">
        <is>
          <t>Tampa Bay Rays</t>
        </is>
      </c>
      <c r="D51">
        <f>'MLB'!M8</f>
        <v/>
      </c>
      <c r="E51">
        <f>'MLB'!N8</f>
        <v/>
      </c>
      <c r="F51">
        <f>'MLB'!O8</f>
        <v/>
      </c>
      <c r="G51" t="n">
        <v>2</v>
      </c>
      <c r="I51" t="inlineStr">
        <is>
          <t>2026: 98-64 (.6049)</t>
        </is>
      </c>
      <c r="J51" t="inlineStr">
        <is>
          <t>C</t>
        </is>
      </c>
      <c r="K51" t="inlineStr">
        <is>
          <t>2026 win% from league standings (A); title prob = model estimate — no 2027 World Series odds posted</t>
        </is>
      </c>
      <c r="L51" t="inlineStr">
        <is>
          <t>2026-10-08</t>
        </is>
      </c>
    </row>
    <row r="52">
      <c r="A52" t="n">
        <v>51</v>
      </c>
      <c r="B52" t="inlineStr">
        <is>
          <t>Golf</t>
        </is>
      </c>
      <c r="C52" t="inlineStr">
        <is>
          <t>Cameron Young</t>
        </is>
      </c>
      <c r="D52">
        <f>'Golf'!M8</f>
        <v/>
      </c>
      <c r="E52">
        <f>'Golf'!N8</f>
        <v/>
      </c>
      <c r="F52">
        <f>'Golf'!O8</f>
        <v/>
      </c>
      <c r="G52" t="n">
        <v>2</v>
      </c>
      <c r="I52" t="inlineStr">
        <is>
          <t>OWGR 4 (2026-10-08)</t>
        </is>
      </c>
      <c r="J52" t="inlineStr">
        <is>
          <t>C</t>
        </is>
      </c>
      <c r="K52" t="inlineStr">
        <is>
          <t>OWGR rank from league standings pull (A); major-win probabilities = model (rank-weighted share of 4 majors)</t>
        </is>
      </c>
      <c r="L52" t="inlineStr">
        <is>
          <t>2026-10-08</t>
        </is>
      </c>
    </row>
    <row r="53">
      <c r="A53" t="n">
        <v>52</v>
      </c>
      <c r="B53" t="inlineStr">
        <is>
          <t>Country</t>
        </is>
      </c>
      <c r="C53" t="inlineStr">
        <is>
          <t>Rwanda</t>
        </is>
      </c>
      <c r="D53">
        <f>'Country'!M5</f>
        <v/>
      </c>
      <c r="E53">
        <f>'Country'!N5</f>
        <v/>
      </c>
      <c r="F53">
        <f>'Country'!O5</f>
        <v/>
      </c>
      <c r="G53" t="n">
        <v>1</v>
      </c>
      <c r="I53" t="inlineStr">
        <is>
          <t>Stable; low forecast error</t>
        </is>
      </c>
      <c r="J53" t="inlineStr">
        <is>
          <t>B</t>
        </is>
      </c>
      <c r="K53" t="inlineStr">
        <is>
          <t>prior from IMF Jul-2026 update + regional outlooks; NO country-level 2027 table retrieved (IMF API blocked) — replace with the Oct 13 WEO</t>
        </is>
      </c>
      <c r="L53" t="inlineStr">
        <is>
          <t>2026-10-08</t>
        </is>
      </c>
    </row>
    <row r="54">
      <c r="A54" t="n">
        <v>53</v>
      </c>
      <c r="B54" t="inlineStr">
        <is>
          <t>NCAAB</t>
        </is>
      </c>
      <c r="C54" t="inlineStr">
        <is>
          <t>Michigan</t>
        </is>
      </c>
      <c r="D54">
        <f>'NCAAB'!M9</f>
        <v/>
      </c>
      <c r="E54">
        <f>'NCAAB'!N9</f>
        <v/>
      </c>
      <c r="F54">
        <f>'NCAAB'!O9</f>
        <v/>
      </c>
      <c r="G54" t="n">
        <v>2</v>
      </c>
      <c r="H54" t="inlineStr">
        <is>
          <t>+1600</t>
        </is>
      </c>
      <c r="I54" t="inlineStr"/>
      <c r="J54" t="inlineStr">
        <is>
          <t>B</t>
        </is>
      </c>
      <c r="K54" t="inlineStr">
        <is>
          <t>CBS Sports title odds 2026-08-04</t>
        </is>
      </c>
      <c r="L54" t="inlineStr">
        <is>
          <t>2026-10-08</t>
        </is>
      </c>
    </row>
    <row r="55">
      <c r="A55" t="n">
        <v>54</v>
      </c>
      <c r="B55" t="inlineStr">
        <is>
          <t>MLB</t>
        </is>
      </c>
      <c r="C55" t="inlineStr">
        <is>
          <t>Atlanta Braves</t>
        </is>
      </c>
      <c r="D55">
        <f>'MLB'!M9</f>
        <v/>
      </c>
      <c r="E55">
        <f>'MLB'!N9</f>
        <v/>
      </c>
      <c r="F55">
        <f>'MLB'!O9</f>
        <v/>
      </c>
      <c r="G55" t="n">
        <v>2</v>
      </c>
      <c r="I55" t="inlineStr">
        <is>
          <t>2026: 94-68 (.5802)</t>
        </is>
      </c>
      <c r="J55" t="inlineStr">
        <is>
          <t>C</t>
        </is>
      </c>
      <c r="K55" t="inlineStr">
        <is>
          <t>2026 win% from league standings (A); title prob = model estimate — no 2027 World Series odds posted</t>
        </is>
      </c>
      <c r="L55" t="inlineStr">
        <is>
          <t>2026-10-08</t>
        </is>
      </c>
    </row>
    <row r="56">
      <c r="A56" t="n">
        <v>55</v>
      </c>
      <c r="B56" t="inlineStr">
        <is>
          <t>NASCAR</t>
        </is>
      </c>
      <c r="C56" t="inlineStr">
        <is>
          <t>Joey Logano</t>
        </is>
      </c>
      <c r="D56">
        <f>'NASCAR'!M8</f>
        <v/>
      </c>
      <c r="E56">
        <f>'NASCAR'!N8</f>
        <v/>
      </c>
      <c r="F56">
        <f>'NASCAR'!O8</f>
        <v/>
      </c>
      <c r="G56" t="n">
        <v>2</v>
      </c>
      <c r="H56" t="inlineStr">
        <is>
          <t>2026 title: Kalshi 5.5%</t>
        </is>
      </c>
      <c r="I56" t="inlineStr">
        <is>
          <t>2,247 pts (4th)</t>
        </is>
      </c>
      <c r="J56" t="inlineStr">
        <is>
          <t>C</t>
        </is>
      </c>
      <c r="K56" t="inlineStr">
        <is>
          <t>Kalshi KXNASCARCUPSERIES-NCS26 (2026 champion) shrunk to a 2027 prior; Chase standings via search</t>
        </is>
      </c>
      <c r="L56" t="inlineStr">
        <is>
          <t>2026-10-08</t>
        </is>
      </c>
    </row>
    <row r="57">
      <c r="A57" t="n">
        <v>56</v>
      </c>
      <c r="B57" t="inlineStr">
        <is>
          <t>NASCAR</t>
        </is>
      </c>
      <c r="C57" t="inlineStr">
        <is>
          <t>Ryan Blaney</t>
        </is>
      </c>
      <c r="D57">
        <f>'NASCAR'!M9</f>
        <v/>
      </c>
      <c r="E57">
        <f>'NASCAR'!N9</f>
        <v/>
      </c>
      <c r="F57">
        <f>'NASCAR'!O9</f>
        <v/>
      </c>
      <c r="G57" t="n">
        <v>2</v>
      </c>
      <c r="H57" t="inlineStr">
        <is>
          <t>2026 title: Kalshi 5.5%</t>
        </is>
      </c>
      <c r="I57" t="inlineStr">
        <is>
          <t>2,238 pts (5th)</t>
        </is>
      </c>
      <c r="J57" t="inlineStr">
        <is>
          <t>C</t>
        </is>
      </c>
      <c r="K57" t="inlineStr">
        <is>
          <t>Kalshi KXNASCARCUPSERIES-NCS26 (2026 champion) shrunk to a 2027 prior; Chase standings via search</t>
        </is>
      </c>
      <c r="L57" t="inlineStr">
        <is>
          <t>2026-10-08</t>
        </is>
      </c>
    </row>
    <row r="58">
      <c r="A58" t="n">
        <v>57</v>
      </c>
      <c r="B58" t="inlineStr">
        <is>
          <t>Golf</t>
        </is>
      </c>
      <c r="C58" t="inlineStr">
        <is>
          <t>Wyndham Clark</t>
        </is>
      </c>
      <c r="D58">
        <f>'Golf'!M9</f>
        <v/>
      </c>
      <c r="E58">
        <f>'Golf'!N9</f>
        <v/>
      </c>
      <c r="F58">
        <f>'Golf'!O9</f>
        <v/>
      </c>
      <c r="G58" t="n">
        <v>2</v>
      </c>
      <c r="I58" t="inlineStr">
        <is>
          <t>OWGR 5 (2026-10-08)</t>
        </is>
      </c>
      <c r="J58" t="inlineStr">
        <is>
          <t>C</t>
        </is>
      </c>
      <c r="K58" t="inlineStr">
        <is>
          <t>OWGR rank from league standings pull (A); major-win probabilities = model (rank-weighted share of 4 majors)</t>
        </is>
      </c>
      <c r="L58" t="inlineStr">
        <is>
          <t>2026-10-08</t>
        </is>
      </c>
    </row>
    <row r="59">
      <c r="A59" t="n">
        <v>58</v>
      </c>
      <c r="B59" t="inlineStr">
        <is>
          <t>NFL</t>
        </is>
      </c>
      <c r="C59" t="inlineStr">
        <is>
          <t>Seattle Seahawks</t>
        </is>
      </c>
      <c r="D59">
        <f>'NFL'!M10</f>
        <v/>
      </c>
      <c r="E59">
        <f>'NFL'!N10</f>
        <v/>
      </c>
      <c r="F59">
        <f>'NFL'!O10</f>
        <v/>
      </c>
      <c r="G59" t="n">
        <v>2</v>
      </c>
      <c r="H59" t="inlineStr">
        <is>
          <t>Kalshi 8.5%</t>
        </is>
      </c>
      <c r="I59" t="inlineStr">
        <is>
          <t>3-1, NFC West</t>
        </is>
      </c>
      <c r="J59" t="inlineStr">
        <is>
          <t>A</t>
        </is>
      </c>
      <c r="K59" t="inlineStr">
        <is>
          <t>KXSB-27 exchange mid-price, pulled 2026-10-08; p(final)=KXNFLAFCCHAMP/KXNFLNFCCHAMP-27 Kalshi mid</t>
        </is>
      </c>
      <c r="L59" t="inlineStr">
        <is>
          <t>2026-10-08</t>
        </is>
      </c>
    </row>
    <row r="60">
      <c r="A60" t="n">
        <v>59</v>
      </c>
      <c r="B60" t="inlineStr">
        <is>
          <t>NBA</t>
        </is>
      </c>
      <c r="C60" t="inlineStr">
        <is>
          <t>Minnesota Timberwolves</t>
        </is>
      </c>
      <c r="D60">
        <f>'NBA'!M10</f>
        <v/>
      </c>
      <c r="E60">
        <f>'NBA'!N10</f>
        <v/>
      </c>
      <c r="F60">
        <f>'NBA'!O10</f>
        <v/>
      </c>
      <c r="G60" t="n">
        <v>2</v>
      </c>
      <c r="H60" t="inlineStr">
        <is>
          <t>Kalshi 6.5%</t>
        </is>
      </c>
      <c r="I60" t="inlineStr">
        <is>
          <t>West; win total 48.5</t>
        </is>
      </c>
      <c r="J60" t="inlineStr">
        <is>
          <t>A</t>
        </is>
      </c>
      <c r="K60" t="inlineStr">
        <is>
          <t>KXNBA-27 exchange mid-price, pulled 2026-10-08; p(final)=KXNBAEAST/KXNBAWEST-27 Kalshi mid</t>
        </is>
      </c>
      <c r="L60" t="inlineStr">
        <is>
          <t>2026-10-08</t>
        </is>
      </c>
    </row>
    <row r="61">
      <c r="A61" t="n">
        <v>60</v>
      </c>
      <c r="B61" t="inlineStr">
        <is>
          <t>Country</t>
        </is>
      </c>
      <c r="C61" t="inlineStr">
        <is>
          <t>India</t>
        </is>
      </c>
      <c r="D61">
        <f>'Country'!M6</f>
        <v/>
      </c>
      <c r="E61">
        <f>'Country'!N6</f>
        <v/>
      </c>
      <c r="F61">
        <f>'Country'!O6</f>
        <v/>
      </c>
      <c r="G61" t="n">
        <v>1</v>
      </c>
      <c r="I61" t="inlineStr">
        <is>
          <t>IMF Jul 2026: FY27 6.4%, FY28 6.7% (fiscal-year basis)</t>
        </is>
      </c>
      <c r="J61" t="inlineStr">
        <is>
          <t>A</t>
        </is>
      </c>
      <c r="K61" t="inlineStr">
        <is>
          <t>prior from IMF Jul-2026 update + regional outlooks; NO country-level 2027 table retrieved (IMF API blocked) — replace with the Oct 13 WEO</t>
        </is>
      </c>
      <c r="L61" t="inlineStr">
        <is>
          <t>2026-10-08</t>
        </is>
      </c>
    </row>
    <row r="62">
      <c r="A62" t="n">
        <v>61</v>
      </c>
      <c r="B62" t="inlineStr">
        <is>
          <t>NCAAF</t>
        </is>
      </c>
      <c r="C62" t="inlineStr">
        <is>
          <t>Alabama</t>
        </is>
      </c>
      <c r="D62">
        <f>'NCAAF'!M10</f>
        <v/>
      </c>
      <c r="E62">
        <f>'NCAAF'!N10</f>
        <v/>
      </c>
      <c r="F62">
        <f>'NCAAF'!O10</f>
        <v/>
      </c>
      <c r="G62" t="n">
        <v>2</v>
      </c>
      <c r="H62" t="inlineStr">
        <is>
          <t>Kalshi 9.5%</t>
        </is>
      </c>
      <c r="I62" t="inlineStr">
        <is>
          <t>AP #6, 5-0, SEC</t>
        </is>
      </c>
      <c r="J62" t="inlineStr">
        <is>
          <t>A</t>
        </is>
      </c>
      <c r="K62" t="inlineStr">
        <is>
          <t>KXNCAAF-27 exchange mid-price, pulled 2026-10-08</t>
        </is>
      </c>
      <c r="L62" t="inlineStr">
        <is>
          <t>2026-10-08</t>
        </is>
      </c>
    </row>
    <row r="63">
      <c r="A63" t="n">
        <v>62</v>
      </c>
      <c r="B63" t="inlineStr">
        <is>
          <t>MLS</t>
        </is>
      </c>
      <c r="C63" t="inlineStr">
        <is>
          <t>St. Louis City SC</t>
        </is>
      </c>
      <c r="D63">
        <f>'MLS'!M8</f>
        <v/>
      </c>
      <c r="E63">
        <f>'MLS'!N8</f>
        <v/>
      </c>
      <c r="F63">
        <f>'MLS'!O8</f>
        <v/>
      </c>
      <c r="G63" t="n">
        <v>2</v>
      </c>
      <c r="H63" t="inlineStr">
        <is>
          <t>2026 Cup: Kalshi 5.5%</t>
        </is>
      </c>
      <c r="I63" t="inlineStr">
        <is>
          <t>2026: 47 pts (as of 10-08; season ends Nov 7)</t>
        </is>
      </c>
      <c r="J63" t="inlineStr">
        <is>
          <t>C</t>
        </is>
      </c>
      <c r="K63" t="inlineStr">
        <is>
          <t>2026 points (league standings, A) + Kalshi KXMLSCUP-26 price as strength proxy, shrunk 50% toward the field</t>
        </is>
      </c>
      <c r="L63" t="inlineStr">
        <is>
          <t>2026-10-08</t>
        </is>
      </c>
    </row>
    <row r="64">
      <c r="A64" t="n">
        <v>63</v>
      </c>
      <c r="B64" t="inlineStr">
        <is>
          <t>Actress</t>
        </is>
      </c>
      <c r="C64" t="inlineStr">
        <is>
          <t>Hailee Steinfeld</t>
        </is>
      </c>
      <c r="D64">
        <f>'Actress'!M6</f>
        <v/>
      </c>
      <c r="E64">
        <f>'Actress'!N6</f>
        <v/>
      </c>
      <c r="F64">
        <f>'Actress'!O6</f>
        <v/>
      </c>
      <c r="G64" t="n">
        <v>1</v>
      </c>
      <c r="I64" t="inlineStr">
        <is>
          <t>Spider-Man: Beyond the Spider-Verse (Jun 18)</t>
        </is>
      </c>
      <c r="J64" t="inlineStr">
        <is>
          <t>C</t>
        </is>
      </c>
      <c r="K64" t="inlineStr">
        <is>
          <t>Wikipedia 'List of American films of 2027' casts (Actions-runner pull 2026-10-08) x comp-based box office/RT estimates; cast lists are billed leads only (cameos not captured)</t>
        </is>
      </c>
      <c r="L64" t="inlineStr">
        <is>
          <t>2026-10-08</t>
        </is>
      </c>
    </row>
    <row r="65">
      <c r="A65" t="n">
        <v>64</v>
      </c>
      <c r="B65" t="inlineStr">
        <is>
          <t>MLS</t>
        </is>
      </c>
      <c r="C65" t="inlineStr">
        <is>
          <t>FC Dallas</t>
        </is>
      </c>
      <c r="D65">
        <f>'MLS'!M9</f>
        <v/>
      </c>
      <c r="E65">
        <f>'MLS'!N9</f>
        <v/>
      </c>
      <c r="F65">
        <f>'MLS'!O9</f>
        <v/>
      </c>
      <c r="G65" t="n">
        <v>2</v>
      </c>
      <c r="H65" t="inlineStr">
        <is>
          <t>2026 Cup: Kalshi 4.5%</t>
        </is>
      </c>
      <c r="I65" t="inlineStr">
        <is>
          <t>2026: 47 pts (as of 10-08; season ends Nov 7)</t>
        </is>
      </c>
      <c r="J65" t="inlineStr">
        <is>
          <t>C</t>
        </is>
      </c>
      <c r="K65" t="inlineStr">
        <is>
          <t>2026 points (league standings, A) + Kalshi KXMLSCUP-26 price as strength proxy, shrunk 50% toward the field</t>
        </is>
      </c>
      <c r="L65" t="inlineStr">
        <is>
          <t>2026-10-08</t>
        </is>
      </c>
    </row>
    <row r="66">
      <c r="A66" t="n">
        <v>65</v>
      </c>
      <c r="B66" t="inlineStr">
        <is>
          <t>Actress</t>
        </is>
      </c>
      <c r="C66" t="inlineStr">
        <is>
          <t>Lauren Vélez</t>
        </is>
      </c>
      <c r="D66">
        <f>'Actress'!M7</f>
        <v/>
      </c>
      <c r="E66">
        <f>'Actress'!N7</f>
        <v/>
      </c>
      <c r="F66">
        <f>'Actress'!O7</f>
        <v/>
      </c>
      <c r="G66" t="n">
        <v>1</v>
      </c>
      <c r="I66" t="inlineStr">
        <is>
          <t>Spider-Man: Beyond the Spider-Verse (Jun 18)</t>
        </is>
      </c>
      <c r="J66" t="inlineStr">
        <is>
          <t>C</t>
        </is>
      </c>
      <c r="K66" t="inlineStr">
        <is>
          <t>Wikipedia 'List of American films of 2027' casts (Actions-runner pull 2026-10-08) x comp-based box office/RT estimates; cast lists are billed leads only (cameos not captured)</t>
        </is>
      </c>
      <c r="L66" t="inlineStr">
        <is>
          <t>2026-10-08</t>
        </is>
      </c>
    </row>
    <row r="67">
      <c r="A67" t="n">
        <v>66</v>
      </c>
      <c r="B67" t="inlineStr">
        <is>
          <t>NASCAR</t>
        </is>
      </c>
      <c r="C67" t="inlineStr">
        <is>
          <t>Chase Briscoe</t>
        </is>
      </c>
      <c r="D67">
        <f>'NASCAR'!M10</f>
        <v/>
      </c>
      <c r="E67">
        <f>'NASCAR'!N10</f>
        <v/>
      </c>
      <c r="F67">
        <f>'NASCAR'!O10</f>
        <v/>
      </c>
      <c r="G67" t="n">
        <v>2</v>
      </c>
      <c r="H67" t="inlineStr">
        <is>
          <t>2026 title: Kalshi 3.5%</t>
        </is>
      </c>
      <c r="I67" t="inlineStr">
        <is>
          <t>2 wins incl. Las Vegas; 6th</t>
        </is>
      </c>
      <c r="J67" t="inlineStr">
        <is>
          <t>C</t>
        </is>
      </c>
      <c r="K67" t="inlineStr">
        <is>
          <t>Kalshi KXNASCARCUPSERIES-NCS26 (2026 champion) shrunk to a 2027 prior; Chase standings via search</t>
        </is>
      </c>
      <c r="L67" t="inlineStr">
        <is>
          <t>2026-10-08</t>
        </is>
      </c>
    </row>
    <row r="68">
      <c r="A68" t="n">
        <v>67</v>
      </c>
      <c r="B68" t="inlineStr">
        <is>
          <t>Actress</t>
        </is>
      </c>
      <c r="C68" t="inlineStr">
        <is>
          <t>Kimiko Glenn</t>
        </is>
      </c>
      <c r="D68">
        <f>'Actress'!M8</f>
        <v/>
      </c>
      <c r="E68">
        <f>'Actress'!N8</f>
        <v/>
      </c>
      <c r="F68">
        <f>'Actress'!O8</f>
        <v/>
      </c>
      <c r="G68" t="n">
        <v>2</v>
      </c>
      <c r="I68" t="inlineStr">
        <is>
          <t>Spider-Man: Beyond the Spider-Verse (Jun 18)</t>
        </is>
      </c>
      <c r="J68" t="inlineStr">
        <is>
          <t>C</t>
        </is>
      </c>
      <c r="K68" t="inlineStr">
        <is>
          <t>Wikipedia 'List of American films of 2027' casts (Actions-runner pull 2026-10-08) x comp-based box office/RT estimates; cast lists are billed leads only (cameos not captured)</t>
        </is>
      </c>
      <c r="L68" t="inlineStr">
        <is>
          <t>2026-10-08</t>
        </is>
      </c>
    </row>
    <row r="69">
      <c r="A69" t="n">
        <v>68</v>
      </c>
      <c r="B69" t="inlineStr">
        <is>
          <t>Country</t>
        </is>
      </c>
      <c r="C69" t="inlineStr">
        <is>
          <t>Ethiopia</t>
        </is>
      </c>
      <c r="D69">
        <f>'Country'!M7</f>
        <v/>
      </c>
      <c r="E69">
        <f>'Country'!N7</f>
        <v/>
      </c>
      <c r="F69">
        <f>'Country'!O7</f>
        <v/>
      </c>
      <c r="G69" t="n">
        <v>1</v>
      </c>
      <c r="I69" t="inlineStr">
        <is>
          <t>IMF projections not reported (debt restructuring) — an n/a forecast is a scoring risk</t>
        </is>
      </c>
      <c r="J69" t="inlineStr">
        <is>
          <t>B</t>
        </is>
      </c>
      <c r="K69" t="inlineStr">
        <is>
          <t>prior from IMF Jul-2026 update + regional outlooks; NO country-level 2027 table retrieved (IMF API blocked) — replace with the Oct 13 WEO</t>
        </is>
      </c>
      <c r="L69" t="inlineStr">
        <is>
          <t>2026-10-08</t>
        </is>
      </c>
    </row>
    <row r="70">
      <c r="A70" t="n">
        <v>69</v>
      </c>
      <c r="B70" t="inlineStr">
        <is>
          <t>Actor</t>
        </is>
      </c>
      <c r="C70" t="inlineStr">
        <is>
          <t>Josh Gad</t>
        </is>
      </c>
      <c r="D70">
        <f>'Actor'!M8</f>
        <v/>
      </c>
      <c r="E70">
        <f>'Actor'!N8</f>
        <v/>
      </c>
      <c r="F70">
        <f>'Actor'!O8</f>
        <v/>
      </c>
      <c r="G70" t="n">
        <v>2</v>
      </c>
      <c r="I70" t="inlineStr">
        <is>
          <t>Frozen 3 (Nov 24); Untitled Ocean's Eleven prequel (Jun 25); Spaceballs: The New One (Apr 23)</t>
        </is>
      </c>
      <c r="J70" t="inlineStr">
        <is>
          <t>C</t>
        </is>
      </c>
      <c r="K70" t="inlineStr">
        <is>
          <t>Wikipedia 'List of American films of 2027' casts (Actions-runner pull 2026-10-08) x comp-based box office/RT estimates; cast lists are billed leads only (cameos not captured)</t>
        </is>
      </c>
      <c r="L70" t="inlineStr">
        <is>
          <t>2026-10-08</t>
        </is>
      </c>
    </row>
    <row r="71">
      <c r="A71" t="n">
        <v>70</v>
      </c>
      <c r="B71" t="inlineStr">
        <is>
          <t>Actor</t>
        </is>
      </c>
      <c r="C71" t="inlineStr">
        <is>
          <t>Brian Tyree Henry</t>
        </is>
      </c>
      <c r="D71">
        <f>'Actor'!M9</f>
        <v/>
      </c>
      <c r="E71">
        <f>'Actor'!N9</f>
        <v/>
      </c>
      <c r="F71">
        <f>'Actor'!O9</f>
        <v/>
      </c>
      <c r="G71" t="n">
        <v>2</v>
      </c>
      <c r="I71" t="inlineStr">
        <is>
          <t>Spider-Man: Beyond the Spider-Verse (Jun 18); Panic Carefully (Apr 9)</t>
        </is>
      </c>
      <c r="J71" t="inlineStr">
        <is>
          <t>C</t>
        </is>
      </c>
      <c r="K71" t="inlineStr">
        <is>
          <t>Wikipedia 'List of American films of 2027' casts (Actions-runner pull 2026-10-08) x comp-based box office/RT estimates; cast lists are billed leads only (cameos not captured)</t>
        </is>
      </c>
      <c r="L71" t="inlineStr">
        <is>
          <t>2026-10-08</t>
        </is>
      </c>
    </row>
    <row r="72">
      <c r="A72" t="n">
        <v>71</v>
      </c>
      <c r="B72" t="inlineStr">
        <is>
          <t>NHL</t>
        </is>
      </c>
      <c r="C72" t="inlineStr">
        <is>
          <t>Minnesota Wild</t>
        </is>
      </c>
      <c r="D72">
        <f>'NHL'!M9</f>
        <v/>
      </c>
      <c r="E72">
        <f>'NHL'!N9</f>
        <v/>
      </c>
      <c r="F72">
        <f>'NHL'!O9</f>
        <v/>
      </c>
      <c r="G72" t="n">
        <v>2</v>
      </c>
      <c r="H72" t="inlineStr">
        <is>
          <t>Kalshi 6.5%</t>
        </is>
      </c>
      <c r="I72" t="inlineStr">
        <is>
          <t>West</t>
        </is>
      </c>
      <c r="J72" t="inlineStr">
        <is>
          <t>A</t>
        </is>
      </c>
      <c r="K72" t="inlineStr">
        <is>
          <t>KXNHL-27 exchange mid-price, pulled 2026-10-08; p(final)=KXNHLEAST/KXNHLWEST-27 Kalshi mid</t>
        </is>
      </c>
      <c r="L72" t="inlineStr">
        <is>
          <t>2026-10-08</t>
        </is>
      </c>
    </row>
    <row r="73">
      <c r="A73" t="n">
        <v>72</v>
      </c>
      <c r="B73" t="inlineStr">
        <is>
          <t>Golf</t>
        </is>
      </c>
      <c r="C73" t="inlineStr">
        <is>
          <t>Russell Henley</t>
        </is>
      </c>
      <c r="D73">
        <f>'Golf'!M10</f>
        <v/>
      </c>
      <c r="E73">
        <f>'Golf'!N10</f>
        <v/>
      </c>
      <c r="F73">
        <f>'Golf'!O10</f>
        <v/>
      </c>
      <c r="G73" t="n">
        <v>2</v>
      </c>
      <c r="I73" t="inlineStr">
        <is>
          <t>OWGR 6 (2026-10-08)</t>
        </is>
      </c>
      <c r="J73" t="inlineStr">
        <is>
          <t>C</t>
        </is>
      </c>
      <c r="K73" t="inlineStr">
        <is>
          <t>OWGR rank from league standings pull (A); major-win probabilities = model (rank-weighted share of 4 majors)</t>
        </is>
      </c>
      <c r="L73" t="inlineStr">
        <is>
          <t>2026-10-08</t>
        </is>
      </c>
    </row>
    <row r="74">
      <c r="A74" t="n">
        <v>73</v>
      </c>
      <c r="B74" t="inlineStr">
        <is>
          <t>Actress</t>
        </is>
      </c>
      <c r="C74" t="inlineStr">
        <is>
          <t>Adria Arjona</t>
        </is>
      </c>
      <c r="D74">
        <f>'Actress'!M9</f>
        <v/>
      </c>
      <c r="E74">
        <f>'Actress'!N9</f>
        <v/>
      </c>
      <c r="F74">
        <f>'Actress'!O9</f>
        <v/>
      </c>
      <c r="G74" t="n">
        <v>2</v>
      </c>
      <c r="I74" t="inlineStr">
        <is>
          <t>Man of Tomorrow (Jul 9); The Thomas Crown Affair (Mar 5)</t>
        </is>
      </c>
      <c r="J74" t="inlineStr">
        <is>
          <t>C</t>
        </is>
      </c>
      <c r="K74" t="inlineStr">
        <is>
          <t>Wikipedia 'List of American films of 2027' casts (Actions-runner pull 2026-10-08) x comp-based box office/RT estimates; cast lists are billed leads only (cameos not captured)</t>
        </is>
      </c>
      <c r="L74" t="inlineStr">
        <is>
          <t>2026-10-08</t>
        </is>
      </c>
    </row>
    <row r="75">
      <c r="A75" t="n">
        <v>74</v>
      </c>
      <c r="B75" t="inlineStr">
        <is>
          <t>Country</t>
        </is>
      </c>
      <c r="C75" t="inlineStr">
        <is>
          <t>Guinea</t>
        </is>
      </c>
      <c r="D75">
        <f>'Country'!M8</f>
        <v/>
      </c>
      <c r="E75">
        <f>'Country'!N8</f>
        <v/>
      </c>
      <c r="F75">
        <f>'Country'!O8</f>
        <v/>
      </c>
      <c r="G75" t="n">
        <v>2</v>
      </c>
      <c r="I75" t="inlineStr">
        <is>
          <t>Simandou iron-ore ramp</t>
        </is>
      </c>
      <c r="J75" t="inlineStr">
        <is>
          <t>C</t>
        </is>
      </c>
      <c r="K75" t="inlineStr">
        <is>
          <t>prior from IMF Jul-2026 update + regional outlooks; NO country-level 2027 table retrieved (IMF API blocked) — replace with the Oct 13 WEO</t>
        </is>
      </c>
      <c r="L75" t="inlineStr">
        <is>
          <t>2026-10-08</t>
        </is>
      </c>
    </row>
    <row r="76">
      <c r="A76" t="n">
        <v>75</v>
      </c>
      <c r="B76" t="inlineStr">
        <is>
          <t>MLS</t>
        </is>
      </c>
      <c r="C76" t="inlineStr">
        <is>
          <t>New England Revolution</t>
        </is>
      </c>
      <c r="D76">
        <f>'MLS'!M10</f>
        <v/>
      </c>
      <c r="E76">
        <f>'MLS'!N10</f>
        <v/>
      </c>
      <c r="F76">
        <f>'MLS'!O10</f>
        <v/>
      </c>
      <c r="G76" t="n">
        <v>2</v>
      </c>
      <c r="H76" t="inlineStr">
        <is>
          <t>2026 Cup: Kalshi 3.5%</t>
        </is>
      </c>
      <c r="I76" t="inlineStr">
        <is>
          <t>2026: 46 pts (as of 10-08; season ends Nov 7)</t>
        </is>
      </c>
      <c r="J76" t="inlineStr">
        <is>
          <t>C</t>
        </is>
      </c>
      <c r="K76" t="inlineStr">
        <is>
          <t>2026 points (league standings, A) + Kalshi KXMLSCUP-26 price as strength proxy, shrunk 50% toward the field</t>
        </is>
      </c>
      <c r="L76" t="inlineStr">
        <is>
          <t>2026-10-08</t>
        </is>
      </c>
    </row>
    <row r="77">
      <c r="A77" t="n">
        <v>76</v>
      </c>
      <c r="B77" t="inlineStr">
        <is>
          <t>Musician</t>
        </is>
      </c>
      <c r="C77" t="inlineStr">
        <is>
          <t>Harry Styles</t>
        </is>
      </c>
      <c r="D77">
        <f>'Musician'!M10</f>
        <v/>
      </c>
      <c r="E77">
        <f>'Musician'!N10</f>
        <v/>
      </c>
      <c r="F77">
        <f>'Musician'!O10</f>
        <v/>
      </c>
      <c r="G77" t="n">
        <v>2</v>
      </c>
      <c r="H77" t="inlineStr">
        <is>
          <t>Grammy EV 3.7</t>
        </is>
      </c>
      <c r="I77" t="inlineStr">
        <is>
          <t>'Aperture' 1 wk #1 (Feb 2026); 'Kiss All the Time. Disco, Occasionally'</t>
        </is>
      </c>
      <c r="J77" t="inlineStr">
        <is>
          <t>C</t>
        </is>
      </c>
      <c r="K77" t="inlineStr">
        <is>
          <t>2027 Hot 100 baseline = my estimate; Grammy: Kalshi KXGRAM*-69 prices (A) + estimates for other categories (C)</t>
        </is>
      </c>
      <c r="L77" t="inlineStr">
        <is>
          <t>2026-10-08</t>
        </is>
      </c>
    </row>
    <row r="78">
      <c r="A78" t="n">
        <v>77</v>
      </c>
      <c r="B78" t="inlineStr">
        <is>
          <t>Actor</t>
        </is>
      </c>
      <c r="C78" t="inlineStr">
        <is>
          <t>Matt Berry</t>
        </is>
      </c>
      <c r="D78">
        <f>'Actor'!M10</f>
        <v/>
      </c>
      <c r="E78">
        <f>'Actor'!N10</f>
        <v/>
      </c>
      <c r="F78">
        <f>'Actor'!O10</f>
        <v/>
      </c>
      <c r="G78" t="n">
        <v>2</v>
      </c>
      <c r="I78" t="inlineStr">
        <is>
          <t>Sonic the Hedgehog 4 (Mar 19); A Minecraft Movie Squared (Jul 23)</t>
        </is>
      </c>
      <c r="J78" t="inlineStr">
        <is>
          <t>C</t>
        </is>
      </c>
      <c r="K78" t="inlineStr">
        <is>
          <t>Wikipedia 'List of American films of 2027' casts (Actions-runner pull 2026-10-08) x comp-based box office/RT estimates; cast lists are billed leads only (cameos not captured)</t>
        </is>
      </c>
      <c r="L78" t="inlineStr">
        <is>
          <t>2026-10-08</t>
        </is>
      </c>
    </row>
    <row r="79">
      <c r="A79" t="n">
        <v>78</v>
      </c>
      <c r="B79" t="inlineStr">
        <is>
          <t>MLB</t>
        </is>
      </c>
      <c r="C79" t="inlineStr">
        <is>
          <t>San Diego Padres</t>
        </is>
      </c>
      <c r="D79">
        <f>'MLB'!M10</f>
        <v/>
      </c>
      <c r="E79">
        <f>'MLB'!N10</f>
        <v/>
      </c>
      <c r="F79">
        <f>'MLB'!O10</f>
        <v/>
      </c>
      <c r="G79" t="n">
        <v>2</v>
      </c>
      <c r="I79" t="inlineStr">
        <is>
          <t>2026: 91-71 (.5617)</t>
        </is>
      </c>
      <c r="J79" t="inlineStr">
        <is>
          <t>C</t>
        </is>
      </c>
      <c r="K79" t="inlineStr">
        <is>
          <t>2026 win% from league standings (A); title prob = model estimate — no 2027 World Series odds posted</t>
        </is>
      </c>
      <c r="L79" t="inlineStr">
        <is>
          <t>2026-10-08</t>
        </is>
      </c>
    </row>
    <row r="80">
      <c r="A80" t="n">
        <v>79</v>
      </c>
      <c r="B80" t="inlineStr">
        <is>
          <t>Stock</t>
        </is>
      </c>
      <c r="C80" t="inlineStr">
        <is>
          <t>RKLB (Long)</t>
        </is>
      </c>
      <c r="D80">
        <f>'Stock'!M5</f>
        <v/>
      </c>
      <c r="E80">
        <f>'Stock'!N5</f>
        <v/>
      </c>
      <c r="F80">
        <f>'Stock'!O5</f>
        <v/>
      </c>
      <c r="G80" t="n">
        <v>1</v>
      </c>
      <c r="I80" t="inlineStr">
        <is>
          <t>Neutron first launch</t>
        </is>
      </c>
      <c r="J80" t="inlineStr">
        <is>
          <t>C</t>
        </is>
      </c>
      <c r="K80" t="inlineStr">
        <is>
          <t>my estimate: sector view + typical vol; no price data pulled (verify quotes before drafting)</t>
        </is>
      </c>
      <c r="L80" t="inlineStr">
        <is>
          <t>2026-10-08</t>
        </is>
      </c>
    </row>
    <row r="81">
      <c r="A81" t="n">
        <v>80</v>
      </c>
      <c r="B81" t="inlineStr">
        <is>
          <t>NCAAB</t>
        </is>
      </c>
      <c r="C81" t="inlineStr">
        <is>
          <t>Michigan State</t>
        </is>
      </c>
      <c r="D81">
        <f>'NCAAB'!M10</f>
        <v/>
      </c>
      <c r="E81">
        <f>'NCAAB'!N10</f>
        <v/>
      </c>
      <c r="F81">
        <f>'NCAAB'!O10</f>
        <v/>
      </c>
      <c r="G81" t="n">
        <v>2</v>
      </c>
      <c r="H81" t="inlineStr">
        <is>
          <t>+2200</t>
        </is>
      </c>
      <c r="I81" t="inlineStr"/>
      <c r="J81" t="inlineStr">
        <is>
          <t>B</t>
        </is>
      </c>
      <c r="K81" t="inlineStr">
        <is>
          <t>CBS Sports title odds 2026-08-04</t>
        </is>
      </c>
      <c r="L81" t="inlineStr">
        <is>
          <t>2026-10-08</t>
        </is>
      </c>
    </row>
    <row r="82">
      <c r="A82" t="n">
        <v>81</v>
      </c>
      <c r="B82" t="inlineStr">
        <is>
          <t>Stock</t>
        </is>
      </c>
      <c r="C82" t="inlineStr">
        <is>
          <t>AMD (Long)</t>
        </is>
      </c>
      <c r="D82">
        <f>'Stock'!M6</f>
        <v/>
      </c>
      <c r="E82">
        <f>'Stock'!N6</f>
        <v/>
      </c>
      <c r="F82">
        <f>'Stock'!O6</f>
        <v/>
      </c>
      <c r="G82" t="n">
        <v>1</v>
      </c>
      <c r="I82" t="inlineStr">
        <is>
          <t>MI400/Helios ramp 2H26-27</t>
        </is>
      </c>
      <c r="J82" t="inlineStr">
        <is>
          <t>C</t>
        </is>
      </c>
      <c r="K82" t="inlineStr">
        <is>
          <t>my estimate: sector view + typical vol; no price data pulled (verify quotes before drafting)</t>
        </is>
      </c>
      <c r="L82" t="inlineStr">
        <is>
          <t>2026-10-08</t>
        </is>
      </c>
    </row>
    <row r="83">
      <c r="A83" t="n">
        <v>82</v>
      </c>
      <c r="B83" t="inlineStr">
        <is>
          <t>Tennis</t>
        </is>
      </c>
      <c r="C83" t="inlineStr">
        <is>
          <t>Jessica Pegula</t>
        </is>
      </c>
      <c r="D83">
        <f>'Tennis'!M10</f>
        <v/>
      </c>
      <c r="E83">
        <f>'Tennis'!N10</f>
        <v/>
      </c>
      <c r="F83">
        <f>'Tennis'!O10</f>
        <v/>
      </c>
      <c r="G83" t="n">
        <v>2</v>
      </c>
      <c r="I83" t="inlineStr">
        <is>
          <t>WTA 3 (2026-10-08)</t>
        </is>
      </c>
      <c r="J83" t="inlineStr">
        <is>
          <t>C</t>
        </is>
      </c>
      <c r="K83" t="inlineStr">
        <is>
          <t>ATP rank from league standings pull (A) / WTA via Olympics.com Oct 5; AO odds VegasInsider/Johnnybet Oct 2026; probabilities = agent estimates</t>
        </is>
      </c>
      <c r="L83" t="inlineStr">
        <is>
          <t>2026-10-08</t>
        </is>
      </c>
    </row>
    <row r="84">
      <c r="A84" t="n">
        <v>83</v>
      </c>
      <c r="B84" t="inlineStr">
        <is>
          <t>Country</t>
        </is>
      </c>
      <c r="C84" t="inlineStr">
        <is>
          <t>Niger</t>
        </is>
      </c>
      <c r="D84">
        <f>'Country'!M9</f>
        <v/>
      </c>
      <c r="E84">
        <f>'Country'!N9</f>
        <v/>
      </c>
      <c r="F84">
        <f>'Country'!O9</f>
        <v/>
      </c>
      <c r="G84" t="n">
        <v>2</v>
      </c>
      <c r="I84" t="inlineStr">
        <is>
          <t>Oil pipeline; junta/security risk</t>
        </is>
      </c>
      <c r="J84" t="inlineStr">
        <is>
          <t>B</t>
        </is>
      </c>
      <c r="K84" t="inlineStr">
        <is>
          <t>prior from IMF Jul-2026 update + regional outlooks; NO country-level 2027 table retrieved (IMF API blocked) — replace with the Oct 13 WEO</t>
        </is>
      </c>
      <c r="L84" t="inlineStr">
        <is>
          <t>2026-10-08</t>
        </is>
      </c>
    </row>
    <row r="85">
      <c r="A85" t="n">
        <v>84</v>
      </c>
      <c r="B85" t="inlineStr">
        <is>
          <t>Actress</t>
        </is>
      </c>
      <c r="C85" t="inlineStr">
        <is>
          <t>Amy Adams</t>
        </is>
      </c>
      <c r="D85">
        <f>'Actress'!M10</f>
        <v/>
      </c>
      <c r="E85">
        <f>'Actress'!N10</f>
        <v/>
      </c>
      <c r="F85">
        <f>'Actress'!O10</f>
        <v/>
      </c>
      <c r="G85" t="n">
        <v>2</v>
      </c>
      <c r="I85" t="inlineStr">
        <is>
          <t>Starfighter (May 28)</t>
        </is>
      </c>
      <c r="J85" t="inlineStr">
        <is>
          <t>C</t>
        </is>
      </c>
      <c r="K85" t="inlineStr">
        <is>
          <t>Wikipedia 'List of American films of 2027' casts (Actions-runner pull 2026-10-08) x comp-based box office/RT estimates; cast lists are billed leads only (cameos not captured)</t>
        </is>
      </c>
      <c r="L85" t="inlineStr">
        <is>
          <t>2026-10-08</t>
        </is>
      </c>
    </row>
    <row r="86">
      <c r="A86" t="n">
        <v>85</v>
      </c>
      <c r="B86" t="inlineStr">
        <is>
          <t>Country</t>
        </is>
      </c>
      <c r="C86" t="inlineStr">
        <is>
          <t>South Sudan</t>
        </is>
      </c>
      <c r="D86">
        <f>'Country'!M10</f>
        <v/>
      </c>
      <c r="E86">
        <f>'Country'!N10</f>
        <v/>
      </c>
      <c r="F86">
        <f>'Country'!O10</f>
        <v/>
      </c>
      <c r="G86" t="n">
        <v>2</v>
      </c>
      <c r="I86" t="inlineStr">
        <is>
          <t>Oil-pipeline dependent; 2026 printed 22%+ vs forecast ~4.5%</t>
        </is>
      </c>
      <c r="J86" t="inlineStr">
        <is>
          <t>C</t>
        </is>
      </c>
      <c r="K86" t="inlineStr">
        <is>
          <t>prior from IMF Jul-2026 update + regional outlooks; NO country-level 2027 table retrieved (IMF API blocked) — replace with the Oct 13 WEO</t>
        </is>
      </c>
      <c r="L86" t="inlineStr">
        <is>
          <t>2026-10-08</t>
        </is>
      </c>
    </row>
    <row r="87">
      <c r="A87" t="n">
        <v>86</v>
      </c>
      <c r="B87" t="inlineStr">
        <is>
          <t>Stock</t>
        </is>
      </c>
      <c r="C87" t="inlineStr">
        <is>
          <t>COIN (Long)</t>
        </is>
      </c>
      <c r="D87">
        <f>'Stock'!M7</f>
        <v/>
      </c>
      <c r="E87">
        <f>'Stock'!N7</f>
        <v/>
      </c>
      <c r="F87">
        <f>'Stock'!O7</f>
        <v/>
      </c>
      <c r="G87" t="n">
        <v>1</v>
      </c>
      <c r="I87" t="inlineStr">
        <is>
          <t>BTC-cycle beta</t>
        </is>
      </c>
      <c r="J87" t="inlineStr">
        <is>
          <t>C</t>
        </is>
      </c>
      <c r="K87" t="inlineStr">
        <is>
          <t>my estimate: sector view + typical vol; no price data pulled (verify quotes before drafting)</t>
        </is>
      </c>
      <c r="L87" t="inlineStr">
        <is>
          <t>2026-10-08</t>
        </is>
      </c>
    </row>
    <row r="88">
      <c r="A88" t="n">
        <v>87</v>
      </c>
      <c r="B88" t="inlineStr">
        <is>
          <t>NHL</t>
        </is>
      </c>
      <c r="C88" t="inlineStr">
        <is>
          <t>Dallas Stars</t>
        </is>
      </c>
      <c r="D88">
        <f>'NHL'!M10</f>
        <v/>
      </c>
      <c r="E88">
        <f>'NHL'!N10</f>
        <v/>
      </c>
      <c r="F88">
        <f>'NHL'!O10</f>
        <v/>
      </c>
      <c r="G88" t="n">
        <v>2</v>
      </c>
      <c r="H88" t="inlineStr">
        <is>
          <t>Kalshi 5.5%</t>
        </is>
      </c>
      <c r="I88" t="inlineStr">
        <is>
          <t>West</t>
        </is>
      </c>
      <c r="J88" t="inlineStr">
        <is>
          <t>A</t>
        </is>
      </c>
      <c r="K88" t="inlineStr">
        <is>
          <t>KXNHL-27 exchange mid-price, pulled 2026-10-08; p(final)=KXNHLEAST/KXNHLWEST-27 Kalshi mid</t>
        </is>
      </c>
      <c r="L88" t="inlineStr">
        <is>
          <t>2026-10-08</t>
        </is>
      </c>
    </row>
    <row r="89">
      <c r="A89" t="n">
        <v>88</v>
      </c>
      <c r="B89" t="inlineStr">
        <is>
          <t>Stock</t>
        </is>
      </c>
      <c r="C89" t="inlineStr">
        <is>
          <t>HOOD (Long)</t>
        </is>
      </c>
      <c r="D89">
        <f>'Stock'!M8</f>
        <v/>
      </c>
      <c r="E89">
        <f>'Stock'!N8</f>
        <v/>
      </c>
      <c r="F89">
        <f>'Stock'!O8</f>
        <v/>
      </c>
      <c r="G89" t="n">
        <v>2</v>
      </c>
      <c r="I89" t="inlineStr">
        <is>
          <t>crypto/retail volumes</t>
        </is>
      </c>
      <c r="J89" t="inlineStr">
        <is>
          <t>C</t>
        </is>
      </c>
      <c r="K89" t="inlineStr">
        <is>
          <t>my estimate: sector view + typical vol; no price data pulled (verify quotes before drafting)</t>
        </is>
      </c>
      <c r="L89" t="inlineStr">
        <is>
          <t>2026-10-08</t>
        </is>
      </c>
    </row>
    <row r="90">
      <c r="A90" t="n">
        <v>89</v>
      </c>
      <c r="B90" t="inlineStr">
        <is>
          <t>Stock</t>
        </is>
      </c>
      <c r="C90" t="inlineStr">
        <is>
          <t>OKLO (Long)</t>
        </is>
      </c>
      <c r="D90">
        <f>'Stock'!M9</f>
        <v/>
      </c>
      <c r="E90">
        <f>'Stock'!N9</f>
        <v/>
      </c>
      <c r="F90">
        <f>'Stock'!O9</f>
        <v/>
      </c>
      <c r="G90" t="n">
        <v>2</v>
      </c>
      <c r="I90" t="inlineStr">
        <is>
          <t>nuclear/AI power milestones</t>
        </is>
      </c>
      <c r="J90" t="inlineStr">
        <is>
          <t>C</t>
        </is>
      </c>
      <c r="K90" t="inlineStr">
        <is>
          <t>my estimate: sector view + typical vol; no price data pulled (verify quotes before drafting)</t>
        </is>
      </c>
      <c r="L90" t="inlineStr">
        <is>
          <t>2026-10-08</t>
        </is>
      </c>
    </row>
    <row r="91">
      <c r="A91" t="n">
        <v>90</v>
      </c>
      <c r="B91" t="inlineStr">
        <is>
          <t>Stock</t>
        </is>
      </c>
      <c r="C91" t="inlineStr">
        <is>
          <t>NVDA (Long)</t>
        </is>
      </c>
      <c r="D91">
        <f>'Stock'!M10</f>
        <v/>
      </c>
      <c r="E91">
        <f>'Stock'!N10</f>
        <v/>
      </c>
      <c r="F91">
        <f>'Stock'!O10</f>
        <v/>
      </c>
      <c r="G91" t="n">
        <v>2</v>
      </c>
      <c r="I91" t="inlineStr">
        <is>
          <t>mega-cap AI; ~$221 (Sep 1); beta ~1.7</t>
        </is>
      </c>
      <c r="J91" t="inlineStr">
        <is>
          <t>C</t>
        </is>
      </c>
      <c r="K91" t="inlineStr">
        <is>
          <t>my estimate: sector view + typical vol; no price data pulled (verify quotes before drafting)</t>
        </is>
      </c>
      <c r="L91" t="inlineStr">
        <is>
          <t>2026-10-08</t>
        </is>
      </c>
    </row>
    <row r="92">
      <c r="A92" t="n">
        <v>91</v>
      </c>
      <c r="B92" t="inlineStr">
        <is>
          <t>NFL</t>
        </is>
      </c>
      <c r="C92" t="inlineStr">
        <is>
          <t>Jacksonville Jaguars</t>
        </is>
      </c>
      <c r="D92">
        <f>'NFL'!M11</f>
        <v/>
      </c>
      <c r="E92">
        <f>'NFL'!N11</f>
        <v/>
      </c>
      <c r="F92">
        <f>'NFL'!O11</f>
        <v/>
      </c>
      <c r="G92" t="n">
        <v>2</v>
      </c>
      <c r="H92" t="inlineStr">
        <is>
          <t>Kalshi 6.5%</t>
        </is>
      </c>
      <c r="I92" t="inlineStr">
        <is>
          <t>3-1, AFC South</t>
        </is>
      </c>
      <c r="J92" t="inlineStr">
        <is>
          <t>A</t>
        </is>
      </c>
      <c r="K92" t="inlineStr">
        <is>
          <t>KXSB-27 exchange mid-price, pulled 2026-10-08; p(final)=KXNFLAFCCHAMP/KXNFLNFCCHAMP-27 Kalshi mid</t>
        </is>
      </c>
      <c r="L92" t="inlineStr">
        <is>
          <t>2026-10-08</t>
        </is>
      </c>
    </row>
    <row r="93">
      <c r="A93" t="n">
        <v>92</v>
      </c>
      <c r="B93" t="inlineStr">
        <is>
          <t>NBA</t>
        </is>
      </c>
      <c r="C93" t="inlineStr">
        <is>
          <t>Miami Heat</t>
        </is>
      </c>
      <c r="D93">
        <f>'NBA'!M11</f>
        <v/>
      </c>
      <c r="E93">
        <f>'NBA'!N11</f>
        <v/>
      </c>
      <c r="F93">
        <f>'NBA'!O11</f>
        <v/>
      </c>
      <c r="G93" t="n">
        <v>2</v>
      </c>
      <c r="H93" t="inlineStr">
        <is>
          <t>Kalshi 6.5%</t>
        </is>
      </c>
      <c r="I93" t="inlineStr">
        <is>
          <t>East; win total 46.5</t>
        </is>
      </c>
      <c r="J93" t="inlineStr">
        <is>
          <t>A</t>
        </is>
      </c>
      <c r="K93" t="inlineStr">
        <is>
          <t>KXNBA-27 exchange mid-price, pulled 2026-10-08; p(final)=KXNBAEAST/KXNBAWEST-27 Kalshi mid</t>
        </is>
      </c>
      <c r="L93" t="inlineStr">
        <is>
          <t>2026-10-08</t>
        </is>
      </c>
    </row>
    <row r="94">
      <c r="A94" t="n">
        <v>93</v>
      </c>
      <c r="B94" t="inlineStr">
        <is>
          <t>MLB</t>
        </is>
      </c>
      <c r="C94" t="inlineStr">
        <is>
          <t>Chicago Cubs</t>
        </is>
      </c>
      <c r="D94">
        <f>'MLB'!M11</f>
        <v/>
      </c>
      <c r="E94">
        <f>'MLB'!N11</f>
        <v/>
      </c>
      <c r="F94">
        <f>'MLB'!O11</f>
        <v/>
      </c>
      <c r="G94" t="n">
        <v>2</v>
      </c>
      <c r="I94" t="inlineStr">
        <is>
          <t>2026: 89-73 (.5494)</t>
        </is>
      </c>
      <c r="J94" t="inlineStr">
        <is>
          <t>C</t>
        </is>
      </c>
      <c r="K94" t="inlineStr">
        <is>
          <t>2026 win% from league standings (A); title prob = model estimate — no 2027 World Series odds posted</t>
        </is>
      </c>
      <c r="L94" t="inlineStr">
        <is>
          <t>2026-10-08</t>
        </is>
      </c>
    </row>
    <row r="95">
      <c r="A95" t="n">
        <v>94</v>
      </c>
      <c r="B95" t="inlineStr">
        <is>
          <t>NHL</t>
        </is>
      </c>
      <c r="C95" t="inlineStr">
        <is>
          <t>Vegas Golden Knights</t>
        </is>
      </c>
      <c r="D95">
        <f>'NHL'!M11</f>
        <v/>
      </c>
      <c r="E95">
        <f>'NHL'!N11</f>
        <v/>
      </c>
      <c r="F95">
        <f>'NHL'!O11</f>
        <v/>
      </c>
      <c r="G95" t="n">
        <v>2</v>
      </c>
      <c r="H95" t="inlineStr">
        <is>
          <t>Kalshi 7.5%</t>
        </is>
      </c>
      <c r="I95" t="inlineStr">
        <is>
          <t>West</t>
        </is>
      </c>
      <c r="J95" t="inlineStr">
        <is>
          <t>A</t>
        </is>
      </c>
      <c r="K95" t="inlineStr">
        <is>
          <t>KXNHL-27 exchange mid-price, pulled 2026-10-08; p(final)=KXNHLEAST/KXNHLWEST-27 Kalshi mid</t>
        </is>
      </c>
      <c r="L95" t="inlineStr">
        <is>
          <t>2026-10-08</t>
        </is>
      </c>
    </row>
    <row r="96">
      <c r="A96" t="n">
        <v>95</v>
      </c>
      <c r="B96" t="inlineStr">
        <is>
          <t>NCAAF</t>
        </is>
      </c>
      <c r="C96" t="inlineStr">
        <is>
          <t>Indiana</t>
        </is>
      </c>
      <c r="D96">
        <f>'NCAAF'!M11</f>
        <v/>
      </c>
      <c r="E96">
        <f>'NCAAF'!N11</f>
        <v/>
      </c>
      <c r="F96">
        <f>'NCAAF'!O11</f>
        <v/>
      </c>
      <c r="G96" t="n">
        <v>2</v>
      </c>
      <c r="H96" t="inlineStr">
        <is>
          <t>Kalshi 7.5%</t>
        </is>
      </c>
      <c r="I96" t="inlineStr">
        <is>
          <t>AP #7, 5-0, Big Ten</t>
        </is>
      </c>
      <c r="J96" t="inlineStr">
        <is>
          <t>A</t>
        </is>
      </c>
      <c r="K96" t="inlineStr">
        <is>
          <t>KXNCAAF-27 exchange mid-price, pulled 2026-10-08</t>
        </is>
      </c>
      <c r="L96" t="inlineStr">
        <is>
          <t>2026-10-08</t>
        </is>
      </c>
    </row>
    <row r="97">
      <c r="A97" t="n">
        <v>96</v>
      </c>
      <c r="B97" t="inlineStr">
        <is>
          <t>NCAAB</t>
        </is>
      </c>
      <c r="C97" t="inlineStr">
        <is>
          <t>Houston</t>
        </is>
      </c>
      <c r="D97">
        <f>'NCAAB'!M11</f>
        <v/>
      </c>
      <c r="E97">
        <f>'NCAAB'!N11</f>
        <v/>
      </c>
      <c r="F97">
        <f>'NCAAB'!O11</f>
        <v/>
      </c>
      <c r="G97" t="n">
        <v>2</v>
      </c>
      <c r="H97" t="inlineStr">
        <is>
          <t>+2500</t>
        </is>
      </c>
      <c r="I97" t="inlineStr"/>
      <c r="J97" t="inlineStr">
        <is>
          <t>B</t>
        </is>
      </c>
      <c r="K97" t="inlineStr">
        <is>
          <t>CBS Sports title odds 2026-08-04</t>
        </is>
      </c>
      <c r="L97" t="inlineStr">
        <is>
          <t>2026-10-08</t>
        </is>
      </c>
    </row>
    <row r="98">
      <c r="A98" t="n">
        <v>97</v>
      </c>
      <c r="B98" t="inlineStr">
        <is>
          <t>Tennis</t>
        </is>
      </c>
      <c r="C98" t="inlineStr">
        <is>
          <t>Ben Shelton</t>
        </is>
      </c>
      <c r="D98">
        <f>'Tennis'!M11</f>
        <v/>
      </c>
      <c r="E98">
        <f>'Tennis'!N11</f>
        <v/>
      </c>
      <c r="F98">
        <f>'Tennis'!O11</f>
        <v/>
      </c>
      <c r="G98" t="n">
        <v>2</v>
      </c>
      <c r="I98" t="inlineStr">
        <is>
          <t>ATP 4 (2026-10-08)</t>
        </is>
      </c>
      <c r="J98" t="inlineStr">
        <is>
          <t>C</t>
        </is>
      </c>
      <c r="K98" t="inlineStr">
        <is>
          <t>ATP rank from league standings pull (A) / WTA via Olympics.com Oct 5; AO odds VegasInsider/Johnnybet Oct 2026; probabilities = agent estimates</t>
        </is>
      </c>
      <c r="L98" t="inlineStr">
        <is>
          <t>2026-10-08</t>
        </is>
      </c>
    </row>
    <row r="99">
      <c r="A99" t="n">
        <v>98</v>
      </c>
      <c r="B99" t="inlineStr">
        <is>
          <t>Golf</t>
        </is>
      </c>
      <c r="C99" t="inlineStr">
        <is>
          <t>Tommy Fleetwood</t>
        </is>
      </c>
      <c r="D99">
        <f>'Golf'!M11</f>
        <v/>
      </c>
      <c r="E99">
        <f>'Golf'!N11</f>
        <v/>
      </c>
      <c r="F99">
        <f>'Golf'!O11</f>
        <v/>
      </c>
      <c r="G99" t="n">
        <v>2</v>
      </c>
      <c r="I99" t="inlineStr">
        <is>
          <t>OWGR 7 (2026-10-08)</t>
        </is>
      </c>
      <c r="J99" t="inlineStr">
        <is>
          <t>C</t>
        </is>
      </c>
      <c r="K99" t="inlineStr">
        <is>
          <t>OWGR rank from league standings pull (A); major-win probabilities = model (rank-weighted share of 4 majors)</t>
        </is>
      </c>
      <c r="L99" t="inlineStr">
        <is>
          <t>2026-10-08</t>
        </is>
      </c>
    </row>
    <row r="100">
      <c r="A100" t="n">
        <v>99</v>
      </c>
      <c r="B100" t="inlineStr">
        <is>
          <t>NASCAR</t>
        </is>
      </c>
      <c r="C100" t="inlineStr">
        <is>
          <t>Tyler Reddick</t>
        </is>
      </c>
      <c r="D100">
        <f>'NASCAR'!M11</f>
        <v/>
      </c>
      <c r="E100">
        <f>'NASCAR'!N11</f>
        <v/>
      </c>
      <c r="F100">
        <f>'NASCAR'!O11</f>
        <v/>
      </c>
      <c r="G100" t="n">
        <v>2</v>
      </c>
      <c r="H100" t="inlineStr">
        <is>
          <t>2026 title: Kalshi 2.0%</t>
        </is>
      </c>
      <c r="I100" t="inlineStr">
        <is>
          <t>7th, -106</t>
        </is>
      </c>
      <c r="J100" t="inlineStr">
        <is>
          <t>C</t>
        </is>
      </c>
      <c r="K100" t="inlineStr">
        <is>
          <t>Kalshi KXNASCARCUPSERIES-NCS26 (2026 champion) shrunk to a 2027 prior; Chase standings via search</t>
        </is>
      </c>
      <c r="L100" t="inlineStr">
        <is>
          <t>2026-10-08</t>
        </is>
      </c>
    </row>
    <row r="101">
      <c r="A101" t="n">
        <v>100</v>
      </c>
      <c r="B101" t="inlineStr">
        <is>
          <t>MLS</t>
        </is>
      </c>
      <c r="C101" t="inlineStr">
        <is>
          <t>San Jose Earthquakes</t>
        </is>
      </c>
      <c r="D101">
        <f>'MLS'!M11</f>
        <v/>
      </c>
      <c r="E101">
        <f>'MLS'!N11</f>
        <v/>
      </c>
      <c r="F101">
        <f>'MLS'!O11</f>
        <v/>
      </c>
      <c r="G101" t="n">
        <v>2</v>
      </c>
      <c r="H101" t="inlineStr">
        <is>
          <t>2026 Cup: Kalshi 2.5%</t>
        </is>
      </c>
      <c r="I101" t="inlineStr">
        <is>
          <t>2026: 45 pts (as of 10-08; season ends Nov 7)</t>
        </is>
      </c>
      <c r="J101" t="inlineStr">
        <is>
          <t>C</t>
        </is>
      </c>
      <c r="K101" t="inlineStr">
        <is>
          <t>2026 points (league standings, A) + Kalshi KXMLSCUP-26 price as strength proxy, shrunk 50% toward the field</t>
        </is>
      </c>
      <c r="L101" t="inlineStr">
        <is>
          <t>2026-10-08</t>
        </is>
      </c>
    </row>
    <row r="102">
      <c r="A102" t="n">
        <v>101</v>
      </c>
      <c r="B102" t="inlineStr">
        <is>
          <t>Actor</t>
        </is>
      </c>
      <c r="C102" t="inlineStr">
        <is>
          <t>Shameik Moore</t>
        </is>
      </c>
      <c r="D102">
        <f>'Actor'!M11</f>
        <v/>
      </c>
      <c r="E102">
        <f>'Actor'!N11</f>
        <v/>
      </c>
      <c r="F102">
        <f>'Actor'!O11</f>
        <v/>
      </c>
      <c r="G102" t="n">
        <v>2</v>
      </c>
      <c r="I102" t="inlineStr">
        <is>
          <t>Spider-Man: Beyond the Spider-Verse (Jun 18)</t>
        </is>
      </c>
      <c r="J102" t="inlineStr">
        <is>
          <t>C</t>
        </is>
      </c>
      <c r="K102" t="inlineStr">
        <is>
          <t>Wikipedia 'List of American films of 2027' casts (Actions-runner pull 2026-10-08) x comp-based box office/RT estimates; cast lists are billed leads only (cameos not captured)</t>
        </is>
      </c>
      <c r="L102" t="inlineStr">
        <is>
          <t>2026-10-08</t>
        </is>
      </c>
    </row>
    <row r="103">
      <c r="A103" t="n">
        <v>102</v>
      </c>
      <c r="B103" t="inlineStr">
        <is>
          <t>Actress</t>
        </is>
      </c>
      <c r="C103" t="inlineStr">
        <is>
          <t>Mia Goth</t>
        </is>
      </c>
      <c r="D103">
        <f>'Actress'!M11</f>
        <v/>
      </c>
      <c r="E103">
        <f>'Actress'!N11</f>
        <v/>
      </c>
      <c r="F103">
        <f>'Actress'!O11</f>
        <v/>
      </c>
      <c r="G103" t="n">
        <v>2</v>
      </c>
      <c r="I103" t="inlineStr">
        <is>
          <t>Starfighter (May 28)</t>
        </is>
      </c>
      <c r="J103" t="inlineStr">
        <is>
          <t>C</t>
        </is>
      </c>
      <c r="K103" t="inlineStr">
        <is>
          <t>Wikipedia 'List of American films of 2027' casts (Actions-runner pull 2026-10-08) x comp-based box office/RT estimates; cast lists are billed leads only (cameos not captured)</t>
        </is>
      </c>
      <c r="L103" t="inlineStr">
        <is>
          <t>2026-10-08</t>
        </is>
      </c>
    </row>
    <row r="104">
      <c r="A104" t="n">
        <v>103</v>
      </c>
      <c r="B104" t="inlineStr">
        <is>
          <t>Musician</t>
        </is>
      </c>
      <c r="C104" t="inlineStr">
        <is>
          <t>Drake</t>
        </is>
      </c>
      <c r="D104">
        <f>'Musician'!M11</f>
        <v/>
      </c>
      <c r="E104">
        <f>'Musician'!N11</f>
        <v/>
      </c>
      <c r="F104">
        <f>'Musician'!O11</f>
        <v/>
      </c>
      <c r="G104" t="n">
        <v>2</v>
      </c>
      <c r="H104" t="inlineStr">
        <is>
          <t>Grammy EV 1.4</t>
        </is>
      </c>
      <c r="I104" t="inlineStr">
        <is>
          <t>Iceman / Maid of Honour / Habibti (May 2026): 9 top-10 songs in one week</t>
        </is>
      </c>
      <c r="J104" t="inlineStr">
        <is>
          <t>C</t>
        </is>
      </c>
      <c r="K104" t="inlineStr">
        <is>
          <t>2027 Hot 100 baseline = my estimate; Grammy: estimate (C)</t>
        </is>
      </c>
      <c r="L104" t="inlineStr">
        <is>
          <t>2026-10-08</t>
        </is>
      </c>
    </row>
    <row r="105">
      <c r="A105" t="n">
        <v>104</v>
      </c>
      <c r="B105" t="inlineStr">
        <is>
          <t>Country</t>
        </is>
      </c>
      <c r="C105" t="inlineStr">
        <is>
          <t>Senegal</t>
        </is>
      </c>
      <c r="D105">
        <f>'Country'!M11</f>
        <v/>
      </c>
      <c r="E105">
        <f>'Country'!N11</f>
        <v/>
      </c>
      <c r="F105">
        <f>'Country'!O11</f>
        <v/>
      </c>
      <c r="G105" t="n">
        <v>2</v>
      </c>
      <c r="I105" t="inlineStr">
        <is>
          <t>Hydrocarbons; hidden-debt program risk</t>
        </is>
      </c>
      <c r="J105" t="inlineStr">
        <is>
          <t>B</t>
        </is>
      </c>
      <c r="K105" t="inlineStr">
        <is>
          <t>prior from IMF Jul-2026 update + regional outlooks; NO country-level 2027 table retrieved (IMF API blocked) — replace with the Oct 13 WEO</t>
        </is>
      </c>
      <c r="L105" t="inlineStr">
        <is>
          <t>2026-10-08</t>
        </is>
      </c>
    </row>
    <row r="106">
      <c r="A106" t="n">
        <v>105</v>
      </c>
      <c r="B106" t="inlineStr">
        <is>
          <t>Stock</t>
        </is>
      </c>
      <c r="C106" t="inlineStr">
        <is>
          <t>AVGO (Long)</t>
        </is>
      </c>
      <c r="D106">
        <f>'Stock'!M11</f>
        <v/>
      </c>
      <c r="E106">
        <f>'Stock'!N11</f>
        <v/>
      </c>
      <c r="F106">
        <f>'Stock'!O11</f>
        <v/>
      </c>
      <c r="G106" t="n">
        <v>2</v>
      </c>
      <c r="I106" t="inlineStr">
        <is>
          <t>custom ASIC demand</t>
        </is>
      </c>
      <c r="J106" t="inlineStr">
        <is>
          <t>C</t>
        </is>
      </c>
      <c r="K106" t="inlineStr">
        <is>
          <t>my estimate: sector view + typical vol; no price data pulled (verify quotes before drafting)</t>
        </is>
      </c>
      <c r="L106" t="inlineStr">
        <is>
          <t>2026-10-08</t>
        </is>
      </c>
    </row>
    <row r="107">
      <c r="A107" t="n">
        <v>106</v>
      </c>
      <c r="B107" t="inlineStr">
        <is>
          <t>Actor</t>
        </is>
      </c>
      <c r="C107" t="inlineStr">
        <is>
          <t>Jake Johnson</t>
        </is>
      </c>
      <c r="D107">
        <f>'Actor'!M12</f>
        <v/>
      </c>
      <c r="E107">
        <f>'Actor'!N12</f>
        <v/>
      </c>
      <c r="F107">
        <f>'Actor'!O12</f>
        <v/>
      </c>
      <c r="G107" t="n">
        <v>3</v>
      </c>
      <c r="I107" t="inlineStr">
        <is>
          <t>Spider-Man: Beyond the Spider-Verse (Jun 18)</t>
        </is>
      </c>
      <c r="J107" t="inlineStr">
        <is>
          <t>C</t>
        </is>
      </c>
      <c r="K107" t="inlineStr">
        <is>
          <t>Wikipedia 'List of American films of 2027' casts (Actions-runner pull 2026-10-08) x comp-based box office/RT estimates; cast lists are billed leads only (cameos not captured)</t>
        </is>
      </c>
      <c r="L107" t="inlineStr">
        <is>
          <t>2026-10-08</t>
        </is>
      </c>
    </row>
    <row r="108">
      <c r="A108" t="n">
        <v>107</v>
      </c>
      <c r="B108" t="inlineStr">
        <is>
          <t>Stock</t>
        </is>
      </c>
      <c r="C108" t="inlineStr">
        <is>
          <t>CRWV (Long)</t>
        </is>
      </c>
      <c r="D108">
        <f>'Stock'!M12</f>
        <v/>
      </c>
      <c r="E108">
        <f>'Stock'!N12</f>
        <v/>
      </c>
      <c r="F108">
        <f>'Stock'!O12</f>
        <v/>
      </c>
      <c r="G108" t="n">
        <v>3</v>
      </c>
      <c r="I108" t="inlineStr">
        <is>
          <t>neocloud; leverage</t>
        </is>
      </c>
      <c r="J108" t="inlineStr">
        <is>
          <t>C</t>
        </is>
      </c>
      <c r="K108" t="inlineStr">
        <is>
          <t>my estimate: sector view + typical vol; no price data pulled (verify quotes before drafting)</t>
        </is>
      </c>
      <c r="L108" t="inlineStr">
        <is>
          <t>2026-10-08</t>
        </is>
      </c>
    </row>
    <row r="109">
      <c r="A109" t="n">
        <v>108</v>
      </c>
      <c r="B109" t="inlineStr">
        <is>
          <t>NCAAB</t>
        </is>
      </c>
      <c r="C109" t="inlineStr">
        <is>
          <t>Arizona</t>
        </is>
      </c>
      <c r="D109">
        <f>'NCAAB'!M12</f>
        <v/>
      </c>
      <c r="E109">
        <f>'NCAAB'!N12</f>
        <v/>
      </c>
      <c r="F109">
        <f>'NCAAB'!O12</f>
        <v/>
      </c>
      <c r="G109" t="n">
        <v>3</v>
      </c>
      <c r="H109" t="inlineStr">
        <is>
          <t>+2500</t>
        </is>
      </c>
      <c r="I109" t="inlineStr"/>
      <c r="J109" t="inlineStr">
        <is>
          <t>B</t>
        </is>
      </c>
      <c r="K109" t="inlineStr">
        <is>
          <t>CBS Sports title odds 2026-08-04</t>
        </is>
      </c>
      <c r="L109" t="inlineStr">
        <is>
          <t>2026-10-08</t>
        </is>
      </c>
    </row>
    <row r="110">
      <c r="A110" t="n">
        <v>109</v>
      </c>
      <c r="B110" t="inlineStr">
        <is>
          <t>MLS</t>
        </is>
      </c>
      <c r="C110" t="inlineStr">
        <is>
          <t>Houston Dynamo FC</t>
        </is>
      </c>
      <c r="D110">
        <f>'MLS'!M12</f>
        <v/>
      </c>
      <c r="E110">
        <f>'MLS'!N12</f>
        <v/>
      </c>
      <c r="F110">
        <f>'MLS'!O12</f>
        <v/>
      </c>
      <c r="G110" t="n">
        <v>3</v>
      </c>
      <c r="H110" t="inlineStr">
        <is>
          <t>2026 Cup: Kalshi 3.5%</t>
        </is>
      </c>
      <c r="I110" t="inlineStr">
        <is>
          <t>2026: 44 pts (as of 10-08; season ends Nov 7)</t>
        </is>
      </c>
      <c r="J110" t="inlineStr">
        <is>
          <t>C</t>
        </is>
      </c>
      <c r="K110" t="inlineStr">
        <is>
          <t>2026 points (league standings, A) + Kalshi KXMLSCUP-26 price as strength proxy, shrunk 50% toward the field</t>
        </is>
      </c>
      <c r="L110" t="inlineStr">
        <is>
          <t>2026-10-08</t>
        </is>
      </c>
    </row>
    <row r="111">
      <c r="A111" t="n">
        <v>110</v>
      </c>
      <c r="B111" t="inlineStr">
        <is>
          <t>Tennis</t>
        </is>
      </c>
      <c r="C111" t="inlineStr">
        <is>
          <t>Coco Gauff</t>
        </is>
      </c>
      <c r="D111">
        <f>'Tennis'!M12</f>
        <v/>
      </c>
      <c r="E111">
        <f>'Tennis'!N12</f>
        <v/>
      </c>
      <c r="F111">
        <f>'Tennis'!O12</f>
        <v/>
      </c>
      <c r="G111" t="n">
        <v>3</v>
      </c>
      <c r="I111" t="inlineStr">
        <is>
          <t>WTA 4 (2026-10-08)</t>
        </is>
      </c>
      <c r="J111" t="inlineStr">
        <is>
          <t>C</t>
        </is>
      </c>
      <c r="K111" t="inlineStr">
        <is>
          <t>ATP rank from league standings pull (A) / WTA via Olympics.com Oct 5; AO odds VegasInsider/Johnnybet Oct 2026; probabilities = agent estimates</t>
        </is>
      </c>
      <c r="L111" t="inlineStr">
        <is>
          <t>2026-10-08</t>
        </is>
      </c>
    </row>
    <row r="112">
      <c r="A112" t="n">
        <v>111</v>
      </c>
      <c r="B112" t="inlineStr">
        <is>
          <t>Actor</t>
        </is>
      </c>
      <c r="C112" t="inlineStr">
        <is>
          <t>Jason Schwartzman</t>
        </is>
      </c>
      <c r="D112">
        <f>'Actor'!M13</f>
        <v/>
      </c>
      <c r="E112">
        <f>'Actor'!N13</f>
        <v/>
      </c>
      <c r="F112">
        <f>'Actor'!O13</f>
        <v/>
      </c>
      <c r="G112" t="n">
        <v>3</v>
      </c>
      <c r="I112" t="inlineStr">
        <is>
          <t>Spider-Man: Beyond the Spider-Verse (Jun 18)</t>
        </is>
      </c>
      <c r="J112" t="inlineStr">
        <is>
          <t>C</t>
        </is>
      </c>
      <c r="K112" t="inlineStr">
        <is>
          <t>Wikipedia 'List of American films of 2027' casts (Actions-runner pull 2026-10-08) x comp-based box office/RT estimates; cast lists are billed leads only (cameos not captured)</t>
        </is>
      </c>
      <c r="L112" t="inlineStr">
        <is>
          <t>2026-10-08</t>
        </is>
      </c>
    </row>
    <row r="113">
      <c r="A113" t="n">
        <v>112</v>
      </c>
      <c r="B113" t="inlineStr">
        <is>
          <t>Actor</t>
        </is>
      </c>
      <c r="C113" t="inlineStr">
        <is>
          <t>John Mulaney</t>
        </is>
      </c>
      <c r="D113">
        <f>'Actor'!M14</f>
        <v/>
      </c>
      <c r="E113">
        <f>'Actor'!N14</f>
        <v/>
      </c>
      <c r="F113">
        <f>'Actor'!O14</f>
        <v/>
      </c>
      <c r="G113" t="n">
        <v>3</v>
      </c>
      <c r="I113" t="inlineStr">
        <is>
          <t>Spider-Man: Beyond the Spider-Verse (Jun 18)</t>
        </is>
      </c>
      <c r="J113" t="inlineStr">
        <is>
          <t>C</t>
        </is>
      </c>
      <c r="K113" t="inlineStr">
        <is>
          <t>Wikipedia 'List of American films of 2027' casts (Actions-runner pull 2026-10-08) x comp-based box office/RT estimates; cast lists are billed leads only (cameos not captured)</t>
        </is>
      </c>
      <c r="L113" t="inlineStr">
        <is>
          <t>2026-10-08</t>
        </is>
      </c>
    </row>
    <row r="114">
      <c r="A114" t="n">
        <v>113</v>
      </c>
      <c r="B114" t="inlineStr">
        <is>
          <t>Actor</t>
        </is>
      </c>
      <c r="C114" t="inlineStr">
        <is>
          <t>Karan Soni</t>
        </is>
      </c>
      <c r="D114">
        <f>'Actor'!M15</f>
        <v/>
      </c>
      <c r="E114">
        <f>'Actor'!N15</f>
        <v/>
      </c>
      <c r="F114">
        <f>'Actor'!O15</f>
        <v/>
      </c>
      <c r="G114" t="n">
        <v>3</v>
      </c>
      <c r="I114" t="inlineStr">
        <is>
          <t>Spider-Man: Beyond the Spider-Verse (Jun 18)</t>
        </is>
      </c>
      <c r="J114" t="inlineStr">
        <is>
          <t>C</t>
        </is>
      </c>
      <c r="K114" t="inlineStr">
        <is>
          <t>Wikipedia 'List of American films of 2027' casts (Actions-runner pull 2026-10-08) x comp-based box office/RT estimates; cast lists are billed leads only (cameos not captured)</t>
        </is>
      </c>
      <c r="L114" t="inlineStr">
        <is>
          <t>2026-10-08</t>
        </is>
      </c>
    </row>
    <row r="115">
      <c r="A115" t="n">
        <v>114</v>
      </c>
      <c r="B115" t="inlineStr">
        <is>
          <t>Actor</t>
        </is>
      </c>
      <c r="C115" t="inlineStr">
        <is>
          <t>Daniel Kaluuya</t>
        </is>
      </c>
      <c r="D115">
        <f>'Actor'!M16</f>
        <v/>
      </c>
      <c r="E115">
        <f>'Actor'!N16</f>
        <v/>
      </c>
      <c r="F115">
        <f>'Actor'!O16</f>
        <v/>
      </c>
      <c r="G115" t="n">
        <v>3</v>
      </c>
      <c r="I115" t="inlineStr">
        <is>
          <t>Spider-Man: Beyond the Spider-Verse (Jun 18)</t>
        </is>
      </c>
      <c r="J115" t="inlineStr">
        <is>
          <t>C</t>
        </is>
      </c>
      <c r="K115" t="inlineStr">
        <is>
          <t>Wikipedia 'List of American films of 2027' casts (Actions-runner pull 2026-10-08) x comp-based box office/RT estimates; cast lists are billed leads only (cameos not captured)</t>
        </is>
      </c>
      <c r="L115" t="inlineStr">
        <is>
          <t>2026-10-08</t>
        </is>
      </c>
    </row>
    <row r="116">
      <c r="A116" t="n">
        <v>115</v>
      </c>
      <c r="B116" t="inlineStr">
        <is>
          <t>Actor</t>
        </is>
      </c>
      <c r="C116" t="inlineStr">
        <is>
          <t>Oscar Isaac</t>
        </is>
      </c>
      <c r="D116">
        <f>'Actor'!M17</f>
        <v/>
      </c>
      <c r="E116">
        <f>'Actor'!N17</f>
        <v/>
      </c>
      <c r="F116">
        <f>'Actor'!O17</f>
        <v/>
      </c>
      <c r="G116" t="n">
        <v>3</v>
      </c>
      <c r="I116" t="inlineStr">
        <is>
          <t>Spider-Man: Beyond the Spider-Verse (Jun 18)</t>
        </is>
      </c>
      <c r="J116" t="inlineStr">
        <is>
          <t>C</t>
        </is>
      </c>
      <c r="K116" t="inlineStr">
        <is>
          <t>Wikipedia 'List of American films of 2027' casts (Actions-runner pull 2026-10-08) x comp-based box office/RT estimates; cast lists are billed leads only (cameos not captured)</t>
        </is>
      </c>
      <c r="L116" t="inlineStr">
        <is>
          <t>2026-10-08</t>
        </is>
      </c>
    </row>
    <row r="117">
      <c r="A117" t="n">
        <v>116</v>
      </c>
      <c r="B117" t="inlineStr">
        <is>
          <t>Country</t>
        </is>
      </c>
      <c r="C117" t="inlineStr">
        <is>
          <t>Bhutan</t>
        </is>
      </c>
      <c r="D117">
        <f>'Country'!M12</f>
        <v/>
      </c>
      <c r="E117">
        <f>'Country'!N12</f>
        <v/>
      </c>
      <c r="F117">
        <f>'Country'!O12</f>
        <v/>
      </c>
      <c r="G117" t="n">
        <v>3</v>
      </c>
      <c r="I117" t="inlineStr">
        <is>
          <t>Hydropower</t>
        </is>
      </c>
      <c r="J117" t="inlineStr">
        <is>
          <t>C</t>
        </is>
      </c>
      <c r="K117" t="inlineStr">
        <is>
          <t>prior from IMF Jul-2026 update + regional outlooks; NO country-level 2027 table retrieved (IMF API blocked) — replace with the Oct 13 WEO</t>
        </is>
      </c>
      <c r="L117" t="inlineStr">
        <is>
          <t>2026-10-08</t>
        </is>
      </c>
    </row>
    <row r="118">
      <c r="A118" t="n">
        <v>117</v>
      </c>
      <c r="B118" t="inlineStr">
        <is>
          <t>Actor</t>
        </is>
      </c>
      <c r="C118" t="inlineStr">
        <is>
          <t>Nicolas Cage</t>
        </is>
      </c>
      <c r="D118">
        <f>'Actor'!M18</f>
        <v/>
      </c>
      <c r="E118">
        <f>'Actor'!N18</f>
        <v/>
      </c>
      <c r="F118">
        <f>'Actor'!O18</f>
        <v/>
      </c>
      <c r="G118" t="n">
        <v>4</v>
      </c>
      <c r="I118" t="inlineStr">
        <is>
          <t>Spider-Man: Beyond the Spider-Verse (Jun 18)</t>
        </is>
      </c>
      <c r="J118" t="inlineStr">
        <is>
          <t>C</t>
        </is>
      </c>
      <c r="K118" t="inlineStr">
        <is>
          <t>Wikipedia 'List of American films of 2027' casts (Actions-runner pull 2026-10-08) x comp-based box office/RT estimates; cast lists are billed leads only (cameos not captured)</t>
        </is>
      </c>
      <c r="L118" t="inlineStr">
        <is>
          <t>2026-10-08</t>
        </is>
      </c>
    </row>
    <row r="119">
      <c r="A119" t="n">
        <v>118</v>
      </c>
      <c r="B119" t="inlineStr">
        <is>
          <t>Actor</t>
        </is>
      </c>
      <c r="C119" t="inlineStr">
        <is>
          <t>Mahershala Ali</t>
        </is>
      </c>
      <c r="D119">
        <f>'Actor'!M19</f>
        <v/>
      </c>
      <c r="E119">
        <f>'Actor'!N19</f>
        <v/>
      </c>
      <c r="F119">
        <f>'Actor'!O19</f>
        <v/>
      </c>
      <c r="G119" t="n">
        <v>4</v>
      </c>
      <c r="I119" t="inlineStr">
        <is>
          <t>Spider-Man: Beyond the Spider-Verse (Jun 18)</t>
        </is>
      </c>
      <c r="J119" t="inlineStr">
        <is>
          <t>C</t>
        </is>
      </c>
      <c r="K119" t="inlineStr">
        <is>
          <t>Wikipedia 'List of American films of 2027' casts (Actions-runner pull 2026-10-08) x comp-based box office/RT estimates; cast lists are billed leads only (cameos not captured)</t>
        </is>
      </c>
      <c r="L119" t="inlineStr">
        <is>
          <t>2026-10-08</t>
        </is>
      </c>
    </row>
    <row r="120">
      <c r="A120" t="n">
        <v>119</v>
      </c>
      <c r="B120" t="inlineStr">
        <is>
          <t>Country</t>
        </is>
      </c>
      <c r="C120" t="inlineStr">
        <is>
          <t>Uganda</t>
        </is>
      </c>
      <c r="D120">
        <f>'Country'!M13</f>
        <v/>
      </c>
      <c r="E120">
        <f>'Country'!N13</f>
        <v/>
      </c>
      <c r="F120">
        <f>'Country'!O13</f>
        <v/>
      </c>
      <c r="G120" t="n">
        <v>3</v>
      </c>
      <c r="I120" t="inlineStr">
        <is>
          <t>Oil start-up 2026-27</t>
        </is>
      </c>
      <c r="J120" t="inlineStr">
        <is>
          <t>C</t>
        </is>
      </c>
      <c r="K120" t="inlineStr">
        <is>
          <t>prior from IMF Jul-2026 update + regional outlooks; NO country-level 2027 table retrieved (IMF API blocked) — replace with the Oct 13 WEO</t>
        </is>
      </c>
      <c r="L120" t="inlineStr">
        <is>
          <t>2026-10-08</t>
        </is>
      </c>
    </row>
    <row r="121">
      <c r="A121" t="n">
        <v>120</v>
      </c>
      <c r="B121" t="inlineStr">
        <is>
          <t>Stock</t>
        </is>
      </c>
      <c r="C121" t="inlineStr">
        <is>
          <t>TSLA (Long)</t>
        </is>
      </c>
      <c r="D121">
        <f>'Stock'!M13</f>
        <v/>
      </c>
      <c r="E121">
        <f>'Stock'!N13</f>
        <v/>
      </c>
      <c r="F121">
        <f>'Stock'!O13</f>
        <v/>
      </c>
      <c r="G121" t="n">
        <v>3</v>
      </c>
      <c r="I121" t="inlineStr">
        <is>
          <t>robotaxi/Optimus narrative</t>
        </is>
      </c>
      <c r="J121" t="inlineStr">
        <is>
          <t>C</t>
        </is>
      </c>
      <c r="K121" t="inlineStr">
        <is>
          <t>my estimate: sector view + typical vol; no price data pulled (verify quotes before drafting)</t>
        </is>
      </c>
      <c r="L121" t="inlineStr">
        <is>
          <t>2026-10-08</t>
        </is>
      </c>
    </row>
    <row r="122">
      <c r="A122" t="n">
        <v>121</v>
      </c>
      <c r="B122" t="inlineStr">
        <is>
          <t>Country</t>
        </is>
      </c>
      <c r="C122" t="inlineStr">
        <is>
          <t>Tanzania</t>
        </is>
      </c>
      <c r="D122">
        <f>'Country'!M14</f>
        <v/>
      </c>
      <c r="E122">
        <f>'Country'!N14</f>
        <v/>
      </c>
      <c r="F122">
        <f>'Country'!O14</f>
        <v/>
      </c>
      <c r="G122" t="n">
        <v>3</v>
      </c>
      <c r="I122" t="inlineStr">
        <is>
          <t>Stable</t>
        </is>
      </c>
      <c r="J122" t="inlineStr">
        <is>
          <t>C</t>
        </is>
      </c>
      <c r="K122" t="inlineStr">
        <is>
          <t>prior from IMF Jul-2026 update + regional outlooks; NO country-level 2027 table retrieved (IMF API blocked) — replace with the Oct 13 WEO</t>
        </is>
      </c>
      <c r="L122" t="inlineStr">
        <is>
          <t>2026-10-08</t>
        </is>
      </c>
    </row>
    <row r="123">
      <c r="A123" t="n">
        <v>122</v>
      </c>
      <c r="B123" t="inlineStr">
        <is>
          <t>Country</t>
        </is>
      </c>
      <c r="C123" t="inlineStr">
        <is>
          <t>Côte d'Ivoire</t>
        </is>
      </c>
      <c r="D123">
        <f>'Country'!M15</f>
        <v/>
      </c>
      <c r="E123">
        <f>'Country'!N15</f>
        <v/>
      </c>
      <c r="F123">
        <f>'Country'!O15</f>
        <v/>
      </c>
      <c r="G123" t="n">
        <v>3</v>
      </c>
      <c r="I123" t="inlineStr">
        <is>
          <t>Stable</t>
        </is>
      </c>
      <c r="J123" t="inlineStr">
        <is>
          <t>C</t>
        </is>
      </c>
      <c r="K123" t="inlineStr">
        <is>
          <t>prior from IMF Jul-2026 update + regional outlooks; NO country-level 2027 table retrieved (IMF API blocked) — replace with the Oct 13 WEO</t>
        </is>
      </c>
      <c r="L123" t="inlineStr">
        <is>
          <t>2026-10-08</t>
        </is>
      </c>
    </row>
    <row r="124">
      <c r="A124" t="n">
        <v>123</v>
      </c>
      <c r="B124" t="inlineStr">
        <is>
          <t>Stock</t>
        </is>
      </c>
      <c r="C124" t="inlineStr">
        <is>
          <t>MSTR (Long)</t>
        </is>
      </c>
      <c r="D124">
        <f>'Stock'!M14</f>
        <v/>
      </c>
      <c r="E124">
        <f>'Stock'!N14</f>
        <v/>
      </c>
      <c r="F124">
        <f>'Stock'!O14</f>
        <v/>
      </c>
      <c r="G124" t="n">
        <v>3</v>
      </c>
      <c r="I124" t="inlineStr">
        <is>
          <t>levered BTC proxy</t>
        </is>
      </c>
      <c r="J124" t="inlineStr">
        <is>
          <t>C</t>
        </is>
      </c>
      <c r="K124" t="inlineStr">
        <is>
          <t>my estimate: sector view + typical vol; no price data pulled (verify quotes before drafting)</t>
        </is>
      </c>
      <c r="L124" t="inlineStr">
        <is>
          <t>2026-10-08</t>
        </is>
      </c>
    </row>
    <row r="125">
      <c r="A125" t="n">
        <v>124</v>
      </c>
      <c r="B125" t="inlineStr">
        <is>
          <t>Country</t>
        </is>
      </c>
      <c r="C125" t="inlineStr">
        <is>
          <t>Vietnam</t>
        </is>
      </c>
      <c r="D125">
        <f>'Country'!M16</f>
        <v/>
      </c>
      <c r="E125">
        <f>'Country'!N16</f>
        <v/>
      </c>
      <c r="F125">
        <f>'Country'!O16</f>
        <v/>
      </c>
      <c r="G125" t="n">
        <v>3</v>
      </c>
      <c r="I125" t="inlineStr"/>
      <c r="J125" t="inlineStr">
        <is>
          <t>C</t>
        </is>
      </c>
      <c r="K125" t="inlineStr">
        <is>
          <t>prior from IMF Jul-2026 update + regional outlooks; NO country-level 2027 table retrieved (IMF API blocked) — replace with the Oct 13 WEO</t>
        </is>
      </c>
      <c r="L125" t="inlineStr">
        <is>
          <t>2026-10-08</t>
        </is>
      </c>
    </row>
    <row r="126">
      <c r="A126" t="n">
        <v>125</v>
      </c>
      <c r="B126" t="inlineStr">
        <is>
          <t>Stock</t>
        </is>
      </c>
      <c r="C126" t="inlineStr">
        <is>
          <t>SMCI (Long)</t>
        </is>
      </c>
      <c r="D126">
        <f>'Stock'!M15</f>
        <v/>
      </c>
      <c r="E126">
        <f>'Stock'!N15</f>
        <v/>
      </c>
      <c r="F126">
        <f>'Stock'!O15</f>
        <v/>
      </c>
      <c r="G126" t="n">
        <v>3</v>
      </c>
      <c r="I126" t="inlineStr">
        <is>
          <t>high-variance AI servers</t>
        </is>
      </c>
      <c r="J126" t="inlineStr">
        <is>
          <t>C</t>
        </is>
      </c>
      <c r="K126" t="inlineStr">
        <is>
          <t>my estimate: sector view + typical vol; no price data pulled (verify quotes before drafting)</t>
        </is>
      </c>
      <c r="L126" t="inlineStr">
        <is>
          <t>2026-10-08</t>
        </is>
      </c>
    </row>
    <row r="127">
      <c r="A127" t="n">
        <v>126</v>
      </c>
      <c r="B127" t="inlineStr">
        <is>
          <t>Stock</t>
        </is>
      </c>
      <c r="C127" t="inlineStr">
        <is>
          <t>IONQ (Long)</t>
        </is>
      </c>
      <c r="D127">
        <f>'Stock'!M16</f>
        <v/>
      </c>
      <c r="E127">
        <f>'Stock'!N16</f>
        <v/>
      </c>
      <c r="F127">
        <f>'Stock'!O16</f>
        <v/>
      </c>
      <c r="G127" t="n">
        <v>3</v>
      </c>
      <c r="I127" t="inlineStr">
        <is>
          <t>quantum lottery</t>
        </is>
      </c>
      <c r="J127" t="inlineStr">
        <is>
          <t>C</t>
        </is>
      </c>
      <c r="K127" t="inlineStr">
        <is>
          <t>my estimate: sector view + typical vol; no price data pulled (verify quotes before drafting)</t>
        </is>
      </c>
      <c r="L127" t="inlineStr">
        <is>
          <t>2026-10-08</t>
        </is>
      </c>
    </row>
    <row r="128">
      <c r="A128" t="n">
        <v>127</v>
      </c>
      <c r="B128" t="inlineStr">
        <is>
          <t>MLS</t>
        </is>
      </c>
      <c r="C128" t="inlineStr">
        <is>
          <t>Chicago Fire FC</t>
        </is>
      </c>
      <c r="D128">
        <f>'MLS'!M13</f>
        <v/>
      </c>
      <c r="E128">
        <f>'MLS'!N13</f>
        <v/>
      </c>
      <c r="F128">
        <f>'MLS'!O13</f>
        <v/>
      </c>
      <c r="G128" t="n">
        <v>3</v>
      </c>
      <c r="H128" t="inlineStr">
        <is>
          <t>2026 Cup: Kalshi 4.5%</t>
        </is>
      </c>
      <c r="I128" t="inlineStr">
        <is>
          <t>2026: 42 pts (as of 10-08; season ends Nov 7)</t>
        </is>
      </c>
      <c r="J128" t="inlineStr">
        <is>
          <t>C</t>
        </is>
      </c>
      <c r="K128" t="inlineStr">
        <is>
          <t>2026 points (league standings, A) + Kalshi KXMLSCUP-26 price as strength proxy, shrunk 50% toward the field</t>
        </is>
      </c>
      <c r="L128" t="inlineStr">
        <is>
          <t>2026-10-08</t>
        </is>
      </c>
    </row>
    <row r="129">
      <c r="A129" t="n">
        <v>128</v>
      </c>
      <c r="B129" t="inlineStr">
        <is>
          <t>Stock</t>
        </is>
      </c>
      <c r="C129" t="inlineStr">
        <is>
          <t>UNH (Long)</t>
        </is>
      </c>
      <c r="D129">
        <f>'Stock'!M17</f>
        <v/>
      </c>
      <c r="E129">
        <f>'Stock'!N17</f>
        <v/>
      </c>
      <c r="F129">
        <f>'Stock'!O17</f>
        <v/>
      </c>
      <c r="G129" t="n">
        <v>3</v>
      </c>
      <c r="I129" t="inlineStr">
        <is>
          <t>turnaround</t>
        </is>
      </c>
      <c r="J129" t="inlineStr">
        <is>
          <t>C</t>
        </is>
      </c>
      <c r="K129" t="inlineStr">
        <is>
          <t>my estimate: sector view + typical vol; no price data pulled (verify quotes before drafting)</t>
        </is>
      </c>
      <c r="L129" t="inlineStr">
        <is>
          <t>2026-10-08</t>
        </is>
      </c>
    </row>
    <row r="130">
      <c r="A130" t="n">
        <v>129</v>
      </c>
      <c r="B130" t="inlineStr">
        <is>
          <t>MLB</t>
        </is>
      </c>
      <c r="C130" t="inlineStr">
        <is>
          <t>Philadelphia Phillies</t>
        </is>
      </c>
      <c r="D130">
        <f>'MLB'!M12</f>
        <v/>
      </c>
      <c r="E130">
        <f>'MLB'!N12</f>
        <v/>
      </c>
      <c r="F130">
        <f>'MLB'!O12</f>
        <v/>
      </c>
      <c r="G130" t="n">
        <v>3</v>
      </c>
      <c r="I130" t="inlineStr">
        <is>
          <t>2026: 88-74 (.5432)</t>
        </is>
      </c>
      <c r="J130" t="inlineStr">
        <is>
          <t>C</t>
        </is>
      </c>
      <c r="K130" t="inlineStr">
        <is>
          <t>2026 win% from league standings (A); title prob = model estimate — no 2027 World Series odds posted</t>
        </is>
      </c>
      <c r="L130" t="inlineStr">
        <is>
          <t>2026-10-08</t>
        </is>
      </c>
    </row>
    <row r="131">
      <c r="A131" t="n">
        <v>130</v>
      </c>
      <c r="B131" t="inlineStr">
        <is>
          <t>Musician</t>
        </is>
      </c>
      <c r="C131" t="inlineStr">
        <is>
          <t>Rosalía</t>
        </is>
      </c>
      <c r="D131">
        <f>'Musician'!M12</f>
        <v/>
      </c>
      <c r="E131">
        <f>'Musician'!N12</f>
        <v/>
      </c>
      <c r="F131">
        <f>'Musician'!O12</f>
        <v/>
      </c>
      <c r="G131" t="n">
        <v>3</v>
      </c>
      <c r="H131" t="inlineStr">
        <is>
          <t>Grammy EV 7.0</t>
        </is>
      </c>
      <c r="I131" t="inlineStr">
        <is>
          <t>Lux (Grammy-driven pick; small Hot 100 profile)</t>
        </is>
      </c>
      <c r="J131" t="inlineStr">
        <is>
          <t>C</t>
        </is>
      </c>
      <c r="K131" t="inlineStr">
        <is>
          <t>2027 Hot 100 baseline = my estimate; Grammy: Kalshi KXGRAM*-69 prices (A) + estimates for other categories (C)</t>
        </is>
      </c>
      <c r="L131" t="inlineStr">
        <is>
          <t>2026-10-08</t>
        </is>
      </c>
    </row>
    <row r="132">
      <c r="A132" t="n">
        <v>131</v>
      </c>
      <c r="B132" t="inlineStr">
        <is>
          <t>Stock</t>
        </is>
      </c>
      <c r="C132" t="inlineStr">
        <is>
          <t>CRCL (Long)</t>
        </is>
      </c>
      <c r="D132">
        <f>'Stock'!M18</f>
        <v/>
      </c>
      <c r="E132">
        <f>'Stock'!N18</f>
        <v/>
      </c>
      <c r="F132">
        <f>'Stock'!O18</f>
        <v/>
      </c>
      <c r="G132" t="n">
        <v>4</v>
      </c>
      <c r="I132" t="inlineStr">
        <is>
          <t>stablecoin; rate-cut sensitivity</t>
        </is>
      </c>
      <c r="J132" t="inlineStr">
        <is>
          <t>C</t>
        </is>
      </c>
      <c r="K132" t="inlineStr">
        <is>
          <t>my estimate: sector view + typical vol; no price data pulled (verify quotes before drafting)</t>
        </is>
      </c>
      <c r="L132" t="inlineStr">
        <is>
          <t>2026-10-08</t>
        </is>
      </c>
    </row>
    <row r="133">
      <c r="A133" t="n">
        <v>132</v>
      </c>
      <c r="B133" t="inlineStr">
        <is>
          <t>MLS</t>
        </is>
      </c>
      <c r="C133" t="inlineStr">
        <is>
          <t>Los Angeles FC</t>
        </is>
      </c>
      <c r="D133">
        <f>'MLS'!M14</f>
        <v/>
      </c>
      <c r="E133">
        <f>'MLS'!N14</f>
        <v/>
      </c>
      <c r="F133">
        <f>'MLS'!O14</f>
        <v/>
      </c>
      <c r="G133" t="n">
        <v>3</v>
      </c>
      <c r="H133" t="inlineStr">
        <is>
          <t>2026 Cup: Kalshi 5.5%</t>
        </is>
      </c>
      <c r="I133" t="inlineStr">
        <is>
          <t>2026: 41 pts (as of 10-08; season ends Nov 7)</t>
        </is>
      </c>
      <c r="J133" t="inlineStr">
        <is>
          <t>C</t>
        </is>
      </c>
      <c r="K133" t="inlineStr">
        <is>
          <t>2026 points (league standings, A) + Kalshi KXMLSCUP-26 price as strength proxy, shrunk 50% toward the field</t>
        </is>
      </c>
      <c r="L133" t="inlineStr">
        <is>
          <t>2026-10-08</t>
        </is>
      </c>
    </row>
    <row r="134">
      <c r="A134" t="n">
        <v>133</v>
      </c>
      <c r="B134" t="inlineStr">
        <is>
          <t>Stock</t>
        </is>
      </c>
      <c r="C134" t="inlineStr">
        <is>
          <t>MU (Long)</t>
        </is>
      </c>
      <c r="D134">
        <f>'Stock'!M19</f>
        <v/>
      </c>
      <c r="E134">
        <f>'Stock'!N19</f>
        <v/>
      </c>
      <c r="F134">
        <f>'Stock'!O19</f>
        <v/>
      </c>
      <c r="G134" t="n">
        <v>4</v>
      </c>
      <c r="I134" t="inlineStr">
        <is>
          <t>HBM4; memory-cycle peak risk</t>
        </is>
      </c>
      <c r="J134" t="inlineStr">
        <is>
          <t>C</t>
        </is>
      </c>
      <c r="K134" t="inlineStr">
        <is>
          <t>my estimate: sector view + typical vol; no price data pulled (verify quotes before drafting)</t>
        </is>
      </c>
      <c r="L134" t="inlineStr">
        <is>
          <t>2026-10-08</t>
        </is>
      </c>
    </row>
    <row r="135">
      <c r="A135" t="n">
        <v>134</v>
      </c>
      <c r="B135" t="inlineStr">
        <is>
          <t>Actress</t>
        </is>
      </c>
      <c r="C135" t="inlineStr">
        <is>
          <t>Rachel Brosnahan</t>
        </is>
      </c>
      <c r="D135">
        <f>'Actress'!M12</f>
        <v/>
      </c>
      <c r="E135">
        <f>'Actress'!N12</f>
        <v/>
      </c>
      <c r="F135">
        <f>'Actress'!O12</f>
        <v/>
      </c>
      <c r="G135" t="n">
        <v>3</v>
      </c>
      <c r="I135" t="inlineStr">
        <is>
          <t>Man of Tomorrow (Jul 9)</t>
        </is>
      </c>
      <c r="J135" t="inlineStr">
        <is>
          <t>C</t>
        </is>
      </c>
      <c r="K135" t="inlineStr">
        <is>
          <t>Wikipedia 'List of American films of 2027' casts (Actions-runner pull 2026-10-08) x comp-based box office/RT estimates; cast lists are billed leads only (cameos not captured)</t>
        </is>
      </c>
      <c r="L135" t="inlineStr">
        <is>
          <t>2026-10-08</t>
        </is>
      </c>
    </row>
    <row r="136">
      <c r="A136" t="n">
        <v>135</v>
      </c>
      <c r="B136" t="inlineStr">
        <is>
          <t>Actor</t>
        </is>
      </c>
      <c r="C136" t="inlineStr">
        <is>
          <t>Daniel Ings</t>
        </is>
      </c>
      <c r="D136">
        <f>'Actor'!M20</f>
        <v/>
      </c>
      <c r="E136">
        <f>'Actor'!N20</f>
        <v/>
      </c>
      <c r="F136">
        <f>'Actor'!O20</f>
        <v/>
      </c>
      <c r="G136" t="n">
        <v>4</v>
      </c>
      <c r="I136" t="inlineStr">
        <is>
          <t>Starfighter (May 28); Jason Statham Stole My Bike (Aug 6)</t>
        </is>
      </c>
      <c r="J136" t="inlineStr">
        <is>
          <t>C</t>
        </is>
      </c>
      <c r="K136" t="inlineStr">
        <is>
          <t>Wikipedia 'List of American films of 2027' casts (Actions-runner pull 2026-10-08) x comp-based box office/RT estimates; cast lists are billed leads only (cameos not captured)</t>
        </is>
      </c>
      <c r="L136" t="inlineStr">
        <is>
          <t>2026-10-08</t>
        </is>
      </c>
    </row>
    <row r="137">
      <c r="A137" t="n">
        <v>136</v>
      </c>
      <c r="B137" t="inlineStr">
        <is>
          <t>Stock</t>
        </is>
      </c>
      <c r="C137" t="inlineStr">
        <is>
          <t>PLTR (Long)</t>
        </is>
      </c>
      <c r="D137">
        <f>'Stock'!M20</f>
        <v/>
      </c>
      <c r="E137">
        <f>'Stock'!N20</f>
        <v/>
      </c>
      <c r="F137">
        <f>'Stock'!O20</f>
        <v/>
      </c>
      <c r="G137" t="n">
        <v>4</v>
      </c>
      <c r="I137" t="inlineStr">
        <is>
          <t>momentum; valuation risk</t>
        </is>
      </c>
      <c r="J137" t="inlineStr">
        <is>
          <t>C</t>
        </is>
      </c>
      <c r="K137" t="inlineStr">
        <is>
          <t>my estimate: sector view + typical vol; no price data pulled (verify quotes before drafting)</t>
        </is>
      </c>
      <c r="L137" t="inlineStr">
        <is>
          <t>2026-10-08</t>
        </is>
      </c>
    </row>
    <row r="138">
      <c r="A138" t="n">
        <v>137</v>
      </c>
      <c r="B138" t="inlineStr">
        <is>
          <t>Actress</t>
        </is>
      </c>
      <c r="C138" t="inlineStr">
        <is>
          <t>Isabela Merced</t>
        </is>
      </c>
      <c r="D138">
        <f>'Actress'!M13</f>
        <v/>
      </c>
      <c r="E138">
        <f>'Actress'!N13</f>
        <v/>
      </c>
      <c r="F138">
        <f>'Actress'!O13</f>
        <v/>
      </c>
      <c r="G138" t="n">
        <v>3</v>
      </c>
      <c r="I138" t="inlineStr">
        <is>
          <t>Man of Tomorrow (Jul 9)</t>
        </is>
      </c>
      <c r="J138" t="inlineStr">
        <is>
          <t>C</t>
        </is>
      </c>
      <c r="K138" t="inlineStr">
        <is>
          <t>Wikipedia 'List of American films of 2027' casts (Actions-runner pull 2026-10-08) x comp-based box office/RT estimates; cast lists are billed leads only (cameos not captured)</t>
        </is>
      </c>
      <c r="L138" t="inlineStr">
        <is>
          <t>2026-10-08</t>
        </is>
      </c>
    </row>
    <row r="139">
      <c r="A139" t="n">
        <v>138</v>
      </c>
      <c r="B139" t="inlineStr">
        <is>
          <t>Actress</t>
        </is>
      </c>
      <c r="C139" t="inlineStr">
        <is>
          <t>Sara Sampaio</t>
        </is>
      </c>
      <c r="D139">
        <f>'Actress'!M14</f>
        <v/>
      </c>
      <c r="E139">
        <f>'Actress'!N14</f>
        <v/>
      </c>
      <c r="F139">
        <f>'Actress'!O14</f>
        <v/>
      </c>
      <c r="G139" t="n">
        <v>3</v>
      </c>
      <c r="I139" t="inlineStr">
        <is>
          <t>Man of Tomorrow (Jul 9)</t>
        </is>
      </c>
      <c r="J139" t="inlineStr">
        <is>
          <t>C</t>
        </is>
      </c>
      <c r="K139" t="inlineStr">
        <is>
          <t>Wikipedia 'List of American films of 2027' casts (Actions-runner pull 2026-10-08) x comp-based box office/RT estimates; cast lists are billed leads only (cameos not captured)</t>
        </is>
      </c>
      <c r="L139" t="inlineStr">
        <is>
          <t>2026-10-08</t>
        </is>
      </c>
    </row>
    <row r="140">
      <c r="A140" t="n">
        <v>139</v>
      </c>
      <c r="B140" t="inlineStr">
        <is>
          <t>Stock</t>
        </is>
      </c>
      <c r="C140" t="inlineStr">
        <is>
          <t>INTC (Long)</t>
        </is>
      </c>
      <c r="D140">
        <f>'Stock'!M21</f>
        <v/>
      </c>
      <c r="E140">
        <f>'Stock'!N21</f>
        <v/>
      </c>
      <c r="F140">
        <f>'Stock'!O21</f>
        <v/>
      </c>
      <c r="G140" t="n">
        <v>4</v>
      </c>
      <c r="I140" t="inlineStr">
        <is>
          <t>foundry / 14A news; +187% in 2026 already</t>
        </is>
      </c>
      <c r="J140" t="inlineStr">
        <is>
          <t>C</t>
        </is>
      </c>
      <c r="K140" t="inlineStr">
        <is>
          <t>my estimate: sector view + typical vol; no price data pulled (verify quotes before drafting)</t>
        </is>
      </c>
      <c r="L140" t="inlineStr">
        <is>
          <t>2026-10-08</t>
        </is>
      </c>
    </row>
    <row r="141">
      <c r="A141" t="n">
        <v>140</v>
      </c>
      <c r="B141" t="inlineStr">
        <is>
          <t>Actress</t>
        </is>
      </c>
      <c r="C141" t="inlineStr">
        <is>
          <t>María Gabriela de Faría</t>
        </is>
      </c>
      <c r="D141">
        <f>'Actress'!M15</f>
        <v/>
      </c>
      <c r="E141">
        <f>'Actress'!N15</f>
        <v/>
      </c>
      <c r="F141">
        <f>'Actress'!O15</f>
        <v/>
      </c>
      <c r="G141" t="n">
        <v>3</v>
      </c>
      <c r="I141" t="inlineStr">
        <is>
          <t>Man of Tomorrow (Jul 9)</t>
        </is>
      </c>
      <c r="J141" t="inlineStr">
        <is>
          <t>C</t>
        </is>
      </c>
      <c r="K141" t="inlineStr">
        <is>
          <t>Wikipedia 'List of American films of 2027' casts (Actions-runner pull 2026-10-08) x comp-based box office/RT estimates; cast lists are billed leads only (cameos not captured)</t>
        </is>
      </c>
      <c r="L141" t="inlineStr">
        <is>
          <t>2026-10-08</t>
        </is>
      </c>
    </row>
    <row r="142">
      <c r="A142" t="n">
        <v>141</v>
      </c>
      <c r="B142" t="inlineStr">
        <is>
          <t>Actress</t>
        </is>
      </c>
      <c r="C142" t="inlineStr">
        <is>
          <t>Milly Alcock</t>
        </is>
      </c>
      <c r="D142">
        <f>'Actress'!M16</f>
        <v/>
      </c>
      <c r="E142">
        <f>'Actress'!N16</f>
        <v/>
      </c>
      <c r="F142">
        <f>'Actress'!O16</f>
        <v/>
      </c>
      <c r="G142" t="n">
        <v>3</v>
      </c>
      <c r="I142" t="inlineStr">
        <is>
          <t>Man of Tomorrow (Jul 9)</t>
        </is>
      </c>
      <c r="J142" t="inlineStr">
        <is>
          <t>C</t>
        </is>
      </c>
      <c r="K142" t="inlineStr">
        <is>
          <t>Wikipedia 'List of American films of 2027' casts (Actions-runner pull 2026-10-08) x comp-based box office/RT estimates; cast lists are billed leads only (cameos not captured)</t>
        </is>
      </c>
      <c r="L142" t="inlineStr">
        <is>
          <t>2026-10-08</t>
        </is>
      </c>
    </row>
    <row r="143">
      <c r="A143" t="n">
        <v>142</v>
      </c>
      <c r="B143" t="inlineStr">
        <is>
          <t>Country</t>
        </is>
      </c>
      <c r="C143" t="inlineStr">
        <is>
          <t>Libya</t>
        </is>
      </c>
      <c r="D143">
        <f>'Country'!M17</f>
        <v/>
      </c>
      <c r="E143">
        <f>'Country'!N17</f>
        <v/>
      </c>
      <c r="F143">
        <f>'Country'!O17</f>
        <v/>
      </c>
      <c r="G143" t="n">
        <v>3</v>
      </c>
      <c r="I143" t="inlineStr">
        <is>
          <t>Oil-output swings; conflict risk</t>
        </is>
      </c>
      <c r="J143" t="inlineStr">
        <is>
          <t>C</t>
        </is>
      </c>
      <c r="K143" t="inlineStr">
        <is>
          <t>prior from IMF Jul-2026 update + regional outlooks; NO country-level 2027 table retrieved (IMF API blocked) — replace with the Oct 13 WEO</t>
        </is>
      </c>
      <c r="L143" t="inlineStr">
        <is>
          <t>2026-10-08</t>
        </is>
      </c>
    </row>
    <row r="144">
      <c r="A144" t="n">
        <v>143</v>
      </c>
      <c r="B144" t="inlineStr">
        <is>
          <t>MLS</t>
        </is>
      </c>
      <c r="C144" t="inlineStr">
        <is>
          <t>Charlotte FC</t>
        </is>
      </c>
      <c r="D144">
        <f>'MLS'!M15</f>
        <v/>
      </c>
      <c r="E144">
        <f>'MLS'!N15</f>
        <v/>
      </c>
      <c r="F144">
        <f>'MLS'!O15</f>
        <v/>
      </c>
      <c r="G144" t="n">
        <v>3</v>
      </c>
      <c r="H144" t="inlineStr">
        <is>
          <t>2026 Cup: Kalshi 2.5%</t>
        </is>
      </c>
      <c r="I144" t="inlineStr">
        <is>
          <t>2026: 43 pts (as of 10-08; season ends Nov 7)</t>
        </is>
      </c>
      <c r="J144" t="inlineStr">
        <is>
          <t>C</t>
        </is>
      </c>
      <c r="K144" t="inlineStr">
        <is>
          <t>2026 points (league standings, A) + Kalshi KXMLSCUP-26 price as strength proxy, shrunk 50% toward the field</t>
        </is>
      </c>
      <c r="L144" t="inlineStr">
        <is>
          <t>2026-10-08</t>
        </is>
      </c>
    </row>
    <row r="145">
      <c r="A145" t="n">
        <v>144</v>
      </c>
      <c r="B145" t="inlineStr">
        <is>
          <t>Country</t>
        </is>
      </c>
      <c r="C145" t="inlineStr">
        <is>
          <t>Syria</t>
        </is>
      </c>
      <c r="D145">
        <f>'Country'!M18</f>
        <v/>
      </c>
      <c r="E145">
        <f>'Country'!N18</f>
        <v/>
      </c>
      <c r="F145">
        <f>'Country'!O18</f>
        <v/>
      </c>
      <c r="G145" t="n">
        <v>4</v>
      </c>
      <c r="I145" t="inlineStr">
        <is>
          <t>Post-conflict rebound from a tiny base; poor data</t>
        </is>
      </c>
      <c r="J145" t="inlineStr">
        <is>
          <t>C</t>
        </is>
      </c>
      <c r="K145" t="inlineStr">
        <is>
          <t>prior from IMF Jul-2026 update + regional outlooks; NO country-level 2027 table retrieved (IMF API blocked) — replace with the Oct 13 WEO</t>
        </is>
      </c>
      <c r="L145" t="inlineStr">
        <is>
          <t>2026-10-08</t>
        </is>
      </c>
    </row>
    <row r="146">
      <c r="A146" t="n">
        <v>145</v>
      </c>
      <c r="B146" t="inlineStr">
        <is>
          <t>NASCAR</t>
        </is>
      </c>
      <c r="C146" t="inlineStr">
        <is>
          <t>Chase Elliott</t>
        </is>
      </c>
      <c r="D146">
        <f>'NASCAR'!M12</f>
        <v/>
      </c>
      <c r="E146">
        <f>'NASCAR'!N12</f>
        <v/>
      </c>
      <c r="F146">
        <f>'NASCAR'!O12</f>
        <v/>
      </c>
      <c r="G146" t="n">
        <v>3</v>
      </c>
      <c r="H146" t="inlineStr">
        <is>
          <t>2026 title: Kalshi 1.0%</t>
        </is>
      </c>
      <c r="I146" t="inlineStr">
        <is>
          <t>2026 Cup Series</t>
        </is>
      </c>
      <c r="J146" t="inlineStr">
        <is>
          <t>C</t>
        </is>
      </c>
      <c r="K146" t="inlineStr">
        <is>
          <t>Kalshi KXNASCARCUPSERIES-NCS26 (2026 champion) shrunk to a 2027 prior; Chase standings via search</t>
        </is>
      </c>
      <c r="L146" t="inlineStr">
        <is>
          <t>2026-10-08</t>
        </is>
      </c>
    </row>
    <row r="147">
      <c r="A147" t="n">
        <v>146</v>
      </c>
      <c r="B147" t="inlineStr">
        <is>
          <t>Actress</t>
        </is>
      </c>
      <c r="C147" t="inlineStr">
        <is>
          <t>Idina Menzel</t>
        </is>
      </c>
      <c r="D147">
        <f>'Actress'!M17</f>
        <v/>
      </c>
      <c r="E147">
        <f>'Actress'!N17</f>
        <v/>
      </c>
      <c r="F147">
        <f>'Actress'!O17</f>
        <v/>
      </c>
      <c r="G147" t="n">
        <v>3</v>
      </c>
      <c r="I147" t="inlineStr">
        <is>
          <t>Frozen 3 (Nov 24)</t>
        </is>
      </c>
      <c r="J147" t="inlineStr">
        <is>
          <t>C</t>
        </is>
      </c>
      <c r="K147" t="inlineStr">
        <is>
          <t>Wikipedia 'List of American films of 2027' casts (Actions-runner pull 2026-10-08) x comp-based box office/RT estimates; cast lists are billed leads only (cameos not captured)</t>
        </is>
      </c>
      <c r="L147" t="inlineStr">
        <is>
          <t>2026-10-08</t>
        </is>
      </c>
    </row>
    <row r="148">
      <c r="A148" t="n">
        <v>147</v>
      </c>
      <c r="B148" t="inlineStr">
        <is>
          <t>Golf</t>
        </is>
      </c>
      <c r="C148" t="inlineStr">
        <is>
          <t>Chris Gotterup</t>
        </is>
      </c>
      <c r="D148">
        <f>'Golf'!M12</f>
        <v/>
      </c>
      <c r="E148">
        <f>'Golf'!N12</f>
        <v/>
      </c>
      <c r="F148">
        <f>'Golf'!O12</f>
        <v/>
      </c>
      <c r="G148" t="n">
        <v>3</v>
      </c>
      <c r="I148" t="inlineStr">
        <is>
          <t>OWGR 8 (2026-10-08)</t>
        </is>
      </c>
      <c r="J148" t="inlineStr">
        <is>
          <t>C</t>
        </is>
      </c>
      <c r="K148" t="inlineStr">
        <is>
          <t>OWGR rank from league standings pull (A); major-win probabilities = model (rank-weighted share of 4 majors)</t>
        </is>
      </c>
      <c r="L148" t="inlineStr">
        <is>
          <t>2026-10-08</t>
        </is>
      </c>
    </row>
    <row r="149">
      <c r="A149" t="n">
        <v>148</v>
      </c>
      <c r="B149" t="inlineStr">
        <is>
          <t>Stock</t>
        </is>
      </c>
      <c r="C149" t="inlineStr">
        <is>
          <t>MSTR (Short)</t>
        </is>
      </c>
      <c r="D149">
        <f>'Stock'!M22</f>
        <v/>
      </c>
      <c r="E149">
        <f>'Stock'!N22</f>
        <v/>
      </c>
      <c r="F149">
        <f>'Stock'!O22</f>
        <v/>
      </c>
      <c r="G149" t="n">
        <v>4</v>
      </c>
      <c r="I149" t="inlineStr">
        <is>
          <t>huge variance both ways</t>
        </is>
      </c>
      <c r="J149" t="inlineStr">
        <is>
          <t>C</t>
        </is>
      </c>
      <c r="K149" t="inlineStr">
        <is>
          <t>my estimate: sector view + typical vol; no price data pulled (verify quotes before drafting)</t>
        </is>
      </c>
      <c r="L149" t="inlineStr">
        <is>
          <t>2026-10-08</t>
        </is>
      </c>
    </row>
    <row r="150">
      <c r="A150" t="n">
        <v>149</v>
      </c>
      <c r="B150" t="inlineStr">
        <is>
          <t>Actor</t>
        </is>
      </c>
      <c r="C150" t="inlineStr">
        <is>
          <t>Flynn Gray</t>
        </is>
      </c>
      <c r="D150">
        <f>'Actor'!M21</f>
        <v/>
      </c>
      <c r="E150">
        <f>'Actor'!N21</f>
        <v/>
      </c>
      <c r="F150">
        <f>'Actor'!O21</f>
        <v/>
      </c>
      <c r="G150" t="n">
        <v>4</v>
      </c>
      <c r="I150" t="inlineStr">
        <is>
          <t>Starfighter (May 28)</t>
        </is>
      </c>
      <c r="J150" t="inlineStr">
        <is>
          <t>C</t>
        </is>
      </c>
      <c r="K150" t="inlineStr">
        <is>
          <t>Wikipedia 'List of American films of 2027' casts (Actions-runner pull 2026-10-08) x comp-based box office/RT estimates; cast lists are billed leads only (cameos not captured)</t>
        </is>
      </c>
      <c r="L150" t="inlineStr">
        <is>
          <t>2026-10-08</t>
        </is>
      </c>
    </row>
    <row r="151">
      <c r="A151" t="n">
        <v>150</v>
      </c>
      <c r="B151" t="inlineStr">
        <is>
          <t>Tennis</t>
        </is>
      </c>
      <c r="C151" t="inlineStr">
        <is>
          <t>Mirra Andreeva</t>
        </is>
      </c>
      <c r="D151">
        <f>'Tennis'!M13</f>
        <v/>
      </c>
      <c r="E151">
        <f>'Tennis'!N13</f>
        <v/>
      </c>
      <c r="F151">
        <f>'Tennis'!O13</f>
        <v/>
      </c>
      <c r="G151" t="n">
        <v>3</v>
      </c>
      <c r="I151" t="inlineStr">
        <is>
          <t>WTA 5 (2026-10-08)</t>
        </is>
      </c>
      <c r="J151" t="inlineStr">
        <is>
          <t>C</t>
        </is>
      </c>
      <c r="K151" t="inlineStr">
        <is>
          <t>ATP rank from league standings pull (A) / WTA via Olympics.com Oct 5; AO odds VegasInsider/Johnnybet Oct 2026; probabilities = agent estimates</t>
        </is>
      </c>
      <c r="L151" t="inlineStr">
        <is>
          <t>2026-10-08</t>
        </is>
      </c>
    </row>
    <row r="152">
      <c r="A152" t="n">
        <v>151</v>
      </c>
      <c r="B152" t="inlineStr">
        <is>
          <t>NBA</t>
        </is>
      </c>
      <c r="C152" t="inlineStr">
        <is>
          <t>Denver Nuggets</t>
        </is>
      </c>
      <c r="D152">
        <f>'NBA'!M12</f>
        <v/>
      </c>
      <c r="E152">
        <f>'NBA'!N12</f>
        <v/>
      </c>
      <c r="F152">
        <f>'NBA'!O12</f>
        <v/>
      </c>
      <c r="G152" t="n">
        <v>3</v>
      </c>
      <c r="H152" t="inlineStr">
        <is>
          <t>Kalshi 2.5%</t>
        </is>
      </c>
      <c r="I152" t="inlineStr">
        <is>
          <t>West; win total 49.5</t>
        </is>
      </c>
      <c r="J152" t="inlineStr">
        <is>
          <t>A</t>
        </is>
      </c>
      <c r="K152" t="inlineStr">
        <is>
          <t>KXNBA-27 exchange mid-price, pulled 2026-10-08; p(final)=KXNBAEAST/KXNBAWEST-27 Kalshi mid</t>
        </is>
      </c>
      <c r="L152" t="inlineStr">
        <is>
          <t>2026-10-08</t>
        </is>
      </c>
    </row>
    <row r="153">
      <c r="A153" t="n">
        <v>152</v>
      </c>
      <c r="B153" t="inlineStr">
        <is>
          <t>NASCAR</t>
        </is>
      </c>
      <c r="C153" t="inlineStr">
        <is>
          <t>William Byron</t>
        </is>
      </c>
      <c r="D153">
        <f>'NASCAR'!M13</f>
        <v/>
      </c>
      <c r="E153">
        <f>'NASCAR'!N13</f>
        <v/>
      </c>
      <c r="F153">
        <f>'NASCAR'!O13</f>
        <v/>
      </c>
      <c r="G153" t="n">
        <v>3</v>
      </c>
      <c r="H153" t="inlineStr">
        <is>
          <t>2026 title: Kalshi 0.5%</t>
        </is>
      </c>
      <c r="I153" t="inlineStr">
        <is>
          <t>2026 Cup Series</t>
        </is>
      </c>
      <c r="J153" t="inlineStr">
        <is>
          <t>C</t>
        </is>
      </c>
      <c r="K153" t="inlineStr">
        <is>
          <t>Kalshi KXNASCARCUPSERIES-NCS26 (2026 champion) shrunk to a 2027 prior; Chase standings via search</t>
        </is>
      </c>
      <c r="L153" t="inlineStr">
        <is>
          <t>2026-10-08</t>
        </is>
      </c>
    </row>
    <row r="154">
      <c r="A154" t="n">
        <v>153</v>
      </c>
      <c r="B154" t="inlineStr">
        <is>
          <t>NASCAR</t>
        </is>
      </c>
      <c r="C154" t="inlineStr">
        <is>
          <t>Shane van Gisbergen</t>
        </is>
      </c>
      <c r="D154">
        <f>'NASCAR'!M14</f>
        <v/>
      </c>
      <c r="E154">
        <f>'NASCAR'!N14</f>
        <v/>
      </c>
      <c r="F154">
        <f>'NASCAR'!O14</f>
        <v/>
      </c>
      <c r="G154" t="n">
        <v>3</v>
      </c>
      <c r="H154" t="inlineStr">
        <is>
          <t>2026 title: Kalshi 0.5%</t>
        </is>
      </c>
      <c r="I154" t="inlineStr">
        <is>
          <t>2026 Cup Series</t>
        </is>
      </c>
      <c r="J154" t="inlineStr">
        <is>
          <t>C</t>
        </is>
      </c>
      <c r="K154" t="inlineStr">
        <is>
          <t>Kalshi KXNASCARCUPSERIES-NCS26 (2026 champion) shrunk to a 2027 prior; Chase standings via search</t>
        </is>
      </c>
      <c r="L154" t="inlineStr">
        <is>
          <t>2026-10-08</t>
        </is>
      </c>
    </row>
    <row r="155">
      <c r="A155" t="n">
        <v>154</v>
      </c>
      <c r="B155" t="inlineStr">
        <is>
          <t>Actor</t>
        </is>
      </c>
      <c r="C155" t="inlineStr">
        <is>
          <t>Matt Smith</t>
        </is>
      </c>
      <c r="D155">
        <f>'Actor'!M22</f>
        <v/>
      </c>
      <c r="E155">
        <f>'Actor'!N22</f>
        <v/>
      </c>
      <c r="F155">
        <f>'Actor'!O22</f>
        <v/>
      </c>
      <c r="G155" t="n">
        <v>4</v>
      </c>
      <c r="I155" t="inlineStr">
        <is>
          <t>Starfighter (May 28)</t>
        </is>
      </c>
      <c r="J155" t="inlineStr">
        <is>
          <t>C</t>
        </is>
      </c>
      <c r="K155" t="inlineStr">
        <is>
          <t>Wikipedia 'List of American films of 2027' casts (Actions-runner pull 2026-10-08) x comp-based box office/RT estimates; cast lists are billed leads only (cameos not captured)</t>
        </is>
      </c>
      <c r="L155" t="inlineStr">
        <is>
          <t>2026-10-08</t>
        </is>
      </c>
    </row>
    <row r="156">
      <c r="A156" t="n">
        <v>155</v>
      </c>
      <c r="B156" t="inlineStr">
        <is>
          <t>Actor</t>
        </is>
      </c>
      <c r="C156" t="inlineStr">
        <is>
          <t>Simon Bird</t>
        </is>
      </c>
      <c r="D156">
        <f>'Actor'!M23</f>
        <v/>
      </c>
      <c r="E156">
        <f>'Actor'!N23</f>
        <v/>
      </c>
      <c r="F156">
        <f>'Actor'!O23</f>
        <v/>
      </c>
      <c r="G156" t="n">
        <v>4</v>
      </c>
      <c r="I156" t="inlineStr">
        <is>
          <t>Starfighter (May 28)</t>
        </is>
      </c>
      <c r="J156" t="inlineStr">
        <is>
          <t>C</t>
        </is>
      </c>
      <c r="K156" t="inlineStr">
        <is>
          <t>Wikipedia 'List of American films of 2027' casts (Actions-runner pull 2026-10-08) x comp-based box office/RT estimates; cast lists are billed leads only (cameos not captured)</t>
        </is>
      </c>
      <c r="L156" t="inlineStr">
        <is>
          <t>2026-10-08</t>
        </is>
      </c>
    </row>
    <row r="157">
      <c r="A157" t="n">
        <v>156</v>
      </c>
      <c r="B157" t="inlineStr">
        <is>
          <t>NASCAR</t>
        </is>
      </c>
      <c r="C157" t="inlineStr">
        <is>
          <t>Michael McDowell</t>
        </is>
      </c>
      <c r="D157">
        <f>'NASCAR'!M15</f>
        <v/>
      </c>
      <c r="E157">
        <f>'NASCAR'!N15</f>
        <v/>
      </c>
      <c r="F157">
        <f>'NASCAR'!O15</f>
        <v/>
      </c>
      <c r="G157" t="n">
        <v>3</v>
      </c>
      <c r="H157" t="inlineStr">
        <is>
          <t>2026 title: Kalshi 0.5%</t>
        </is>
      </c>
      <c r="I157" t="inlineStr">
        <is>
          <t>2026 Cup Series</t>
        </is>
      </c>
      <c r="J157" t="inlineStr">
        <is>
          <t>C</t>
        </is>
      </c>
      <c r="K157" t="inlineStr">
        <is>
          <t>Kalshi KXNASCARCUPSERIES-NCS26 (2026 champion) shrunk to a 2027 prior; Chase standings via search</t>
        </is>
      </c>
      <c r="L157" t="inlineStr">
        <is>
          <t>2026-10-08</t>
        </is>
      </c>
    </row>
    <row r="158">
      <c r="A158" t="n">
        <v>157</v>
      </c>
      <c r="B158" t="inlineStr">
        <is>
          <t>Actor</t>
        </is>
      </c>
      <c r="C158" t="inlineStr">
        <is>
          <t>Sam Neill</t>
        </is>
      </c>
      <c r="D158">
        <f>'Actor'!M24</f>
        <v/>
      </c>
      <c r="E158">
        <f>'Actor'!N24</f>
        <v/>
      </c>
      <c r="F158">
        <f>'Actor'!O24</f>
        <v/>
      </c>
      <c r="G158" t="n">
        <v>4</v>
      </c>
      <c r="I158" t="inlineStr">
        <is>
          <t>The Legend of Zelda (Apr 30); Godzilla x Kong: Supernova (Mar 26)</t>
        </is>
      </c>
      <c r="J158" t="inlineStr">
        <is>
          <t>C</t>
        </is>
      </c>
      <c r="K158" t="inlineStr">
        <is>
          <t>Wikipedia 'List of American films of 2027' casts (Actions-runner pull 2026-10-08) x comp-based box office/RT estimates; cast lists are billed leads only (cameos not captured)</t>
        </is>
      </c>
      <c r="L158" t="inlineStr">
        <is>
          <t>2026-10-08</t>
        </is>
      </c>
    </row>
    <row r="159">
      <c r="A159" t="n">
        <v>158</v>
      </c>
      <c r="B159" t="inlineStr">
        <is>
          <t>NASCAR</t>
        </is>
      </c>
      <c r="C159" t="inlineStr">
        <is>
          <t>Ty Gibbs</t>
        </is>
      </c>
      <c r="D159">
        <f>'NASCAR'!M16</f>
        <v/>
      </c>
      <c r="E159">
        <f>'NASCAR'!N16</f>
        <v/>
      </c>
      <c r="F159">
        <f>'NASCAR'!O16</f>
        <v/>
      </c>
      <c r="G159" t="n">
        <v>3</v>
      </c>
      <c r="H159" t="inlineStr">
        <is>
          <t>2026 title: Kalshi 0.5%</t>
        </is>
      </c>
      <c r="I159" t="inlineStr">
        <is>
          <t>2026 Cup Series</t>
        </is>
      </c>
      <c r="J159" t="inlineStr">
        <is>
          <t>C</t>
        </is>
      </c>
      <c r="K159" t="inlineStr">
        <is>
          <t>Kalshi KXNASCARCUPSERIES-NCS26 (2026 champion) shrunk to a 2027 prior; Chase standings via search</t>
        </is>
      </c>
      <c r="L159" t="inlineStr">
        <is>
          <t>2026-10-08</t>
        </is>
      </c>
    </row>
    <row r="160">
      <c r="A160" t="n">
        <v>159</v>
      </c>
      <c r="B160" t="inlineStr">
        <is>
          <t>Actor</t>
        </is>
      </c>
      <c r="C160" t="inlineStr">
        <is>
          <t>Jamael Westman</t>
        </is>
      </c>
      <c r="D160">
        <f>'Actor'!M25</f>
        <v/>
      </c>
      <c r="E160">
        <f>'Actor'!N25</f>
        <v/>
      </c>
      <c r="F160">
        <f>'Actor'!O25</f>
        <v/>
      </c>
      <c r="G160" t="n">
        <v>4</v>
      </c>
      <c r="I160" t="inlineStr">
        <is>
          <t>Starfighter (May 28)</t>
        </is>
      </c>
      <c r="J160" t="inlineStr">
        <is>
          <t>C</t>
        </is>
      </c>
      <c r="K160" t="inlineStr">
        <is>
          <t>Wikipedia 'List of American films of 2027' casts (Actions-runner pull 2026-10-08) x comp-based box office/RT estimates; cast lists are billed leads only (cameos not captured)</t>
        </is>
      </c>
      <c r="L160" t="inlineStr">
        <is>
          <t>2026-10-08</t>
        </is>
      </c>
    </row>
    <row r="161">
      <c r="A161" t="n">
        <v>160</v>
      </c>
      <c r="B161" t="inlineStr">
        <is>
          <t>Actor</t>
        </is>
      </c>
      <c r="C161" t="inlineStr">
        <is>
          <t>Nicholas Hoult</t>
        </is>
      </c>
      <c r="D161">
        <f>'Actor'!M26</f>
        <v/>
      </c>
      <c r="E161">
        <f>'Actor'!N26</f>
        <v/>
      </c>
      <c r="F161">
        <f>'Actor'!O26</f>
        <v/>
      </c>
      <c r="G161" t="n">
        <v>4</v>
      </c>
      <c r="I161" t="inlineStr">
        <is>
          <t>Man of Tomorrow (Jul 9); CoComelon: The Movie (Feb 19)</t>
        </is>
      </c>
      <c r="J161" t="inlineStr">
        <is>
          <t>C</t>
        </is>
      </c>
      <c r="K161" t="inlineStr">
        <is>
          <t>Wikipedia 'List of American films of 2027' casts (Actions-runner pull 2026-10-08) x comp-based box office/RT estimates; cast lists are billed leads only (cameos not captured)</t>
        </is>
      </c>
      <c r="L161" t="inlineStr">
        <is>
          <t>2026-10-08</t>
        </is>
      </c>
    </row>
    <row r="162">
      <c r="A162" t="n">
        <v>161</v>
      </c>
      <c r="B162" t="inlineStr">
        <is>
          <t>NASCAR</t>
        </is>
      </c>
      <c r="C162" t="inlineStr">
        <is>
          <t>Alex Bowman</t>
        </is>
      </c>
      <c r="D162">
        <f>'NASCAR'!M17</f>
        <v/>
      </c>
      <c r="E162">
        <f>'NASCAR'!N17</f>
        <v/>
      </c>
      <c r="F162">
        <f>'NASCAR'!O17</f>
        <v/>
      </c>
      <c r="G162" t="n">
        <v>3</v>
      </c>
      <c r="H162" t="inlineStr">
        <is>
          <t>2026 title: Kalshi 0.5%</t>
        </is>
      </c>
      <c r="I162" t="inlineStr">
        <is>
          <t>2026 Cup Series</t>
        </is>
      </c>
      <c r="J162" t="inlineStr">
        <is>
          <t>C</t>
        </is>
      </c>
      <c r="K162" t="inlineStr">
        <is>
          <t>Kalshi KXNASCARCUPSERIES-NCS26 (2026 champion) shrunk to a 2027 prior; Chase standings via search</t>
        </is>
      </c>
      <c r="L162" t="inlineStr">
        <is>
          <t>2026-10-08</t>
        </is>
      </c>
    </row>
    <row r="163">
      <c r="A163" t="n">
        <v>162</v>
      </c>
      <c r="B163" t="inlineStr">
        <is>
          <t>NASCAR</t>
        </is>
      </c>
      <c r="C163" t="inlineStr">
        <is>
          <t>AJ Allmendinger</t>
        </is>
      </c>
      <c r="D163">
        <f>'NASCAR'!M18</f>
        <v/>
      </c>
      <c r="E163">
        <f>'NASCAR'!N18</f>
        <v/>
      </c>
      <c r="F163">
        <f>'NASCAR'!O18</f>
        <v/>
      </c>
      <c r="G163" t="n">
        <v>4</v>
      </c>
      <c r="H163" t="inlineStr">
        <is>
          <t>2026 title: Kalshi 0.5%</t>
        </is>
      </c>
      <c r="I163" t="inlineStr">
        <is>
          <t>2026 Cup Series</t>
        </is>
      </c>
      <c r="J163" t="inlineStr">
        <is>
          <t>C</t>
        </is>
      </c>
      <c r="K163" t="inlineStr">
        <is>
          <t>Kalshi KXNASCARCUPSERIES-NCS26 (2026 champion) shrunk to a 2027 prior; Chase standings via search</t>
        </is>
      </c>
      <c r="L163" t="inlineStr">
        <is>
          <t>2026-10-08</t>
        </is>
      </c>
    </row>
    <row r="164">
      <c r="A164" t="n">
        <v>163</v>
      </c>
      <c r="B164" t="inlineStr">
        <is>
          <t>NASCAR</t>
        </is>
      </c>
      <c r="C164" t="inlineStr">
        <is>
          <t>Riley Herbst</t>
        </is>
      </c>
      <c r="D164">
        <f>'NASCAR'!M19</f>
        <v/>
      </c>
      <c r="E164">
        <f>'NASCAR'!N19</f>
        <v/>
      </c>
      <c r="F164">
        <f>'NASCAR'!O19</f>
        <v/>
      </c>
      <c r="G164" t="n">
        <v>4</v>
      </c>
      <c r="H164" t="inlineStr">
        <is>
          <t>2026 title: Kalshi 0.5%</t>
        </is>
      </c>
      <c r="I164" t="inlineStr">
        <is>
          <t>2026 Cup Series</t>
        </is>
      </c>
      <c r="J164" t="inlineStr">
        <is>
          <t>C</t>
        </is>
      </c>
      <c r="K164" t="inlineStr">
        <is>
          <t>Kalshi KXNASCARCUPSERIES-NCS26 (2026 champion) shrunk to a 2027 prior; Chase standings via search</t>
        </is>
      </c>
      <c r="L164" t="inlineStr">
        <is>
          <t>2026-10-08</t>
        </is>
      </c>
    </row>
    <row r="165">
      <c r="A165" t="n">
        <v>164</v>
      </c>
      <c r="B165" t="inlineStr">
        <is>
          <t>NASCAR</t>
        </is>
      </c>
      <c r="C165" t="inlineStr">
        <is>
          <t>Daniel Suarez</t>
        </is>
      </c>
      <c r="D165">
        <f>'NASCAR'!M20</f>
        <v/>
      </c>
      <c r="E165">
        <f>'NASCAR'!N20</f>
        <v/>
      </c>
      <c r="F165">
        <f>'NASCAR'!O20</f>
        <v/>
      </c>
      <c r="G165" t="n">
        <v>4</v>
      </c>
      <c r="H165" t="inlineStr">
        <is>
          <t>2026 title: Kalshi 0.5%</t>
        </is>
      </c>
      <c r="I165" t="inlineStr">
        <is>
          <t>2026 Cup Series</t>
        </is>
      </c>
      <c r="J165" t="inlineStr">
        <is>
          <t>C</t>
        </is>
      </c>
      <c r="K165" t="inlineStr">
        <is>
          <t>Kalshi KXNASCARCUPSERIES-NCS26 (2026 champion) shrunk to a 2027 prior; Chase standings via search</t>
        </is>
      </c>
      <c r="L165" t="inlineStr">
        <is>
          <t>2026-10-08</t>
        </is>
      </c>
    </row>
    <row r="166">
      <c r="A166" t="n">
        <v>165</v>
      </c>
      <c r="B166" t="inlineStr">
        <is>
          <t>NASCAR</t>
        </is>
      </c>
      <c r="C166" t="inlineStr">
        <is>
          <t>Noah Gragson</t>
        </is>
      </c>
      <c r="D166">
        <f>'NASCAR'!M21</f>
        <v/>
      </c>
      <c r="E166">
        <f>'NASCAR'!N21</f>
        <v/>
      </c>
      <c r="F166">
        <f>'NASCAR'!O21</f>
        <v/>
      </c>
      <c r="G166" t="n">
        <v>4</v>
      </c>
      <c r="H166" t="inlineStr">
        <is>
          <t>2026 title: Kalshi 0.5%</t>
        </is>
      </c>
      <c r="I166" t="inlineStr">
        <is>
          <t>2026 Cup Series</t>
        </is>
      </c>
      <c r="J166" t="inlineStr">
        <is>
          <t>C</t>
        </is>
      </c>
      <c r="K166" t="inlineStr">
        <is>
          <t>Kalshi KXNASCARCUPSERIES-NCS26 (2026 champion) shrunk to a 2027 prior; Chase standings via search</t>
        </is>
      </c>
      <c r="L166" t="inlineStr">
        <is>
          <t>2026-10-08</t>
        </is>
      </c>
    </row>
    <row r="167">
      <c r="A167" t="n">
        <v>166</v>
      </c>
      <c r="B167" t="inlineStr">
        <is>
          <t>NASCAR</t>
        </is>
      </c>
      <c r="C167" t="inlineStr">
        <is>
          <t>Bubba Wallace</t>
        </is>
      </c>
      <c r="D167">
        <f>'NASCAR'!M22</f>
        <v/>
      </c>
      <c r="E167">
        <f>'NASCAR'!N22</f>
        <v/>
      </c>
      <c r="F167">
        <f>'NASCAR'!O22</f>
        <v/>
      </c>
      <c r="G167" t="n">
        <v>4</v>
      </c>
      <c r="H167" t="inlineStr">
        <is>
          <t>2026 title: Kalshi 0.5%</t>
        </is>
      </c>
      <c r="I167" t="inlineStr">
        <is>
          <t>2026 Cup Series</t>
        </is>
      </c>
      <c r="J167" t="inlineStr">
        <is>
          <t>C</t>
        </is>
      </c>
      <c r="K167" t="inlineStr">
        <is>
          <t>Kalshi KXNASCARCUPSERIES-NCS26 (2026 champion) shrunk to a 2027 prior; Chase standings via search</t>
        </is>
      </c>
      <c r="L167" t="inlineStr">
        <is>
          <t>2026-10-08</t>
        </is>
      </c>
    </row>
    <row r="168">
      <c r="A168" t="n">
        <v>167</v>
      </c>
      <c r="B168" t="inlineStr">
        <is>
          <t>NASCAR</t>
        </is>
      </c>
      <c r="C168" t="inlineStr">
        <is>
          <t>Todd Gilliland</t>
        </is>
      </c>
      <c r="D168">
        <f>'NASCAR'!M23</f>
        <v/>
      </c>
      <c r="E168">
        <f>'NASCAR'!N23</f>
        <v/>
      </c>
      <c r="F168">
        <f>'NASCAR'!O23</f>
        <v/>
      </c>
      <c r="G168" t="n">
        <v>4</v>
      </c>
      <c r="H168" t="inlineStr">
        <is>
          <t>2026 title: Kalshi 0.5%</t>
        </is>
      </c>
      <c r="I168" t="inlineStr">
        <is>
          <t>2026 Cup Series</t>
        </is>
      </c>
      <c r="J168" t="inlineStr">
        <is>
          <t>C</t>
        </is>
      </c>
      <c r="K168" t="inlineStr">
        <is>
          <t>Kalshi KXNASCARCUPSERIES-NCS26 (2026 champion) shrunk to a 2027 prior; Chase standings via search</t>
        </is>
      </c>
      <c r="L168" t="inlineStr">
        <is>
          <t>2026-10-08</t>
        </is>
      </c>
    </row>
    <row r="169">
      <c r="A169" t="n">
        <v>168</v>
      </c>
      <c r="B169" t="inlineStr">
        <is>
          <t>NASCAR</t>
        </is>
      </c>
      <c r="C169" t="inlineStr">
        <is>
          <t>Carson Hocevar</t>
        </is>
      </c>
      <c r="D169">
        <f>'NASCAR'!M24</f>
        <v/>
      </c>
      <c r="E169">
        <f>'NASCAR'!N24</f>
        <v/>
      </c>
      <c r="F169">
        <f>'NASCAR'!O24</f>
        <v/>
      </c>
      <c r="G169" t="n">
        <v>4</v>
      </c>
      <c r="H169" t="inlineStr">
        <is>
          <t>2026 title: Kalshi 0.5%</t>
        </is>
      </c>
      <c r="I169" t="inlineStr">
        <is>
          <t>2026 Cup Series</t>
        </is>
      </c>
      <c r="J169" t="inlineStr">
        <is>
          <t>C</t>
        </is>
      </c>
      <c r="K169" t="inlineStr">
        <is>
          <t>Kalshi KXNASCARCUPSERIES-NCS26 (2026 champion) shrunk to a 2027 prior; Chase standings via search</t>
        </is>
      </c>
      <c r="L169" t="inlineStr">
        <is>
          <t>2026-10-08</t>
        </is>
      </c>
    </row>
    <row r="170">
      <c r="A170" t="n">
        <v>169</v>
      </c>
      <c r="B170" t="inlineStr">
        <is>
          <t>NASCAR</t>
        </is>
      </c>
      <c r="C170" t="inlineStr">
        <is>
          <t>Ryan Preece</t>
        </is>
      </c>
      <c r="D170">
        <f>'NASCAR'!M25</f>
        <v/>
      </c>
      <c r="E170">
        <f>'NASCAR'!N25</f>
        <v/>
      </c>
      <c r="F170">
        <f>'NASCAR'!O25</f>
        <v/>
      </c>
      <c r="G170" t="n">
        <v>4</v>
      </c>
      <c r="H170" t="inlineStr">
        <is>
          <t>2026 title: Kalshi 0.5%</t>
        </is>
      </c>
      <c r="I170" t="inlineStr">
        <is>
          <t>2026 Cup Series</t>
        </is>
      </c>
      <c r="J170" t="inlineStr">
        <is>
          <t>C</t>
        </is>
      </c>
      <c r="K170" t="inlineStr">
        <is>
          <t>Kalshi KXNASCARCUPSERIES-NCS26 (2026 champion) shrunk to a 2027 prior; Chase standings via search</t>
        </is>
      </c>
      <c r="L170" t="inlineStr">
        <is>
          <t>2026-10-08</t>
        </is>
      </c>
    </row>
    <row r="171">
      <c r="A171" t="n">
        <v>170</v>
      </c>
      <c r="B171" t="inlineStr">
        <is>
          <t>NASCAR</t>
        </is>
      </c>
      <c r="C171" t="inlineStr">
        <is>
          <t>Zane Smith</t>
        </is>
      </c>
      <c r="D171">
        <f>'NASCAR'!M26</f>
        <v/>
      </c>
      <c r="E171">
        <f>'NASCAR'!N26</f>
        <v/>
      </c>
      <c r="F171">
        <f>'NASCAR'!O26</f>
        <v/>
      </c>
      <c r="G171" t="n">
        <v>4</v>
      </c>
      <c r="H171" t="inlineStr">
        <is>
          <t>2026 title: Kalshi 0.5%</t>
        </is>
      </c>
      <c r="I171" t="inlineStr">
        <is>
          <t>2026 Cup Series</t>
        </is>
      </c>
      <c r="J171" t="inlineStr">
        <is>
          <t>C</t>
        </is>
      </c>
      <c r="K171" t="inlineStr">
        <is>
          <t>Kalshi KXNASCARCUPSERIES-NCS26 (2026 champion) shrunk to a 2027 prior; Chase standings via search</t>
        </is>
      </c>
      <c r="L171" t="inlineStr">
        <is>
          <t>2026-10-08</t>
        </is>
      </c>
    </row>
    <row r="172">
      <c r="A172" t="n">
        <v>171</v>
      </c>
      <c r="B172" t="inlineStr">
        <is>
          <t>NASCAR</t>
        </is>
      </c>
      <c r="C172" t="inlineStr">
        <is>
          <t>Ross Chastain</t>
        </is>
      </c>
      <c r="D172">
        <f>'NASCAR'!M27</f>
        <v/>
      </c>
      <c r="E172">
        <f>'NASCAR'!N27</f>
        <v/>
      </c>
      <c r="F172">
        <f>'NASCAR'!O27</f>
        <v/>
      </c>
      <c r="G172" t="n">
        <v>4</v>
      </c>
      <c r="H172" t="inlineStr">
        <is>
          <t>2026 title: Kalshi 0.5%</t>
        </is>
      </c>
      <c r="I172" t="inlineStr">
        <is>
          <t>2026 Cup Series</t>
        </is>
      </c>
      <c r="J172" t="inlineStr">
        <is>
          <t>C</t>
        </is>
      </c>
      <c r="K172" t="inlineStr">
        <is>
          <t>Kalshi KXNASCARCUPSERIES-NCS26 (2026 champion) shrunk to a 2027 prior; Chase standings via search</t>
        </is>
      </c>
      <c r="L172" t="inlineStr">
        <is>
          <t>2026-10-08</t>
        </is>
      </c>
    </row>
    <row r="173">
      <c r="A173" t="n">
        <v>172</v>
      </c>
      <c r="B173" t="inlineStr">
        <is>
          <t>NASCAR</t>
        </is>
      </c>
      <c r="C173" t="inlineStr">
        <is>
          <t>Austin Cindric</t>
        </is>
      </c>
      <c r="D173">
        <f>'NASCAR'!M28</f>
        <v/>
      </c>
      <c r="E173">
        <f>'NASCAR'!N28</f>
        <v/>
      </c>
      <c r="F173">
        <f>'NASCAR'!O28</f>
        <v/>
      </c>
      <c r="G173" t="n">
        <v>4</v>
      </c>
      <c r="H173" t="inlineStr">
        <is>
          <t>2026 title: Kalshi 0.5%</t>
        </is>
      </c>
      <c r="I173" t="inlineStr">
        <is>
          <t>2026 Cup Series</t>
        </is>
      </c>
      <c r="J173" t="inlineStr">
        <is>
          <t>C</t>
        </is>
      </c>
      <c r="K173" t="inlineStr">
        <is>
          <t>Kalshi KXNASCARCUPSERIES-NCS26 (2026 champion) shrunk to a 2027 prior; Chase standings via search</t>
        </is>
      </c>
      <c r="L173" t="inlineStr">
        <is>
          <t>2026-10-08</t>
        </is>
      </c>
    </row>
    <row r="174">
      <c r="A174" t="n">
        <v>173</v>
      </c>
      <c r="B174" t="inlineStr">
        <is>
          <t>MLB</t>
        </is>
      </c>
      <c r="C174" t="inlineStr">
        <is>
          <t>Boston Red Sox</t>
        </is>
      </c>
      <c r="D174">
        <f>'MLB'!M13</f>
        <v/>
      </c>
      <c r="E174">
        <f>'MLB'!N13</f>
        <v/>
      </c>
      <c r="F174">
        <f>'MLB'!O13</f>
        <v/>
      </c>
      <c r="G174" t="n">
        <v>3</v>
      </c>
      <c r="I174" t="inlineStr">
        <is>
          <t>2026: 87-75 (.5370)</t>
        </is>
      </c>
      <c r="J174" t="inlineStr">
        <is>
          <t>C</t>
        </is>
      </c>
      <c r="K174" t="inlineStr">
        <is>
          <t>2026 win% from league standings (A); title prob = model estimate — no 2027 World Series odds posted</t>
        </is>
      </c>
      <c r="L174" t="inlineStr">
        <is>
          <t>2026-10-08</t>
        </is>
      </c>
    </row>
    <row r="175">
      <c r="A175" t="n">
        <v>174</v>
      </c>
      <c r="B175" t="inlineStr">
        <is>
          <t>Musician</t>
        </is>
      </c>
      <c r="C175" t="inlineStr">
        <is>
          <t>BTS</t>
        </is>
      </c>
      <c r="D175">
        <f>'Musician'!M13</f>
        <v/>
      </c>
      <c r="E175">
        <f>'Musician'!N13</f>
        <v/>
      </c>
      <c r="F175">
        <f>'Musician'!O13</f>
        <v/>
      </c>
      <c r="G175" t="n">
        <v>3</v>
      </c>
      <c r="H175" t="inlineStr">
        <is>
          <t>Grammy EV 2.6</t>
        </is>
      </c>
      <c r="I175" t="inlineStr">
        <is>
          <t>Arirang (2026) #1 on the Billboard 200; 'Swim' #1 (Apr 2026); world tour</t>
        </is>
      </c>
      <c r="J175" t="inlineStr">
        <is>
          <t>C</t>
        </is>
      </c>
      <c r="K175" t="inlineStr">
        <is>
          <t>2027 Hot 100 baseline = my estimate; Grammy: estimate (C)</t>
        </is>
      </c>
      <c r="L175" t="inlineStr">
        <is>
          <t>2026-10-08</t>
        </is>
      </c>
    </row>
    <row r="176">
      <c r="A176" t="n">
        <v>175</v>
      </c>
      <c r="B176" t="inlineStr">
        <is>
          <t>Country</t>
        </is>
      </c>
      <c r="C176" t="inlineStr">
        <is>
          <t>Gaza / West Bank</t>
        </is>
      </c>
      <c r="D176">
        <f>'Country'!M19</f>
        <v/>
      </c>
      <c r="E176">
        <f>'Country'!N19</f>
        <v/>
      </c>
      <c r="F176">
        <f>'Country'!O19</f>
        <v/>
      </c>
      <c r="G176" t="n">
        <v>4</v>
      </c>
      <c r="I176" t="inlineStr">
        <is>
          <t>Rebound lottery; data quality poor</t>
        </is>
      </c>
      <c r="J176" t="inlineStr">
        <is>
          <t>C</t>
        </is>
      </c>
      <c r="K176" t="inlineStr">
        <is>
          <t>prior from IMF Jul-2026 update + regional outlooks; NO country-level 2027 table retrieved (IMF API blocked) — replace with the Oct 13 WEO</t>
        </is>
      </c>
      <c r="L176" t="inlineStr">
        <is>
          <t>2026-10-08</t>
        </is>
      </c>
    </row>
    <row r="177">
      <c r="A177" t="n">
        <v>176</v>
      </c>
      <c r="B177" t="inlineStr">
        <is>
          <t>NHL</t>
        </is>
      </c>
      <c r="C177" t="inlineStr">
        <is>
          <t>Tampa Bay Lightning</t>
        </is>
      </c>
      <c r="D177">
        <f>'NHL'!M12</f>
        <v/>
      </c>
      <c r="E177">
        <f>'NHL'!N12</f>
        <v/>
      </c>
      <c r="F177">
        <f>'NHL'!O12</f>
        <v/>
      </c>
      <c r="G177" t="n">
        <v>3</v>
      </c>
      <c r="H177" t="inlineStr">
        <is>
          <t>Kalshi 5.5%</t>
        </is>
      </c>
      <c r="I177" t="inlineStr">
        <is>
          <t>East</t>
        </is>
      </c>
      <c r="J177" t="inlineStr">
        <is>
          <t>A</t>
        </is>
      </c>
      <c r="K177" t="inlineStr">
        <is>
          <t>KXNHL-27 exchange mid-price, pulled 2026-10-08; p(final)=KXNHLEAST/KXNHLWEST-27 Kalshi mid</t>
        </is>
      </c>
      <c r="L177" t="inlineStr">
        <is>
          <t>2026-10-08</t>
        </is>
      </c>
    </row>
    <row r="178">
      <c r="A178" t="n">
        <v>177</v>
      </c>
      <c r="B178" t="inlineStr">
        <is>
          <t>Musician</t>
        </is>
      </c>
      <c r="C178" t="inlineStr">
        <is>
          <t>Raye</t>
        </is>
      </c>
      <c r="D178">
        <f>'Musician'!M14</f>
        <v/>
      </c>
      <c r="E178">
        <f>'Musician'!N14</f>
        <v/>
      </c>
      <c r="F178">
        <f>'Musician'!O14</f>
        <v/>
      </c>
      <c r="G178" t="n">
        <v>3</v>
      </c>
      <c r="H178" t="inlineStr">
        <is>
          <t>Grammy EV 5.8</t>
        </is>
      </c>
      <c r="I178" t="inlineStr">
        <is>
          <t>'WHERE IS MY HUSBAND!' ROTY/SOTY nominee</t>
        </is>
      </c>
      <c r="J178" t="inlineStr">
        <is>
          <t>C</t>
        </is>
      </c>
      <c r="K178" t="inlineStr">
        <is>
          <t>2027 Hot 100 baseline = my estimate; Grammy: Kalshi KXGRAM*-69 prices (A) + estimates for other categories (C)</t>
        </is>
      </c>
      <c r="L178" t="inlineStr">
        <is>
          <t>2026-10-08</t>
        </is>
      </c>
    </row>
    <row r="179">
      <c r="A179" t="n">
        <v>178</v>
      </c>
      <c r="B179" t="inlineStr">
        <is>
          <t>Country</t>
        </is>
      </c>
      <c r="C179" t="inlineStr">
        <is>
          <t>Venezuela</t>
        </is>
      </c>
      <c r="D179">
        <f>'Country'!M20</f>
        <v/>
      </c>
      <c r="E179">
        <f>'Country'!N20</f>
        <v/>
      </c>
      <c r="F179">
        <f>'Country'!O20</f>
        <v/>
      </c>
      <c r="G179" t="n">
        <v>4</v>
      </c>
      <c r="I179" t="inlineStr">
        <is>
          <t>Political transition / oil; IMF data often missing</t>
        </is>
      </c>
      <c r="J179" t="inlineStr">
        <is>
          <t>C</t>
        </is>
      </c>
      <c r="K179" t="inlineStr">
        <is>
          <t>prior from IMF Jul-2026 update + regional outlooks; NO country-level 2027 table retrieved (IMF API blocked) — replace with the Oct 13 WEO</t>
        </is>
      </c>
      <c r="L179" t="inlineStr">
        <is>
          <t>2026-10-08</t>
        </is>
      </c>
    </row>
    <row r="180">
      <c r="A180" t="n">
        <v>179</v>
      </c>
      <c r="B180" t="inlineStr">
        <is>
          <t>Stock</t>
        </is>
      </c>
      <c r="C180" t="inlineStr">
        <is>
          <t>PLTR (Short)</t>
        </is>
      </c>
      <c r="D180">
        <f>'Stock'!M23</f>
        <v/>
      </c>
      <c r="E180">
        <f>'Stock'!N23</f>
        <v/>
      </c>
      <c r="F180">
        <f>'Stock'!O23</f>
        <v/>
      </c>
      <c r="G180" t="n">
        <v>4</v>
      </c>
      <c r="I180" t="inlineStr">
        <is>
          <t>valuation short; painful if momentum persists</t>
        </is>
      </c>
      <c r="J180" t="inlineStr">
        <is>
          <t>C</t>
        </is>
      </c>
      <c r="K180" t="inlineStr">
        <is>
          <t>my estimate: sector view + typical vol; no price data pulled (verify quotes before drafting)</t>
        </is>
      </c>
      <c r="L180" t="inlineStr">
        <is>
          <t>2026-10-08</t>
        </is>
      </c>
    </row>
    <row r="181">
      <c r="A181" t="n">
        <v>180</v>
      </c>
      <c r="B181" t="inlineStr">
        <is>
          <t>Country</t>
        </is>
      </c>
      <c r="C181" t="inlineStr">
        <is>
          <t>Sudan</t>
        </is>
      </c>
      <c r="D181">
        <f>'Country'!M21</f>
        <v/>
      </c>
      <c r="E181">
        <f>'Country'!N21</f>
        <v/>
      </c>
      <c r="F181">
        <f>'Country'!O21</f>
        <v/>
      </c>
      <c r="G181" t="n">
        <v>4</v>
      </c>
      <c r="I181" t="inlineStr">
        <is>
          <t>Post-war rebound only with a ceasefire</t>
        </is>
      </c>
      <c r="J181" t="inlineStr">
        <is>
          <t>C</t>
        </is>
      </c>
      <c r="K181" t="inlineStr">
        <is>
          <t>prior from IMF Jul-2026 update + regional outlooks; NO country-level 2027 table retrieved (IMF API blocked) — replace with the Oct 13 WEO</t>
        </is>
      </c>
      <c r="L181" t="inlineStr">
        <is>
          <t>2026-10-08</t>
        </is>
      </c>
    </row>
    <row r="182">
      <c r="A182" t="n">
        <v>181</v>
      </c>
      <c r="B182" t="inlineStr">
        <is>
          <t>Country</t>
        </is>
      </c>
      <c r="C182" t="inlineStr">
        <is>
          <t>Guyana</t>
        </is>
      </c>
      <c r="D182">
        <f>'Country'!M22</f>
        <v/>
      </c>
      <c r="E182">
        <f>'Country'!N22</f>
        <v/>
      </c>
      <c r="F182">
        <f>'Country'!O22</f>
        <v/>
      </c>
      <c r="G182" t="n">
        <v>4</v>
      </c>
      <c r="I182" t="inlineStr">
        <is>
          <t>Oil ramp maturing; growth fading from 20%+ years</t>
        </is>
      </c>
      <c r="J182" t="inlineStr">
        <is>
          <t>C</t>
        </is>
      </c>
      <c r="K182" t="inlineStr">
        <is>
          <t>prior from IMF Jul-2026 update + regional outlooks; NO country-level 2027 table retrieved (IMF API blocked) — replace with the Oct 13 WEO</t>
        </is>
      </c>
      <c r="L182" t="inlineStr">
        <is>
          <t>2026-10-08</t>
        </is>
      </c>
    </row>
    <row r="183">
      <c r="A183" t="n">
        <v>182</v>
      </c>
      <c r="B183" t="inlineStr">
        <is>
          <t>Actor</t>
        </is>
      </c>
      <c r="C183" t="inlineStr">
        <is>
          <t>John Leguizamo</t>
        </is>
      </c>
      <c r="D183">
        <f>'Actor'!M27</f>
        <v/>
      </c>
      <c r="E183">
        <f>'Actor'!N27</f>
        <v/>
      </c>
      <c r="F183">
        <f>'Actor'!O27</f>
        <v/>
      </c>
      <c r="G183" t="n">
        <v>4</v>
      </c>
      <c r="I183" t="inlineStr">
        <is>
          <t>Untitled Daniels film (Nov 19); The Exorcist: Martyrs (Mar 12); Ice Age: Boiling Point (Feb 5)</t>
        </is>
      </c>
      <c r="J183" t="inlineStr">
        <is>
          <t>C</t>
        </is>
      </c>
      <c r="K183" t="inlineStr">
        <is>
          <t>Wikipedia 'List of American films of 2027' casts (Actions-runner pull 2026-10-08) x comp-based box office/RT estimates; cast lists are billed leads only (cameos not captured)</t>
        </is>
      </c>
      <c r="L183" t="inlineStr">
        <is>
          <t>2026-10-08</t>
        </is>
      </c>
    </row>
    <row r="184">
      <c r="A184" t="n">
        <v>183</v>
      </c>
      <c r="B184" t="inlineStr">
        <is>
          <t>MLS</t>
        </is>
      </c>
      <c r="C184" t="inlineStr">
        <is>
          <t>Philadelphia Union</t>
        </is>
      </c>
      <c r="D184">
        <f>'MLS'!M16</f>
        <v/>
      </c>
      <c r="E184">
        <f>'MLS'!N16</f>
        <v/>
      </c>
      <c r="F184">
        <f>'MLS'!O16</f>
        <v/>
      </c>
      <c r="G184" t="n">
        <v>3</v>
      </c>
      <c r="H184" t="inlineStr">
        <is>
          <t>2026 Cup: Kalshi 3.5%</t>
        </is>
      </c>
      <c r="I184" t="inlineStr">
        <is>
          <t>2026: 39 pts (as of 10-08; season ends Nov 7)</t>
        </is>
      </c>
      <c r="J184" t="inlineStr">
        <is>
          <t>C</t>
        </is>
      </c>
      <c r="K184" t="inlineStr">
        <is>
          <t>2026 points (league standings, A) + Kalshi KXMLSCUP-26 price as strength proxy, shrunk 50% toward the field</t>
        </is>
      </c>
      <c r="L184" t="inlineStr">
        <is>
          <t>2026-10-08</t>
        </is>
      </c>
    </row>
    <row r="185">
      <c r="A185" t="n">
        <v>184</v>
      </c>
      <c r="B185" t="inlineStr">
        <is>
          <t>Stock</t>
        </is>
      </c>
      <c r="C185" t="inlineStr">
        <is>
          <t>TSLA (Short)</t>
        </is>
      </c>
      <c r="D185">
        <f>'Stock'!M24</f>
        <v/>
      </c>
      <c r="E185">
        <f>'Stock'!N24</f>
        <v/>
      </c>
      <c r="F185">
        <f>'Stock'!O24</f>
        <v/>
      </c>
      <c r="G185" t="n">
        <v>4</v>
      </c>
      <c r="I185" t="inlineStr">
        <is>
          <t>squeeze risk</t>
        </is>
      </c>
      <c r="J185" t="inlineStr">
        <is>
          <t>C</t>
        </is>
      </c>
      <c r="K185" t="inlineStr">
        <is>
          <t>my estimate: sector view + typical vol; no price data pulled (verify quotes before drafting)</t>
        </is>
      </c>
      <c r="L185" t="inlineStr">
        <is>
          <t>2026-10-08</t>
        </is>
      </c>
    </row>
    <row r="186">
      <c r="A186" t="n">
        <v>185</v>
      </c>
      <c r="B186" t="inlineStr">
        <is>
          <t>Actor</t>
        </is>
      </c>
      <c r="C186" t="inlineStr">
        <is>
          <t>Nathan Fillion</t>
        </is>
      </c>
      <c r="D186">
        <f>'Actor'!M28</f>
        <v/>
      </c>
      <c r="E186">
        <f>'Actor'!N28</f>
        <v/>
      </c>
      <c r="F186">
        <f>'Actor'!O28</f>
        <v/>
      </c>
      <c r="G186" t="n">
        <v>4</v>
      </c>
      <c r="I186" t="inlineStr">
        <is>
          <t>Man of Tomorrow (Jul 9)</t>
        </is>
      </c>
      <c r="J186" t="inlineStr">
        <is>
          <t>C</t>
        </is>
      </c>
      <c r="K186" t="inlineStr">
        <is>
          <t>Wikipedia 'List of American films of 2027' casts (Actions-runner pull 2026-10-08) x comp-based box office/RT estimates; cast lists are billed leads only (cameos not captured)</t>
        </is>
      </c>
      <c r="L186" t="inlineStr">
        <is>
          <t>2026-10-08</t>
        </is>
      </c>
    </row>
    <row r="187">
      <c r="A187" t="n">
        <v>186</v>
      </c>
      <c r="B187" t="inlineStr">
        <is>
          <t>Actor</t>
        </is>
      </c>
      <c r="C187" t="inlineStr">
        <is>
          <t>Lars Eidinger</t>
        </is>
      </c>
      <c r="D187">
        <f>'Actor'!M29</f>
        <v/>
      </c>
      <c r="E187">
        <f>'Actor'!N29</f>
        <v/>
      </c>
      <c r="F187">
        <f>'Actor'!O29</f>
        <v/>
      </c>
      <c r="G187" t="n">
        <v>4</v>
      </c>
      <c r="I187" t="inlineStr">
        <is>
          <t>Man of Tomorrow (Jul 9)</t>
        </is>
      </c>
      <c r="J187" t="inlineStr">
        <is>
          <t>C</t>
        </is>
      </c>
      <c r="K187" t="inlineStr">
        <is>
          <t>Wikipedia 'List of American films of 2027' casts (Actions-runner pull 2026-10-08) x comp-based box office/RT estimates; cast lists are billed leads only (cameos not captured)</t>
        </is>
      </c>
      <c r="L187" t="inlineStr">
        <is>
          <t>2026-10-08</t>
        </is>
      </c>
    </row>
    <row r="188">
      <c r="A188" t="n">
        <v>187</v>
      </c>
      <c r="B188" t="inlineStr">
        <is>
          <t>Actor</t>
        </is>
      </c>
      <c r="C188" t="inlineStr">
        <is>
          <t>Jonathan Groff</t>
        </is>
      </c>
      <c r="D188">
        <f>'Actor'!M30</f>
        <v/>
      </c>
      <c r="E188">
        <f>'Actor'!N30</f>
        <v/>
      </c>
      <c r="F188">
        <f>'Actor'!O30</f>
        <v/>
      </c>
      <c r="G188" t="n">
        <v>4</v>
      </c>
      <c r="I188" t="inlineStr">
        <is>
          <t>Frozen 3 (Nov 24)</t>
        </is>
      </c>
      <c r="J188" t="inlineStr">
        <is>
          <t>C</t>
        </is>
      </c>
      <c r="K188" t="inlineStr">
        <is>
          <t>Wikipedia 'List of American films of 2027' casts (Actions-runner pull 2026-10-08) x comp-based box office/RT estimates; cast lists are billed leads only (cameos not captured)</t>
        </is>
      </c>
      <c r="L188" t="inlineStr">
        <is>
          <t>2026-10-08</t>
        </is>
      </c>
    </row>
    <row r="189">
      <c r="A189" t="n">
        <v>188</v>
      </c>
      <c r="B189" t="inlineStr">
        <is>
          <t>Actor</t>
        </is>
      </c>
      <c r="C189" t="inlineStr">
        <is>
          <t>David Corenswet</t>
        </is>
      </c>
      <c r="D189">
        <f>'Actor'!M31</f>
        <v/>
      </c>
      <c r="E189">
        <f>'Actor'!N31</f>
        <v/>
      </c>
      <c r="F189">
        <f>'Actor'!O31</f>
        <v/>
      </c>
      <c r="G189" t="n">
        <v>4</v>
      </c>
      <c r="I189" t="inlineStr">
        <is>
          <t>Man of Tomorrow (Jul 9)</t>
        </is>
      </c>
      <c r="J189" t="inlineStr">
        <is>
          <t>C</t>
        </is>
      </c>
      <c r="K189" t="inlineStr">
        <is>
          <t>Wikipedia 'List of American films of 2027' casts (Actions-runner pull 2026-10-08) x comp-based box office/RT estimates; cast lists are billed leads only (cameos not captured)</t>
        </is>
      </c>
      <c r="L189" t="inlineStr">
        <is>
          <t>2026-10-08</t>
        </is>
      </c>
    </row>
    <row r="190">
      <c r="A190" t="n">
        <v>189</v>
      </c>
      <c r="B190" t="inlineStr">
        <is>
          <t>Actor</t>
        </is>
      </c>
      <c r="C190" t="inlineStr">
        <is>
          <t>Edi Gathegi</t>
        </is>
      </c>
      <c r="D190">
        <f>'Actor'!M32</f>
        <v/>
      </c>
      <c r="E190">
        <f>'Actor'!N32</f>
        <v/>
      </c>
      <c r="F190">
        <f>'Actor'!O32</f>
        <v/>
      </c>
      <c r="G190" t="n">
        <v>4</v>
      </c>
      <c r="I190" t="inlineStr">
        <is>
          <t>Man of Tomorrow (Jul 9)</t>
        </is>
      </c>
      <c r="J190" t="inlineStr">
        <is>
          <t>C</t>
        </is>
      </c>
      <c r="K190" t="inlineStr">
        <is>
          <t>Wikipedia 'List of American films of 2027' casts (Actions-runner pull 2026-10-08) x comp-based box office/RT estimates; cast lists are billed leads only (cameos not captured)</t>
        </is>
      </c>
      <c r="L190" t="inlineStr">
        <is>
          <t>2026-10-08</t>
        </is>
      </c>
    </row>
    <row r="191">
      <c r="A191" t="n">
        <v>190</v>
      </c>
      <c r="B191" t="inlineStr">
        <is>
          <t>Tennis</t>
        </is>
      </c>
      <c r="C191" t="inlineStr">
        <is>
          <t>Felix Auger-Aliassime</t>
        </is>
      </c>
      <c r="D191">
        <f>'Tennis'!M14</f>
        <v/>
      </c>
      <c r="E191">
        <f>'Tennis'!N14</f>
        <v/>
      </c>
      <c r="F191">
        <f>'Tennis'!O14</f>
        <v/>
      </c>
      <c r="G191" t="n">
        <v>3</v>
      </c>
      <c r="I191" t="inlineStr">
        <is>
          <t>ATP 5 (2026-10-08)</t>
        </is>
      </c>
      <c r="J191" t="inlineStr">
        <is>
          <t>C</t>
        </is>
      </c>
      <c r="K191" t="inlineStr">
        <is>
          <t>ATP rank from league standings pull (A) / WTA via Olympics.com Oct 5; AO odds VegasInsider/Johnnybet Oct 2026; probabilities = agent estimates</t>
        </is>
      </c>
      <c r="L191" t="inlineStr">
        <is>
          <t>2026-10-08</t>
        </is>
      </c>
    </row>
    <row r="192">
      <c r="A192" t="n">
        <v>191</v>
      </c>
      <c r="B192" t="inlineStr">
        <is>
          <t>Actor</t>
        </is>
      </c>
      <c r="C192" t="inlineStr">
        <is>
          <t>Xolo Maridueña</t>
        </is>
      </c>
      <c r="D192">
        <f>'Actor'!M33</f>
        <v/>
      </c>
      <c r="E192">
        <f>'Actor'!N33</f>
        <v/>
      </c>
      <c r="F192">
        <f>'Actor'!O33</f>
        <v/>
      </c>
      <c r="G192" t="n">
        <v>4</v>
      </c>
      <c r="I192" t="inlineStr">
        <is>
          <t>Man of Tomorrow (Jul 9)</t>
        </is>
      </c>
      <c r="J192" t="inlineStr">
        <is>
          <t>C</t>
        </is>
      </c>
      <c r="K192" t="inlineStr">
        <is>
          <t>Wikipedia 'List of American films of 2027' casts (Actions-runner pull 2026-10-08) x comp-based box office/RT estimates; cast lists are billed leads only (cameos not captured)</t>
        </is>
      </c>
      <c r="L192" t="inlineStr">
        <is>
          <t>2026-10-08</t>
        </is>
      </c>
    </row>
    <row r="193">
      <c r="A193" t="n">
        <v>192</v>
      </c>
      <c r="B193" t="inlineStr">
        <is>
          <t>Actor</t>
        </is>
      </c>
      <c r="C193" t="inlineStr">
        <is>
          <t>Frank Grillo</t>
        </is>
      </c>
      <c r="D193">
        <f>'Actor'!M34</f>
        <v/>
      </c>
      <c r="E193">
        <f>'Actor'!N34</f>
        <v/>
      </c>
      <c r="F193">
        <f>'Actor'!O34</f>
        <v/>
      </c>
      <c r="G193" t="n">
        <v>4</v>
      </c>
      <c r="I193" t="inlineStr">
        <is>
          <t>Man of Tomorrow (Jul 9)</t>
        </is>
      </c>
      <c r="J193" t="inlineStr">
        <is>
          <t>C</t>
        </is>
      </c>
      <c r="K193" t="inlineStr">
        <is>
          <t>Wikipedia 'List of American films of 2027' casts (Actions-runner pull 2026-10-08) x comp-based box office/RT estimates; cast lists are billed leads only (cameos not captured)</t>
        </is>
      </c>
      <c r="L193" t="inlineStr">
        <is>
          <t>2026-10-08</t>
        </is>
      </c>
    </row>
    <row r="194">
      <c r="A194" t="n">
        <v>193</v>
      </c>
      <c r="B194" t="inlineStr">
        <is>
          <t>Country</t>
        </is>
      </c>
      <c r="C194" t="inlineStr">
        <is>
          <t>Uzbekistan</t>
        </is>
      </c>
      <c r="D194">
        <f>'Country'!M23</f>
        <v/>
      </c>
      <c r="E194">
        <f>'Country'!N23</f>
        <v/>
      </c>
      <c r="F194">
        <f>'Country'!O23</f>
        <v/>
      </c>
      <c r="G194" t="n">
        <v>4</v>
      </c>
      <c r="I194" t="inlineStr"/>
      <c r="J194" t="inlineStr">
        <is>
          <t>C</t>
        </is>
      </c>
      <c r="K194" t="inlineStr">
        <is>
          <t>prior from IMF Jul-2026 update + regional outlooks; NO country-level 2027 table retrieved (IMF API blocked) — replace with the Oct 13 WEO</t>
        </is>
      </c>
      <c r="L194" t="inlineStr">
        <is>
          <t>2026-10-08</t>
        </is>
      </c>
    </row>
    <row r="195">
      <c r="A195" t="n">
        <v>194</v>
      </c>
      <c r="B195" t="inlineStr">
        <is>
          <t>Golf</t>
        </is>
      </c>
      <c r="C195" t="inlineStr">
        <is>
          <t>Sam Burns</t>
        </is>
      </c>
      <c r="D195">
        <f>'Golf'!M13</f>
        <v/>
      </c>
      <c r="E195">
        <f>'Golf'!N13</f>
        <v/>
      </c>
      <c r="F195">
        <f>'Golf'!O13</f>
        <v/>
      </c>
      <c r="G195" t="n">
        <v>3</v>
      </c>
      <c r="I195" t="inlineStr">
        <is>
          <t>OWGR 9 (2026-10-08)</t>
        </is>
      </c>
      <c r="J195" t="inlineStr">
        <is>
          <t>C</t>
        </is>
      </c>
      <c r="K195" t="inlineStr">
        <is>
          <t>OWGR rank from league standings pull (A); major-win probabilities = model (rank-weighted share of 4 majors)</t>
        </is>
      </c>
      <c r="L195" t="inlineStr">
        <is>
          <t>2026-10-08</t>
        </is>
      </c>
    </row>
    <row r="196">
      <c r="A196" t="n">
        <v>195</v>
      </c>
      <c r="B196" t="inlineStr">
        <is>
          <t>Country</t>
        </is>
      </c>
      <c r="C196" t="inlineStr">
        <is>
          <t>Philippines</t>
        </is>
      </c>
      <c r="D196">
        <f>'Country'!M24</f>
        <v/>
      </c>
      <c r="E196">
        <f>'Country'!N24</f>
        <v/>
      </c>
      <c r="F196">
        <f>'Country'!O24</f>
        <v/>
      </c>
      <c r="G196" t="n">
        <v>4</v>
      </c>
      <c r="I196" t="inlineStr"/>
      <c r="J196" t="inlineStr">
        <is>
          <t>C</t>
        </is>
      </c>
      <c r="K196" t="inlineStr">
        <is>
          <t>prior from IMF Jul-2026 update + regional outlooks; NO country-level 2027 table retrieved (IMF API blocked) — replace with the Oct 13 WEO</t>
        </is>
      </c>
      <c r="L196" t="inlineStr">
        <is>
          <t>2026-10-08</t>
        </is>
      </c>
    </row>
    <row r="197">
      <c r="A197" t="n">
        <v>196</v>
      </c>
      <c r="B197" t="inlineStr">
        <is>
          <t>Actress</t>
        </is>
      </c>
      <c r="C197" t="inlineStr">
        <is>
          <t>Zendaya</t>
        </is>
      </c>
      <c r="D197">
        <f>'Actress'!M18</f>
        <v/>
      </c>
      <c r="E197">
        <f>'Actress'!N18</f>
        <v/>
      </c>
      <c r="F197">
        <f>'Actress'!O18</f>
        <v/>
      </c>
      <c r="G197" t="n">
        <v>4</v>
      </c>
      <c r="I197" t="inlineStr">
        <is>
          <t>Shrek 5 (Jun 30)</t>
        </is>
      </c>
      <c r="J197" t="inlineStr">
        <is>
          <t>C</t>
        </is>
      </c>
      <c r="K197" t="inlineStr">
        <is>
          <t>Wikipedia 'List of American films of 2027' casts (Actions-runner pull 2026-10-08) x comp-based box office/RT estimates; cast lists are billed leads only (cameos not captured)</t>
        </is>
      </c>
      <c r="L197" t="inlineStr">
        <is>
          <t>2026-10-08</t>
        </is>
      </c>
    </row>
    <row r="198">
      <c r="A198" t="n">
        <v>197</v>
      </c>
      <c r="B198" t="inlineStr">
        <is>
          <t>NBA</t>
        </is>
      </c>
      <c r="C198" t="inlineStr">
        <is>
          <t>Detroit Pistons</t>
        </is>
      </c>
      <c r="D198">
        <f>'NBA'!M13</f>
        <v/>
      </c>
      <c r="E198">
        <f>'NBA'!N13</f>
        <v/>
      </c>
      <c r="F198">
        <f>'NBA'!O13</f>
        <v/>
      </c>
      <c r="G198" t="n">
        <v>3</v>
      </c>
      <c r="H198" t="inlineStr">
        <is>
          <t>+2200</t>
        </is>
      </c>
      <c r="I198" t="inlineStr">
        <is>
          <t>East; win total 49.5</t>
        </is>
      </c>
      <c r="J198" t="inlineStr">
        <is>
          <t>C</t>
        </is>
      </c>
      <c r="K198" t="inlineStr">
        <is>
          <t>FanDuel ~2026-10-07; Polymarket via Covers; BetMGM win totals; p(final)=KXNBAEAST/KXNBAWEST-27 Kalshi mid</t>
        </is>
      </c>
      <c r="L198" t="inlineStr">
        <is>
          <t>2026-10-08</t>
        </is>
      </c>
    </row>
    <row r="199">
      <c r="A199" t="n">
        <v>198</v>
      </c>
      <c r="B199" t="inlineStr">
        <is>
          <t>Country</t>
        </is>
      </c>
      <c r="C199" t="inlineStr">
        <is>
          <t>Lebanon</t>
        </is>
      </c>
      <c r="D199">
        <f>'Country'!M25</f>
        <v/>
      </c>
      <c r="E199">
        <f>'Country'!N25</f>
        <v/>
      </c>
      <c r="F199">
        <f>'Country'!O25</f>
        <v/>
      </c>
      <c r="G199" t="n">
        <v>4</v>
      </c>
      <c r="I199" t="inlineStr">
        <is>
          <t>Rebound lottery</t>
        </is>
      </c>
      <c r="J199" t="inlineStr">
        <is>
          <t>C</t>
        </is>
      </c>
      <c r="K199" t="inlineStr">
        <is>
          <t>prior from IMF Jul-2026 update + regional outlooks; NO country-level 2027 table retrieved (IMF API blocked) — replace with the Oct 13 WEO</t>
        </is>
      </c>
      <c r="L199" t="inlineStr">
        <is>
          <t>2026-10-08</t>
        </is>
      </c>
    </row>
    <row r="200">
      <c r="A200" t="n">
        <v>199</v>
      </c>
      <c r="B200" t="inlineStr">
        <is>
          <t>MLS</t>
        </is>
      </c>
      <c r="C200" t="inlineStr">
        <is>
          <t>Seattle Sounders FC</t>
        </is>
      </c>
      <c r="D200">
        <f>'MLS'!M17</f>
        <v/>
      </c>
      <c r="E200">
        <f>'MLS'!N17</f>
        <v/>
      </c>
      <c r="F200">
        <f>'MLS'!O17</f>
        <v/>
      </c>
      <c r="G200" t="n">
        <v>3</v>
      </c>
      <c r="H200" t="inlineStr">
        <is>
          <t>2026 Cup: Kalshi 1.5%</t>
        </is>
      </c>
      <c r="I200" t="inlineStr">
        <is>
          <t>2026: 38 pts (as of 10-08; season ends Nov 7)</t>
        </is>
      </c>
      <c r="J200" t="inlineStr">
        <is>
          <t>C</t>
        </is>
      </c>
      <c r="K200" t="inlineStr">
        <is>
          <t>2026 points (league standings, A) + Kalshi KXMLSCUP-26 price as strength proxy, shrunk 50% toward the field</t>
        </is>
      </c>
      <c r="L200" t="inlineStr">
        <is>
          <t>2026-10-08</t>
        </is>
      </c>
    </row>
    <row r="201">
      <c r="A201" t="n">
        <v>200</v>
      </c>
      <c r="B201" t="inlineStr">
        <is>
          <t>NHL</t>
        </is>
      </c>
      <c r="C201" t="inlineStr">
        <is>
          <t>Montreal Canadiens</t>
        </is>
      </c>
      <c r="D201">
        <f>'NHL'!M13</f>
        <v/>
      </c>
      <c r="E201">
        <f>'NHL'!N13</f>
        <v/>
      </c>
      <c r="F201">
        <f>'NHL'!O13</f>
        <v/>
      </c>
      <c r="G201" t="n">
        <v>3</v>
      </c>
      <c r="H201" t="inlineStr">
        <is>
          <t>Kalshi 4.5%</t>
        </is>
      </c>
      <c r="I201" t="inlineStr">
        <is>
          <t>East</t>
        </is>
      </c>
      <c r="J201" t="inlineStr">
        <is>
          <t>A</t>
        </is>
      </c>
      <c r="K201" t="inlineStr">
        <is>
          <t>KXNHL-27 exchange mid-price, pulled 2026-10-08; p(final)=KXNHLEAST/KXNHLWEST-27 Kalshi mid</t>
        </is>
      </c>
      <c r="L201" t="inlineStr">
        <is>
          <t>2026-10-08</t>
        </is>
      </c>
    </row>
    <row r="202">
      <c r="A202" t="n">
        <v>201</v>
      </c>
      <c r="B202" t="inlineStr">
        <is>
          <t>Actress</t>
        </is>
      </c>
      <c r="C202" t="inlineStr">
        <is>
          <t>Cameron Diaz</t>
        </is>
      </c>
      <c r="D202">
        <f>'Actress'!M19</f>
        <v/>
      </c>
      <c r="E202">
        <f>'Actress'!N19</f>
        <v/>
      </c>
      <c r="F202">
        <f>'Actress'!O19</f>
        <v/>
      </c>
      <c r="G202" t="n">
        <v>4</v>
      </c>
      <c r="I202" t="inlineStr">
        <is>
          <t>Shrek 5 (Jun 30)</t>
        </is>
      </c>
      <c r="J202" t="inlineStr">
        <is>
          <t>C</t>
        </is>
      </c>
      <c r="K202" t="inlineStr">
        <is>
          <t>Wikipedia 'List of American films of 2027' casts (Actions-runner pull 2026-10-08) x comp-based box office/RT estimates; cast lists are billed leads only (cameos not captured)</t>
        </is>
      </c>
      <c r="L202" t="inlineStr">
        <is>
          <t>2026-10-08</t>
        </is>
      </c>
    </row>
    <row r="203">
      <c r="A203" t="n">
        <v>202</v>
      </c>
      <c r="B203" t="inlineStr">
        <is>
          <t>Country</t>
        </is>
      </c>
      <c r="C203" t="inlineStr">
        <is>
          <t>Ukraine</t>
        </is>
      </c>
      <c r="D203">
        <f>'Country'!M26</f>
        <v/>
      </c>
      <c r="E203">
        <f>'Country'!N26</f>
        <v/>
      </c>
      <c r="F203">
        <f>'Country'!O26</f>
        <v/>
      </c>
      <c r="G203" t="n">
        <v>4</v>
      </c>
      <c r="I203" t="inlineStr">
        <is>
          <t>Rebound lottery if ceasefire holds</t>
        </is>
      </c>
      <c r="J203" t="inlineStr">
        <is>
          <t>C</t>
        </is>
      </c>
      <c r="K203" t="inlineStr">
        <is>
          <t>prior from IMF Jul-2026 update + regional outlooks; NO country-level 2027 table retrieved (IMF API blocked) — replace with the Oct 13 WEO</t>
        </is>
      </c>
      <c r="L203" t="inlineStr">
        <is>
          <t>2026-10-08</t>
        </is>
      </c>
    </row>
    <row r="204">
      <c r="A204" t="n">
        <v>203</v>
      </c>
      <c r="B204" t="inlineStr">
        <is>
          <t>Tennis</t>
        </is>
      </c>
      <c r="C204" t="inlineStr">
        <is>
          <t>Daniil Medvedev</t>
        </is>
      </c>
      <c r="D204">
        <f>'Tennis'!M15</f>
        <v/>
      </c>
      <c r="E204">
        <f>'Tennis'!N15</f>
        <v/>
      </c>
      <c r="F204">
        <f>'Tennis'!O15</f>
        <v/>
      </c>
      <c r="G204" t="n">
        <v>3</v>
      </c>
      <c r="I204" t="inlineStr">
        <is>
          <t>ATP 6 (2026-10-08)</t>
        </is>
      </c>
      <c r="J204" t="inlineStr">
        <is>
          <t>C</t>
        </is>
      </c>
      <c r="K204" t="inlineStr">
        <is>
          <t>ATP rank from league standings pull (A) / WTA via Olympics.com Oct 5; AO odds VegasInsider/Johnnybet Oct 2026; probabilities = agent estimates</t>
        </is>
      </c>
      <c r="L204" t="inlineStr">
        <is>
          <t>2026-10-08</t>
        </is>
      </c>
    </row>
    <row r="205">
      <c r="A205" t="n">
        <v>204</v>
      </c>
      <c r="B205" t="inlineStr">
        <is>
          <t>Country</t>
        </is>
      </c>
      <c r="C205" t="inlineStr">
        <is>
          <t>Mongolia</t>
        </is>
      </c>
      <c r="D205">
        <f>'Country'!M27</f>
        <v/>
      </c>
      <c r="E205">
        <f>'Country'!N27</f>
        <v/>
      </c>
      <c r="F205">
        <f>'Country'!O27</f>
        <v/>
      </c>
      <c r="G205" t="n">
        <v>4</v>
      </c>
      <c r="I205" t="inlineStr">
        <is>
          <t>Mining</t>
        </is>
      </c>
      <c r="J205" t="inlineStr">
        <is>
          <t>C</t>
        </is>
      </c>
      <c r="K205" t="inlineStr">
        <is>
          <t>prior from IMF Jul-2026 update + regional outlooks; NO country-level 2027 table retrieved (IMF API blocked) — replace with the Oct 13 WEO</t>
        </is>
      </c>
      <c r="L205" t="inlineStr">
        <is>
          <t>2026-10-08</t>
        </is>
      </c>
    </row>
    <row r="206">
      <c r="A206" t="n">
        <v>205</v>
      </c>
      <c r="B206" t="inlineStr">
        <is>
          <t>Golf</t>
        </is>
      </c>
      <c r="C206" t="inlineStr">
        <is>
          <t>Xander Schauffele</t>
        </is>
      </c>
      <c r="D206">
        <f>'Golf'!M14</f>
        <v/>
      </c>
      <c r="E206">
        <f>'Golf'!N14</f>
        <v/>
      </c>
      <c r="F206">
        <f>'Golf'!O14</f>
        <v/>
      </c>
      <c r="G206" t="n">
        <v>3</v>
      </c>
      <c r="I206" t="inlineStr">
        <is>
          <t>OWGR 10 (2026-10-08)</t>
        </is>
      </c>
      <c r="J206" t="inlineStr">
        <is>
          <t>C</t>
        </is>
      </c>
      <c r="K206" t="inlineStr">
        <is>
          <t>OWGR rank from league standings pull (A); major-win probabilities = model (rank-weighted share of 4 majors)</t>
        </is>
      </c>
      <c r="L206" t="inlineStr">
        <is>
          <t>2026-10-08</t>
        </is>
      </c>
    </row>
    <row r="207">
      <c r="A207" t="n">
        <v>206</v>
      </c>
      <c r="B207" t="inlineStr">
        <is>
          <t>NBA</t>
        </is>
      </c>
      <c r="C207" t="inlineStr">
        <is>
          <t>Los Angeles Lakers</t>
        </is>
      </c>
      <c r="D207">
        <f>'NBA'!M14</f>
        <v/>
      </c>
      <c r="E207">
        <f>'NBA'!N14</f>
        <v/>
      </c>
      <c r="F207">
        <f>'NBA'!O14</f>
        <v/>
      </c>
      <c r="G207" t="n">
        <v>3</v>
      </c>
      <c r="H207" t="inlineStr">
        <is>
          <t>Kalshi 3.5%</t>
        </is>
      </c>
      <c r="I207" t="inlineStr">
        <is>
          <t>West; win total 46.5</t>
        </is>
      </c>
      <c r="J207" t="inlineStr">
        <is>
          <t>A</t>
        </is>
      </c>
      <c r="K207" t="inlineStr">
        <is>
          <t>KXNBA-27 exchange mid-price, pulled 2026-10-08; p(final)=KXNBAEAST/KXNBAWEST-27 Kalshi mid</t>
        </is>
      </c>
      <c r="L207" t="inlineStr">
        <is>
          <t>2026-10-08</t>
        </is>
      </c>
    </row>
    <row r="208">
      <c r="A208" t="n">
        <v>207</v>
      </c>
      <c r="B208" t="inlineStr">
        <is>
          <t>MLS</t>
        </is>
      </c>
      <c r="C208" t="inlineStr">
        <is>
          <t>LA Galaxy</t>
        </is>
      </c>
      <c r="D208">
        <f>'MLS'!M18</f>
        <v/>
      </c>
      <c r="E208">
        <f>'MLS'!N18</f>
        <v/>
      </c>
      <c r="F208">
        <f>'MLS'!O18</f>
        <v/>
      </c>
      <c r="G208" t="n">
        <v>4</v>
      </c>
      <c r="H208" t="inlineStr">
        <is>
          <t>2026 Cup: Kalshi 1.5%</t>
        </is>
      </c>
      <c r="I208" t="inlineStr">
        <is>
          <t>2026: 36 pts (as of 10-08; season ends Nov 7)</t>
        </is>
      </c>
      <c r="J208" t="inlineStr">
        <is>
          <t>C</t>
        </is>
      </c>
      <c r="K208" t="inlineStr">
        <is>
          <t>2026 points (league standings, A) + Kalshi KXMLSCUP-26 price as strength proxy, shrunk 50% toward the field</t>
        </is>
      </c>
      <c r="L208" t="inlineStr">
        <is>
          <t>2026-10-08</t>
        </is>
      </c>
    </row>
    <row r="209">
      <c r="A209" t="n">
        <v>208</v>
      </c>
      <c r="B209" t="inlineStr">
        <is>
          <t>Tennis</t>
        </is>
      </c>
      <c r="C209" t="inlineStr">
        <is>
          <t>Linda Noskova</t>
        </is>
      </c>
      <c r="D209">
        <f>'Tennis'!M16</f>
        <v/>
      </c>
      <c r="E209">
        <f>'Tennis'!N16</f>
        <v/>
      </c>
      <c r="F209">
        <f>'Tennis'!O16</f>
        <v/>
      </c>
      <c r="G209" t="n">
        <v>3</v>
      </c>
      <c r="I209" t="inlineStr">
        <is>
          <t>WTA 6 (2026-10-08)</t>
        </is>
      </c>
      <c r="J209" t="inlineStr">
        <is>
          <t>C</t>
        </is>
      </c>
      <c r="K209" t="inlineStr">
        <is>
          <t>ATP rank from league standings pull (A) / WTA via Olympics.com Oct 5; AO odds VegasInsider/Johnnybet Oct 2026; probabilities = agent estimates</t>
        </is>
      </c>
      <c r="L209" t="inlineStr">
        <is>
          <t>2026-10-08</t>
        </is>
      </c>
    </row>
    <row r="210">
      <c r="A210" t="n">
        <v>209</v>
      </c>
      <c r="B210" t="inlineStr">
        <is>
          <t>Country</t>
        </is>
      </c>
      <c r="C210" t="inlineStr">
        <is>
          <t>Bangladesh</t>
        </is>
      </c>
      <c r="D210">
        <f>'Country'!M28</f>
        <v/>
      </c>
      <c r="E210">
        <f>'Country'!N28</f>
        <v/>
      </c>
      <c r="F210">
        <f>'Country'!O28</f>
        <v/>
      </c>
      <c r="G210" t="n">
        <v>4</v>
      </c>
      <c r="I210" t="inlineStr"/>
      <c r="J210" t="inlineStr">
        <is>
          <t>C</t>
        </is>
      </c>
      <c r="K210" t="inlineStr">
        <is>
          <t>prior from IMF Jul-2026 update + regional outlooks; NO country-level 2027 table retrieved (IMF API blocked) — replace with the Oct 13 WEO</t>
        </is>
      </c>
      <c r="L210" t="inlineStr">
        <is>
          <t>2026-10-08</t>
        </is>
      </c>
    </row>
    <row r="211">
      <c r="A211" t="n">
        <v>210</v>
      </c>
      <c r="B211" t="inlineStr">
        <is>
          <t>Actress</t>
        </is>
      </c>
      <c r="C211" t="inlineStr">
        <is>
          <t>Yvonne Strahovski</t>
        </is>
      </c>
      <c r="D211">
        <f>'Actress'!M20</f>
        <v/>
      </c>
      <c r="E211">
        <f>'Actress'!N20</f>
        <v/>
      </c>
      <c r="F211">
        <f>'Actress'!O20</f>
        <v/>
      </c>
      <c r="G211" t="n">
        <v>4</v>
      </c>
      <c r="I211" t="inlineStr">
        <is>
          <t>The Legend of Zelda (Apr 30)</t>
        </is>
      </c>
      <c r="J211" t="inlineStr">
        <is>
          <t>C</t>
        </is>
      </c>
      <c r="K211" t="inlineStr">
        <is>
          <t>Wikipedia 'List of American films of 2027' casts (Actions-runner pull 2026-10-08) x comp-based box office/RT estimates; cast lists are billed leads only (cameos not captured)</t>
        </is>
      </c>
      <c r="L211" t="inlineStr">
        <is>
          <t>2026-10-08</t>
        </is>
      </c>
    </row>
    <row r="212">
      <c r="A212" t="n">
        <v>211</v>
      </c>
      <c r="B212" t="inlineStr">
        <is>
          <t>NBA</t>
        </is>
      </c>
      <c r="C212" t="inlineStr">
        <is>
          <t>Cleveland Cavaliers</t>
        </is>
      </c>
      <c r="D212">
        <f>'NBA'!M15</f>
        <v/>
      </c>
      <c r="E212">
        <f>'NBA'!N15</f>
        <v/>
      </c>
      <c r="F212">
        <f>'NBA'!O15</f>
        <v/>
      </c>
      <c r="G212" t="n">
        <v>3</v>
      </c>
      <c r="H212" t="inlineStr">
        <is>
          <t>Kalshi 2.5%</t>
        </is>
      </c>
      <c r="I212" t="inlineStr">
        <is>
          <t>East; win total 47.5</t>
        </is>
      </c>
      <c r="J212" t="inlineStr">
        <is>
          <t>A</t>
        </is>
      </c>
      <c r="K212" t="inlineStr">
        <is>
          <t>KXNBA-27 exchange mid-price, pulled 2026-10-08; p(final)=KXNBAEAST/KXNBAWEST-27 Kalshi mid</t>
        </is>
      </c>
      <c r="L212" t="inlineStr">
        <is>
          <t>2026-10-08</t>
        </is>
      </c>
    </row>
    <row r="213">
      <c r="A213" t="n">
        <v>212</v>
      </c>
      <c r="B213" t="inlineStr">
        <is>
          <t>Actress</t>
        </is>
      </c>
      <c r="C213" t="inlineStr">
        <is>
          <t>Lydia Peckham</t>
        </is>
      </c>
      <c r="D213">
        <f>'Actress'!M21</f>
        <v/>
      </c>
      <c r="E213">
        <f>'Actress'!N21</f>
        <v/>
      </c>
      <c r="F213">
        <f>'Actress'!O21</f>
        <v/>
      </c>
      <c r="G213" t="n">
        <v>4</v>
      </c>
      <c r="I213" t="inlineStr">
        <is>
          <t>The Legend of Zelda (Apr 30)</t>
        </is>
      </c>
      <c r="J213" t="inlineStr">
        <is>
          <t>C</t>
        </is>
      </c>
      <c r="K213" t="inlineStr">
        <is>
          <t>Wikipedia 'List of American films of 2027' casts (Actions-runner pull 2026-10-08) x comp-based box office/RT estimates; cast lists are billed leads only (cameos not captured)</t>
        </is>
      </c>
      <c r="L213" t="inlineStr">
        <is>
          <t>2026-10-08</t>
        </is>
      </c>
    </row>
    <row r="214">
      <c r="A214" t="n">
        <v>213</v>
      </c>
      <c r="B214" t="inlineStr">
        <is>
          <t>Actress</t>
        </is>
      </c>
      <c r="C214" t="inlineStr">
        <is>
          <t>Dichen Lachman</t>
        </is>
      </c>
      <c r="D214">
        <f>'Actress'!M22</f>
        <v/>
      </c>
      <c r="E214">
        <f>'Actress'!N22</f>
        <v/>
      </c>
      <c r="F214">
        <f>'Actress'!O22</f>
        <v/>
      </c>
      <c r="G214" t="n">
        <v>4</v>
      </c>
      <c r="I214" t="inlineStr">
        <is>
          <t>The Legend of Zelda (Apr 30)</t>
        </is>
      </c>
      <c r="J214" t="inlineStr">
        <is>
          <t>C</t>
        </is>
      </c>
      <c r="K214" t="inlineStr">
        <is>
          <t>Wikipedia 'List of American films of 2027' casts (Actions-runner pull 2026-10-08) x comp-based box office/RT estimates; cast lists are billed leads only (cameos not captured)</t>
        </is>
      </c>
      <c r="L214" t="inlineStr">
        <is>
          <t>2026-10-08</t>
        </is>
      </c>
    </row>
    <row r="215">
      <c r="A215" t="n">
        <v>214</v>
      </c>
      <c r="B215" t="inlineStr">
        <is>
          <t>Actress</t>
        </is>
      </c>
      <c r="C215" t="inlineStr">
        <is>
          <t>Bo Bragason</t>
        </is>
      </c>
      <c r="D215">
        <f>'Actress'!M23</f>
        <v/>
      </c>
      <c r="E215">
        <f>'Actress'!N23</f>
        <v/>
      </c>
      <c r="F215">
        <f>'Actress'!O23</f>
        <v/>
      </c>
      <c r="G215" t="n">
        <v>4</v>
      </c>
      <c r="I215" t="inlineStr">
        <is>
          <t>The Legend of Zelda (Apr 30)</t>
        </is>
      </c>
      <c r="J215" t="inlineStr">
        <is>
          <t>C</t>
        </is>
      </c>
      <c r="K215" t="inlineStr">
        <is>
          <t>Wikipedia 'List of American films of 2027' casts (Actions-runner pull 2026-10-08) x comp-based box office/RT estimates; cast lists are billed leads only (cameos not captured)</t>
        </is>
      </c>
      <c r="L215" t="inlineStr">
        <is>
          <t>2026-10-08</t>
        </is>
      </c>
    </row>
    <row r="216">
      <c r="A216" t="n">
        <v>215</v>
      </c>
      <c r="B216" t="inlineStr">
        <is>
          <t>MLB</t>
        </is>
      </c>
      <c r="C216" t="inlineStr">
        <is>
          <t>Arizona Diamondbacks</t>
        </is>
      </c>
      <c r="D216">
        <f>'MLB'!M14</f>
        <v/>
      </c>
      <c r="E216">
        <f>'MLB'!N14</f>
        <v/>
      </c>
      <c r="F216">
        <f>'MLB'!O14</f>
        <v/>
      </c>
      <c r="G216" t="n">
        <v>3</v>
      </c>
      <c r="I216" t="inlineStr">
        <is>
          <t>2026: 86-76 (.5309)</t>
        </is>
      </c>
      <c r="J216" t="inlineStr">
        <is>
          <t>C</t>
        </is>
      </c>
      <c r="K216" t="inlineStr">
        <is>
          <t>2026 win% from league standings (A); title prob = model estimate — no 2027 World Series odds posted</t>
        </is>
      </c>
      <c r="L216" t="inlineStr">
        <is>
          <t>2026-10-08</t>
        </is>
      </c>
    </row>
    <row r="217">
      <c r="A217" t="n">
        <v>216</v>
      </c>
      <c r="B217" t="inlineStr">
        <is>
          <t>Actor</t>
        </is>
      </c>
      <c r="C217" t="inlineStr">
        <is>
          <t>Marcello Hernández</t>
        </is>
      </c>
      <c r="D217">
        <f>'Actor'!M35</f>
        <v/>
      </c>
      <c r="E217">
        <f>'Actor'!N35</f>
        <v/>
      </c>
      <c r="F217">
        <f>'Actor'!O35</f>
        <v/>
      </c>
      <c r="G217" t="n">
        <v>4</v>
      </c>
      <c r="I217" t="inlineStr">
        <is>
          <t>Shrek 5 (Jun 30)</t>
        </is>
      </c>
      <c r="J217" t="inlineStr">
        <is>
          <t>C</t>
        </is>
      </c>
      <c r="K217" t="inlineStr">
        <is>
          <t>Wikipedia 'List of American films of 2027' casts (Actions-runner pull 2026-10-08) x comp-based box office/RT estimates; cast lists are billed leads only (cameos not captured)</t>
        </is>
      </c>
      <c r="L217" t="inlineStr">
        <is>
          <t>2026-10-08</t>
        </is>
      </c>
    </row>
    <row r="218">
      <c r="A218" t="n">
        <v>217</v>
      </c>
      <c r="B218" t="inlineStr">
        <is>
          <t>Actor</t>
        </is>
      </c>
      <c r="C218" t="inlineStr">
        <is>
          <t>Mike Myers</t>
        </is>
      </c>
      <c r="D218">
        <f>'Actor'!M36</f>
        <v/>
      </c>
      <c r="E218">
        <f>'Actor'!N36</f>
        <v/>
      </c>
      <c r="F218">
        <f>'Actor'!O36</f>
        <v/>
      </c>
      <c r="G218" t="n">
        <v>4</v>
      </c>
      <c r="I218" t="inlineStr">
        <is>
          <t>Shrek 5 (Jun 30)</t>
        </is>
      </c>
      <c r="J218" t="inlineStr">
        <is>
          <t>C</t>
        </is>
      </c>
      <c r="K218" t="inlineStr">
        <is>
          <t>Wikipedia 'List of American films of 2027' casts (Actions-runner pull 2026-10-08) x comp-based box office/RT estimates; cast lists are billed leads only (cameos not captured)</t>
        </is>
      </c>
      <c r="L218" t="inlineStr">
        <is>
          <t>2026-10-08</t>
        </is>
      </c>
    </row>
    <row r="219">
      <c r="A219" t="n">
        <v>218</v>
      </c>
      <c r="B219" t="inlineStr">
        <is>
          <t>Country</t>
        </is>
      </c>
      <c r="C219" t="inlineStr">
        <is>
          <t>Argentina</t>
        </is>
      </c>
      <c r="D219">
        <f>'Country'!M29</f>
        <v/>
      </c>
      <c r="E219">
        <f>'Country'!N29</f>
        <v/>
      </c>
      <c r="F219">
        <f>'Country'!O29</f>
        <v/>
      </c>
      <c r="G219" t="n">
        <v>4</v>
      </c>
      <c r="I219" t="inlineStr">
        <is>
          <t>Reform-driven; high uncertainty</t>
        </is>
      </c>
      <c r="J219" t="inlineStr">
        <is>
          <t>C</t>
        </is>
      </c>
      <c r="K219" t="inlineStr">
        <is>
          <t>prior from IMF Jul-2026 update + regional outlooks; NO country-level 2027 table retrieved (IMF API blocked) — replace with the Oct 13 WEO</t>
        </is>
      </c>
      <c r="L219" t="inlineStr">
        <is>
          <t>2026-10-08</t>
        </is>
      </c>
    </row>
    <row r="220">
      <c r="A220" t="n">
        <v>219</v>
      </c>
      <c r="B220" t="inlineStr">
        <is>
          <t>Actress</t>
        </is>
      </c>
      <c r="C220" t="inlineStr">
        <is>
          <t>Nico Parker</t>
        </is>
      </c>
      <c r="D220">
        <f>'Actress'!M24</f>
        <v/>
      </c>
      <c r="E220">
        <f>'Actress'!N24</f>
        <v/>
      </c>
      <c r="F220">
        <f>'Actress'!O24</f>
        <v/>
      </c>
      <c r="G220" t="n">
        <v>4</v>
      </c>
      <c r="I220" t="inlineStr">
        <is>
          <t>How to Train Your Dragon 2 (Jun 11)</t>
        </is>
      </c>
      <c r="J220" t="inlineStr">
        <is>
          <t>C</t>
        </is>
      </c>
      <c r="K220" t="inlineStr">
        <is>
          <t>Wikipedia 'List of American films of 2027' casts (Actions-runner pull 2026-10-08) x comp-based box office/RT estimates; cast lists are billed leads only (cameos not captured)</t>
        </is>
      </c>
      <c r="L220" t="inlineStr">
        <is>
          <t>2026-10-08</t>
        </is>
      </c>
    </row>
    <row r="221">
      <c r="A221" t="n">
        <v>220</v>
      </c>
      <c r="B221" t="inlineStr">
        <is>
          <t>Country</t>
        </is>
      </c>
      <c r="C221" t="inlineStr">
        <is>
          <t>Armenia</t>
        </is>
      </c>
      <c r="D221">
        <f>'Country'!M30</f>
        <v/>
      </c>
      <c r="E221">
        <f>'Country'!N30</f>
        <v/>
      </c>
      <c r="F221">
        <f>'Country'!O30</f>
        <v/>
      </c>
      <c r="G221" t="n">
        <v>4</v>
      </c>
      <c r="I221" t="inlineStr"/>
      <c r="J221" t="inlineStr">
        <is>
          <t>C</t>
        </is>
      </c>
      <c r="K221" t="inlineStr">
        <is>
          <t>prior from IMF Jul-2026 update + regional outlooks; NO country-level 2027 table retrieved (IMF API blocked) — replace with the Oct 13 WEO</t>
        </is>
      </c>
      <c r="L221" t="inlineStr">
        <is>
          <t>2026-10-08</t>
        </is>
      </c>
    </row>
    <row r="222">
      <c r="A222" t="n">
        <v>221</v>
      </c>
      <c r="B222" t="inlineStr">
        <is>
          <t>MLS</t>
        </is>
      </c>
      <c r="C222" t="inlineStr">
        <is>
          <t>Colorado Rapids</t>
        </is>
      </c>
      <c r="D222">
        <f>'MLS'!M19</f>
        <v/>
      </c>
      <c r="E222">
        <f>'MLS'!N19</f>
        <v/>
      </c>
      <c r="F222">
        <f>'MLS'!O19</f>
        <v/>
      </c>
      <c r="G222" t="n">
        <v>4</v>
      </c>
      <c r="H222" t="inlineStr">
        <is>
          <t>2026 Cup: Kalshi 0.5%</t>
        </is>
      </c>
      <c r="I222" t="inlineStr">
        <is>
          <t>2026: 36 pts (as of 10-08; season ends Nov 7)</t>
        </is>
      </c>
      <c r="J222" t="inlineStr">
        <is>
          <t>C</t>
        </is>
      </c>
      <c r="K222" t="inlineStr">
        <is>
          <t>2026 points (league standings, A) + Kalshi KXMLSCUP-26 price as strength proxy, shrunk 50% toward the field</t>
        </is>
      </c>
      <c r="L222" t="inlineStr">
        <is>
          <t>2026-10-08</t>
        </is>
      </c>
    </row>
    <row r="223">
      <c r="A223" t="n">
        <v>222</v>
      </c>
      <c r="B223" t="inlineStr">
        <is>
          <t>Actor</t>
        </is>
      </c>
      <c r="C223" t="inlineStr">
        <is>
          <t>Eddie Murphy</t>
        </is>
      </c>
      <c r="D223">
        <f>'Actor'!M37</f>
        <v/>
      </c>
      <c r="E223">
        <f>'Actor'!N37</f>
        <v/>
      </c>
      <c r="F223">
        <f>'Actor'!O37</f>
        <v/>
      </c>
      <c r="G223" t="n">
        <v>4</v>
      </c>
      <c r="I223" t="inlineStr">
        <is>
          <t>Shrek 5 (Jun 30)</t>
        </is>
      </c>
      <c r="J223" t="inlineStr">
        <is>
          <t>C</t>
        </is>
      </c>
      <c r="K223" t="inlineStr">
        <is>
          <t>Wikipedia 'List of American films of 2027' casts (Actions-runner pull 2026-10-08) x comp-based box office/RT estimates; cast lists are billed leads only (cameos not captured)</t>
        </is>
      </c>
      <c r="L223" t="inlineStr">
        <is>
          <t>2026-10-08</t>
        </is>
      </c>
    </row>
    <row r="224">
      <c r="A224" t="n">
        <v>223</v>
      </c>
      <c r="B224" t="inlineStr">
        <is>
          <t>Musician</t>
        </is>
      </c>
      <c r="C224" t="inlineStr">
        <is>
          <t>Morgan Wallen</t>
        </is>
      </c>
      <c r="D224">
        <f>'Musician'!M15</f>
        <v/>
      </c>
      <c r="E224">
        <f>'Musician'!N15</f>
        <v/>
      </c>
      <c r="F224">
        <f>'Musician'!O15</f>
        <v/>
      </c>
      <c r="G224" t="n">
        <v>3</v>
      </c>
      <c r="H224" t="inlineStr">
        <is>
          <t>Grammy EV 0.8</t>
        </is>
      </c>
      <c r="I224" t="inlineStr">
        <is>
          <t>No new album found</t>
        </is>
      </c>
      <c r="J224" t="inlineStr">
        <is>
          <t>C</t>
        </is>
      </c>
      <c r="K224" t="inlineStr">
        <is>
          <t>2027 Hot 100 baseline = my estimate; Grammy: estimate (C)</t>
        </is>
      </c>
      <c r="L224" t="inlineStr">
        <is>
          <t>2026-10-08</t>
        </is>
      </c>
    </row>
    <row r="225">
      <c r="A225" t="n">
        <v>224</v>
      </c>
      <c r="B225" t="inlineStr">
        <is>
          <t>Actress</t>
        </is>
      </c>
      <c r="C225" t="inlineStr">
        <is>
          <t>Cate Blanchett</t>
        </is>
      </c>
      <c r="D225">
        <f>'Actress'!M25</f>
        <v/>
      </c>
      <c r="E225">
        <f>'Actress'!N25</f>
        <v/>
      </c>
      <c r="F225">
        <f>'Actress'!O25</f>
        <v/>
      </c>
      <c r="G225" t="n">
        <v>4</v>
      </c>
      <c r="I225" t="inlineStr">
        <is>
          <t>How to Train Your Dragon 2 (Jun 11)</t>
        </is>
      </c>
      <c r="J225" t="inlineStr">
        <is>
          <t>C</t>
        </is>
      </c>
      <c r="K225" t="inlineStr">
        <is>
          <t>Wikipedia 'List of American films of 2027' casts (Actions-runner pull 2026-10-08) x comp-based box office/RT estimates; cast lists are billed leads only (cameos not captured)</t>
        </is>
      </c>
      <c r="L225" t="inlineStr">
        <is>
          <t>2026-10-08</t>
        </is>
      </c>
    </row>
    <row r="226">
      <c r="A226" t="n">
        <v>225</v>
      </c>
      <c r="B226" t="inlineStr">
        <is>
          <t>Actress</t>
        </is>
      </c>
      <c r="C226" t="inlineStr">
        <is>
          <t>Penélope Cruz</t>
        </is>
      </c>
      <c r="D226">
        <f>'Actress'!M26</f>
        <v/>
      </c>
      <c r="E226">
        <f>'Actress'!N26</f>
        <v/>
      </c>
      <c r="F226">
        <f>'Actress'!O26</f>
        <v/>
      </c>
      <c r="G226" t="n">
        <v>4</v>
      </c>
      <c r="I226" t="inlineStr">
        <is>
          <t>Paris Paramount (Dec 25); Day Drinker (Mar 26)</t>
        </is>
      </c>
      <c r="J226" t="inlineStr">
        <is>
          <t>C</t>
        </is>
      </c>
      <c r="K226" t="inlineStr">
        <is>
          <t>Wikipedia 'List of American films of 2027' casts (Actions-runner pull 2026-10-08) x comp-based box office/RT estimates; cast lists are billed leads only (cameos not captured)</t>
        </is>
      </c>
      <c r="L226" t="inlineStr">
        <is>
          <t>2026-10-08</t>
        </is>
      </c>
    </row>
    <row r="227">
      <c r="A227" t="n">
        <v>226</v>
      </c>
      <c r="B227" t="inlineStr">
        <is>
          <t>Actor</t>
        </is>
      </c>
      <c r="C227" t="inlineStr">
        <is>
          <t>Noah Jupe</t>
        </is>
      </c>
      <c r="D227">
        <f>'Actor'!M38</f>
        <v/>
      </c>
      <c r="E227">
        <f>'Actor'!N38</f>
        <v/>
      </c>
      <c r="F227">
        <f>'Actor'!O38</f>
        <v/>
      </c>
      <c r="G227" t="n">
        <v>4</v>
      </c>
      <c r="I227" t="inlineStr">
        <is>
          <t>Avengers: Secret Wars (Dec 17); A Quiet Place Part III (Jul 30)</t>
        </is>
      </c>
      <c r="J227" t="inlineStr">
        <is>
          <t>C</t>
        </is>
      </c>
      <c r="K227" t="inlineStr">
        <is>
          <t>Wikipedia 'List of American films of 2027' casts (Actions-runner pull 2026-10-08) x comp-based box office/RT estimates; cast lists are billed leads only (cameos not captured)</t>
        </is>
      </c>
      <c r="L227" t="inlineStr">
        <is>
          <t>2026-10-08</t>
        </is>
      </c>
    </row>
    <row r="228">
      <c r="A228" t="n">
        <v>227</v>
      </c>
      <c r="B228" t="inlineStr">
        <is>
          <t>MLS</t>
        </is>
      </c>
      <c r="C228" t="inlineStr">
        <is>
          <t>Orlando City SC</t>
        </is>
      </c>
      <c r="D228">
        <f>'MLS'!M20</f>
        <v/>
      </c>
      <c r="E228">
        <f>'MLS'!N20</f>
        <v/>
      </c>
      <c r="F228">
        <f>'MLS'!O20</f>
        <v/>
      </c>
      <c r="G228" t="n">
        <v>4</v>
      </c>
      <c r="H228" t="inlineStr">
        <is>
          <t>2026 Cup: Kalshi 0.5%</t>
        </is>
      </c>
      <c r="I228" t="inlineStr">
        <is>
          <t>2026: 34 pts (as of 10-08; season ends Nov 7)</t>
        </is>
      </c>
      <c r="J228" t="inlineStr">
        <is>
          <t>C</t>
        </is>
      </c>
      <c r="K228" t="inlineStr">
        <is>
          <t>2026 points (league standings, A) + Kalshi KXMLSCUP-26 price as strength proxy, shrunk 50% toward the field</t>
        </is>
      </c>
      <c r="L228" t="inlineStr">
        <is>
          <t>2026-10-08</t>
        </is>
      </c>
    </row>
    <row r="229">
      <c r="A229" t="n">
        <v>228</v>
      </c>
      <c r="B229" t="inlineStr">
        <is>
          <t>Actor</t>
        </is>
      </c>
      <c r="C229" t="inlineStr">
        <is>
          <t>Benjamin Evan Ainsworth</t>
        </is>
      </c>
      <c r="D229">
        <f>'Actor'!M39</f>
        <v/>
      </c>
      <c r="E229">
        <f>'Actor'!N39</f>
        <v/>
      </c>
      <c r="F229">
        <f>'Actor'!O39</f>
        <v/>
      </c>
      <c r="G229" t="n">
        <v>4</v>
      </c>
      <c r="I229" t="inlineStr">
        <is>
          <t>The Legend of Zelda (Apr 30)</t>
        </is>
      </c>
      <c r="J229" t="inlineStr">
        <is>
          <t>C</t>
        </is>
      </c>
      <c r="K229" t="inlineStr">
        <is>
          <t>Wikipedia 'List of American films of 2027' casts (Actions-runner pull 2026-10-08) x comp-based box office/RT estimates; cast lists are billed leads only (cameos not captured)</t>
        </is>
      </c>
      <c r="L229" t="inlineStr">
        <is>
          <t>2026-10-08</t>
        </is>
      </c>
    </row>
    <row r="230">
      <c r="A230" t="n">
        <v>229</v>
      </c>
      <c r="B230" t="inlineStr">
        <is>
          <t>Actor</t>
        </is>
      </c>
      <c r="C230" t="inlineStr">
        <is>
          <t>Uli Latukefu</t>
        </is>
      </c>
      <c r="D230">
        <f>'Actor'!M40</f>
        <v/>
      </c>
      <c r="E230">
        <f>'Actor'!N40</f>
        <v/>
      </c>
      <c r="F230">
        <f>'Actor'!O40</f>
        <v/>
      </c>
      <c r="G230" t="n">
        <v>4</v>
      </c>
      <c r="I230" t="inlineStr">
        <is>
          <t>The Legend of Zelda (Apr 30)</t>
        </is>
      </c>
      <c r="J230" t="inlineStr">
        <is>
          <t>C</t>
        </is>
      </c>
      <c r="K230" t="inlineStr">
        <is>
          <t>Wikipedia 'List of American films of 2027' casts (Actions-runner pull 2026-10-08) x comp-based box office/RT estimates; cast lists are billed leads only (cameos not captured)</t>
        </is>
      </c>
      <c r="L230" t="inlineStr">
        <is>
          <t>2026-10-08</t>
        </is>
      </c>
    </row>
    <row r="231">
      <c r="A231" t="n">
        <v>230</v>
      </c>
      <c r="B231" t="inlineStr">
        <is>
          <t>NFL</t>
        </is>
      </c>
      <c r="C231" t="inlineStr">
        <is>
          <t>Chicago Bears</t>
        </is>
      </c>
      <c r="D231">
        <f>'NFL'!M12</f>
        <v/>
      </c>
      <c r="E231">
        <f>'NFL'!N12</f>
        <v/>
      </c>
      <c r="F231">
        <f>'NFL'!O12</f>
        <v/>
      </c>
      <c r="G231" t="n">
        <v>3</v>
      </c>
      <c r="H231" t="inlineStr">
        <is>
          <t>Kalshi 4.5%</t>
        </is>
      </c>
      <c r="I231" t="inlineStr">
        <is>
          <t>3-1, NFC North</t>
        </is>
      </c>
      <c r="J231" t="inlineStr">
        <is>
          <t>A</t>
        </is>
      </c>
      <c r="K231" t="inlineStr">
        <is>
          <t>KXSB-27 exchange mid-price, pulled 2026-10-08; p(final)=KXNFLAFCCHAMP/KXNFLNFCCHAMP-27 Kalshi mid</t>
        </is>
      </c>
      <c r="L231" t="inlineStr">
        <is>
          <t>2026-10-08</t>
        </is>
      </c>
    </row>
    <row r="232">
      <c r="A232" t="n">
        <v>231</v>
      </c>
      <c r="B232" t="inlineStr">
        <is>
          <t>Golf</t>
        </is>
      </c>
      <c r="C232" t="inlineStr">
        <is>
          <t>Collin Morikawa</t>
        </is>
      </c>
      <c r="D232">
        <f>'Golf'!M15</f>
        <v/>
      </c>
      <c r="E232">
        <f>'Golf'!N15</f>
        <v/>
      </c>
      <c r="F232">
        <f>'Golf'!O15</f>
        <v/>
      </c>
      <c r="G232" t="n">
        <v>3</v>
      </c>
      <c r="I232" t="inlineStr">
        <is>
          <t>OWGR 11 (2026-10-08)</t>
        </is>
      </c>
      <c r="J232" t="inlineStr">
        <is>
          <t>C</t>
        </is>
      </c>
      <c r="K232" t="inlineStr">
        <is>
          <t>OWGR rank from league standings pull (A); major-win probabilities = model (rank-weighted share of 4 majors)</t>
        </is>
      </c>
      <c r="L232" t="inlineStr">
        <is>
          <t>2026-10-08</t>
        </is>
      </c>
    </row>
    <row r="233">
      <c r="A233" t="n">
        <v>232</v>
      </c>
      <c r="B233" t="inlineStr">
        <is>
          <t>Actor</t>
        </is>
      </c>
      <c r="C233" t="inlineStr">
        <is>
          <t>Gerard Butler</t>
        </is>
      </c>
      <c r="D233">
        <f>'Actor'!M41</f>
        <v/>
      </c>
      <c r="E233">
        <f>'Actor'!N41</f>
        <v/>
      </c>
      <c r="F233">
        <f>'Actor'!O41</f>
        <v/>
      </c>
      <c r="G233" t="n">
        <v>4</v>
      </c>
      <c r="I233" t="inlineStr">
        <is>
          <t>How to Train Your Dragon 2 (Jun 11)</t>
        </is>
      </c>
      <c r="J233" t="inlineStr">
        <is>
          <t>C</t>
        </is>
      </c>
      <c r="K233" t="inlineStr">
        <is>
          <t>Wikipedia 'List of American films of 2027' casts (Actions-runner pull 2026-10-08) x comp-based box office/RT estimates; cast lists are billed leads only (cameos not captured)</t>
        </is>
      </c>
      <c r="L233" t="inlineStr">
        <is>
          <t>2026-10-08</t>
        </is>
      </c>
    </row>
    <row r="234">
      <c r="A234" t="n">
        <v>233</v>
      </c>
      <c r="B234" t="inlineStr">
        <is>
          <t>Actor</t>
        </is>
      </c>
      <c r="C234" t="inlineStr">
        <is>
          <t>Mason Thames</t>
        </is>
      </c>
      <c r="D234">
        <f>'Actor'!M42</f>
        <v/>
      </c>
      <c r="E234">
        <f>'Actor'!N42</f>
        <v/>
      </c>
      <c r="F234">
        <f>'Actor'!O42</f>
        <v/>
      </c>
      <c r="G234" t="n">
        <v>4</v>
      </c>
      <c r="I234" t="inlineStr">
        <is>
          <t>How to Train Your Dragon 2 (Jun 11); Narcs (Aug 20)</t>
        </is>
      </c>
      <c r="J234" t="inlineStr">
        <is>
          <t>C</t>
        </is>
      </c>
      <c r="K234" t="inlineStr">
        <is>
          <t>Wikipedia 'List of American films of 2027' casts (Actions-runner pull 2026-10-08) x comp-based box office/RT estimates; cast lists are billed leads only (cameos not captured)</t>
        </is>
      </c>
      <c r="L234" t="inlineStr">
        <is>
          <t>2026-10-08</t>
        </is>
      </c>
    </row>
    <row r="235">
      <c r="A235" t="n">
        <v>234</v>
      </c>
      <c r="B235" t="inlineStr">
        <is>
          <t>Actor</t>
        </is>
      </c>
      <c r="C235" t="inlineStr">
        <is>
          <t>Nick Frost</t>
        </is>
      </c>
      <c r="D235">
        <f>'Actor'!M43</f>
        <v/>
      </c>
      <c r="E235">
        <f>'Actor'!N43</f>
        <v/>
      </c>
      <c r="F235">
        <f>'Actor'!O43</f>
        <v/>
      </c>
      <c r="G235" t="n">
        <v>4</v>
      </c>
      <c r="I235" t="inlineStr">
        <is>
          <t>How to Train Your Dragon 2 (Jun 11)</t>
        </is>
      </c>
      <c r="J235" t="inlineStr">
        <is>
          <t>C</t>
        </is>
      </c>
      <c r="K235" t="inlineStr">
        <is>
          <t>Wikipedia 'List of American films of 2027' casts (Actions-runner pull 2026-10-08) x comp-based box office/RT estimates; cast lists are billed leads only (cameos not captured)</t>
        </is>
      </c>
      <c r="L235" t="inlineStr">
        <is>
          <t>2026-10-08</t>
        </is>
      </c>
    </row>
    <row r="236">
      <c r="A236" t="n">
        <v>235</v>
      </c>
      <c r="B236" t="inlineStr">
        <is>
          <t>Actor</t>
        </is>
      </c>
      <c r="C236" t="inlineStr">
        <is>
          <t>Ólafur Darri Ólafsson</t>
        </is>
      </c>
      <c r="D236">
        <f>'Actor'!M44</f>
        <v/>
      </c>
      <c r="E236">
        <f>'Actor'!N44</f>
        <v/>
      </c>
      <c r="F236">
        <f>'Actor'!O44</f>
        <v/>
      </c>
      <c r="G236" t="n">
        <v>4</v>
      </c>
      <c r="I236" t="inlineStr">
        <is>
          <t>How to Train Your Dragon 2 (Jun 11)</t>
        </is>
      </c>
      <c r="J236" t="inlineStr">
        <is>
          <t>C</t>
        </is>
      </c>
      <c r="K236" t="inlineStr">
        <is>
          <t>Wikipedia 'List of American films of 2027' casts (Actions-runner pull 2026-10-08) x comp-based box office/RT estimates; cast lists are billed leads only (cameos not captured)</t>
        </is>
      </c>
      <c r="L236" t="inlineStr">
        <is>
          <t>2026-10-08</t>
        </is>
      </c>
    </row>
    <row r="237">
      <c r="A237" t="n">
        <v>236</v>
      </c>
      <c r="B237" t="inlineStr">
        <is>
          <t>Actor</t>
        </is>
      </c>
      <c r="C237" t="inlineStr">
        <is>
          <t>Phil Dunster</t>
        </is>
      </c>
      <c r="D237">
        <f>'Actor'!M45</f>
        <v/>
      </c>
      <c r="E237">
        <f>'Actor'!N45</f>
        <v/>
      </c>
      <c r="F237">
        <f>'Actor'!O45</f>
        <v/>
      </c>
      <c r="G237" t="n">
        <v>4</v>
      </c>
      <c r="I237" t="inlineStr">
        <is>
          <t>How to Train Your Dragon 2 (Jun 11)</t>
        </is>
      </c>
      <c r="J237" t="inlineStr">
        <is>
          <t>C</t>
        </is>
      </c>
      <c r="K237" t="inlineStr">
        <is>
          <t>Wikipedia 'List of American films of 2027' casts (Actions-runner pull 2026-10-08) x comp-based box office/RT estimates; cast lists are billed leads only (cameos not captured)</t>
        </is>
      </c>
      <c r="L237" t="inlineStr">
        <is>
          <t>2026-10-08</t>
        </is>
      </c>
    </row>
    <row r="238">
      <c r="A238" t="n">
        <v>237</v>
      </c>
      <c r="B238" t="inlineStr">
        <is>
          <t>MLS</t>
        </is>
      </c>
      <c r="C238" t="inlineStr">
        <is>
          <t>New York Red Bulls</t>
        </is>
      </c>
      <c r="D238">
        <f>'MLS'!M21</f>
        <v/>
      </c>
      <c r="E238">
        <f>'MLS'!N21</f>
        <v/>
      </c>
      <c r="F238">
        <f>'MLS'!O21</f>
        <v/>
      </c>
      <c r="G238" t="n">
        <v>4</v>
      </c>
      <c r="H238" t="inlineStr">
        <is>
          <t>2026 Cup: Kalshi 0.5%</t>
        </is>
      </c>
      <c r="I238" t="inlineStr">
        <is>
          <t>2026: 33 pts (as of 10-08; season ends Nov 7)</t>
        </is>
      </c>
      <c r="J238" t="inlineStr">
        <is>
          <t>C</t>
        </is>
      </c>
      <c r="K238" t="inlineStr">
        <is>
          <t>2026 points (league standings, A) + Kalshi KXMLSCUP-26 price as strength proxy, shrunk 50% toward the field</t>
        </is>
      </c>
      <c r="L238" t="inlineStr">
        <is>
          <t>2026-10-08</t>
        </is>
      </c>
    </row>
    <row r="239">
      <c r="A239" t="n">
        <v>238</v>
      </c>
      <c r="B239" t="inlineStr">
        <is>
          <t>MLS</t>
        </is>
      </c>
      <c r="C239" t="inlineStr">
        <is>
          <t>New York City FC</t>
        </is>
      </c>
      <c r="D239">
        <f>'MLS'!M22</f>
        <v/>
      </c>
      <c r="E239">
        <f>'MLS'!N22</f>
        <v/>
      </c>
      <c r="F239">
        <f>'MLS'!O22</f>
        <v/>
      </c>
      <c r="G239" t="n">
        <v>4</v>
      </c>
      <c r="H239" t="inlineStr">
        <is>
          <t>2026 Cup: Kalshi 0.5%</t>
        </is>
      </c>
      <c r="I239" t="inlineStr">
        <is>
          <t>2026: 33 pts (as of 10-08; season ends Nov 7)</t>
        </is>
      </c>
      <c r="J239" t="inlineStr">
        <is>
          <t>C</t>
        </is>
      </c>
      <c r="K239" t="inlineStr">
        <is>
          <t>2026 points (league standings, A) + Kalshi KXMLSCUP-26 price as strength proxy, shrunk 50% toward the field</t>
        </is>
      </c>
      <c r="L239" t="inlineStr">
        <is>
          <t>2026-10-08</t>
        </is>
      </c>
    </row>
    <row r="240">
      <c r="A240" t="n">
        <v>239</v>
      </c>
      <c r="B240" t="inlineStr">
        <is>
          <t>MLS</t>
        </is>
      </c>
      <c r="C240" t="inlineStr">
        <is>
          <t>FC Cincinnati</t>
        </is>
      </c>
      <c r="D240">
        <f>'MLS'!M23</f>
        <v/>
      </c>
      <c r="E240">
        <f>'MLS'!N23</f>
        <v/>
      </c>
      <c r="F240">
        <f>'MLS'!O23</f>
        <v/>
      </c>
      <c r="G240" t="n">
        <v>4</v>
      </c>
      <c r="H240" t="inlineStr">
        <is>
          <t>2026 Cup: Kalshi 0.5%</t>
        </is>
      </c>
      <c r="I240" t="inlineStr">
        <is>
          <t>2026: 33 pts (as of 10-08; season ends Nov 7)</t>
        </is>
      </c>
      <c r="J240" t="inlineStr">
        <is>
          <t>C</t>
        </is>
      </c>
      <c r="K240" t="inlineStr">
        <is>
          <t>2026 points (league standings, A) + Kalshi KXMLSCUP-26 price as strength proxy, shrunk 50% toward the field</t>
        </is>
      </c>
      <c r="L240" t="inlineStr">
        <is>
          <t>2026-10-08</t>
        </is>
      </c>
    </row>
    <row r="241">
      <c r="A241" t="n">
        <v>240</v>
      </c>
      <c r="B241" t="inlineStr">
        <is>
          <t>MLB</t>
        </is>
      </c>
      <c r="C241" t="inlineStr">
        <is>
          <t>Cleveland Guardians</t>
        </is>
      </c>
      <c r="D241">
        <f>'MLB'!M15</f>
        <v/>
      </c>
      <c r="E241">
        <f>'MLB'!N15</f>
        <v/>
      </c>
      <c r="F241">
        <f>'MLB'!O15</f>
        <v/>
      </c>
      <c r="G241" t="n">
        <v>3</v>
      </c>
      <c r="I241" t="inlineStr">
        <is>
          <t>2026: 85-77 (.5247)</t>
        </is>
      </c>
      <c r="J241" t="inlineStr">
        <is>
          <t>C</t>
        </is>
      </c>
      <c r="K241" t="inlineStr">
        <is>
          <t>2026 win% from league standings (A); title prob = model estimate — no 2027 World Series odds posted</t>
        </is>
      </c>
      <c r="L241" t="inlineStr">
        <is>
          <t>2026-10-08</t>
        </is>
      </c>
    </row>
    <row r="242">
      <c r="A242" t="n">
        <v>241</v>
      </c>
      <c r="B242" t="inlineStr">
        <is>
          <t>Actor</t>
        </is>
      </c>
      <c r="C242" t="inlineStr">
        <is>
          <t>Idris Elba</t>
        </is>
      </c>
      <c r="D242">
        <f>'Actor'!M46</f>
        <v/>
      </c>
      <c r="E242">
        <f>'Actor'!N46</f>
        <v/>
      </c>
      <c r="F242">
        <f>'Actor'!O46</f>
        <v/>
      </c>
      <c r="G242" t="n">
        <v>4</v>
      </c>
      <c r="I242" t="inlineStr">
        <is>
          <t>Sonic the Hedgehog 4 (Mar 19); Children of Blood and Bone (Jan 15)</t>
        </is>
      </c>
      <c r="J242" t="inlineStr">
        <is>
          <t>C</t>
        </is>
      </c>
      <c r="K242" t="inlineStr">
        <is>
          <t>Wikipedia 'List of American films of 2027' casts (Actions-runner pull 2026-10-08) x comp-based box office/RT estimates; cast lists are billed leads only (cameos not captured)</t>
        </is>
      </c>
      <c r="L242" t="inlineStr">
        <is>
          <t>2026-10-08</t>
        </is>
      </c>
    </row>
    <row r="243">
      <c r="A243" t="n">
        <v>242</v>
      </c>
      <c r="B243" t="inlineStr">
        <is>
          <t>Actress</t>
        </is>
      </c>
      <c r="C243" t="inlineStr">
        <is>
          <t>Kirsten Dunst</t>
        </is>
      </c>
      <c r="D243">
        <f>'Actress'!M27</f>
        <v/>
      </c>
      <c r="E243">
        <f>'Actress'!N27</f>
        <v/>
      </c>
      <c r="F243">
        <f>'Actress'!O27</f>
        <v/>
      </c>
      <c r="G243" t="n">
        <v>4</v>
      </c>
      <c r="I243" t="inlineStr">
        <is>
          <t>A Minecraft Movie Squared (Jul 23); The Housemaid's Secret (Dec 17)</t>
        </is>
      </c>
      <c r="J243" t="inlineStr">
        <is>
          <t>C</t>
        </is>
      </c>
      <c r="K243" t="inlineStr">
        <is>
          <t>Wikipedia 'List of American films of 2027' casts (Actions-runner pull 2026-10-08) x comp-based box office/RT estimates; cast lists are billed leads only (cameos not captured)</t>
        </is>
      </c>
      <c r="L243" t="inlineStr">
        <is>
          <t>2026-10-08</t>
        </is>
      </c>
    </row>
    <row r="244">
      <c r="A244" t="n">
        <v>243</v>
      </c>
      <c r="B244" t="inlineStr">
        <is>
          <t>Tennis</t>
        </is>
      </c>
      <c r="C244" t="inlineStr">
        <is>
          <t>Flavio Cobolli</t>
        </is>
      </c>
      <c r="D244">
        <f>'Tennis'!M17</f>
        <v/>
      </c>
      <c r="E244">
        <f>'Tennis'!N17</f>
        <v/>
      </c>
      <c r="F244">
        <f>'Tennis'!O17</f>
        <v/>
      </c>
      <c r="G244" t="n">
        <v>3</v>
      </c>
      <c r="I244" t="inlineStr">
        <is>
          <t>ATP 7 (2026-10-08)</t>
        </is>
      </c>
      <c r="J244" t="inlineStr">
        <is>
          <t>C</t>
        </is>
      </c>
      <c r="K244" t="inlineStr">
        <is>
          <t>ATP rank from league standings pull (A) / WTA via Olympics.com Oct 5; AO odds VegasInsider/Johnnybet Oct 2026; probabilities = agent estimates</t>
        </is>
      </c>
      <c r="L244" t="inlineStr">
        <is>
          <t>2026-10-08</t>
        </is>
      </c>
    </row>
    <row r="245">
      <c r="A245" t="n">
        <v>244</v>
      </c>
      <c r="B245" t="inlineStr">
        <is>
          <t>Actress</t>
        </is>
      </c>
      <c r="C245" t="inlineStr">
        <is>
          <t>Tika Sumpter</t>
        </is>
      </c>
      <c r="D245">
        <f>'Actress'!M28</f>
        <v/>
      </c>
      <c r="E245">
        <f>'Actress'!N28</f>
        <v/>
      </c>
      <c r="F245">
        <f>'Actress'!O28</f>
        <v/>
      </c>
      <c r="G245" t="n">
        <v>4</v>
      </c>
      <c r="I245" t="inlineStr">
        <is>
          <t>Sonic the Hedgehog 4 (Mar 19)</t>
        </is>
      </c>
      <c r="J245" t="inlineStr">
        <is>
          <t>C</t>
        </is>
      </c>
      <c r="K245" t="inlineStr">
        <is>
          <t>Wikipedia 'List of American films of 2027' casts (Actions-runner pull 2026-10-08) x comp-based box office/RT estimates; cast lists are billed leads only (cameos not captured)</t>
        </is>
      </c>
      <c r="L245" t="inlineStr">
        <is>
          <t>2026-10-08</t>
        </is>
      </c>
    </row>
    <row r="246">
      <c r="A246" t="n">
        <v>245</v>
      </c>
      <c r="B246" t="inlineStr">
        <is>
          <t>Actress</t>
        </is>
      </c>
      <c r="C246" t="inlineStr">
        <is>
          <t>Colleen O'Shaughnessey</t>
        </is>
      </c>
      <c r="D246">
        <f>'Actress'!M29</f>
        <v/>
      </c>
      <c r="E246">
        <f>'Actress'!N29</f>
        <v/>
      </c>
      <c r="F246">
        <f>'Actress'!O29</f>
        <v/>
      </c>
      <c r="G246" t="n">
        <v>4</v>
      </c>
      <c r="I246" t="inlineStr">
        <is>
          <t>Sonic the Hedgehog 4 (Mar 19)</t>
        </is>
      </c>
      <c r="J246" t="inlineStr">
        <is>
          <t>C</t>
        </is>
      </c>
      <c r="K246" t="inlineStr">
        <is>
          <t>Wikipedia 'List of American films of 2027' casts (Actions-runner pull 2026-10-08) x comp-based box office/RT estimates; cast lists are billed leads only (cameos not captured)</t>
        </is>
      </c>
      <c r="L246" t="inlineStr">
        <is>
          <t>2026-10-08</t>
        </is>
      </c>
    </row>
    <row r="247">
      <c r="A247" t="n">
        <v>246</v>
      </c>
      <c r="B247" t="inlineStr">
        <is>
          <t>MLS</t>
        </is>
      </c>
      <c r="C247" t="inlineStr">
        <is>
          <t>Portland Timbers</t>
        </is>
      </c>
      <c r="D247">
        <f>'MLS'!M24</f>
        <v/>
      </c>
      <c r="E247">
        <f>'MLS'!N24</f>
        <v/>
      </c>
      <c r="F247">
        <f>'MLS'!O24</f>
        <v/>
      </c>
      <c r="G247" t="n">
        <v>4</v>
      </c>
      <c r="H247" t="inlineStr">
        <is>
          <t>2026 Cup: Kalshi 0.5%</t>
        </is>
      </c>
      <c r="I247" t="inlineStr">
        <is>
          <t>2026: 32 pts (as of 10-08; season ends Nov 7)</t>
        </is>
      </c>
      <c r="J247" t="inlineStr">
        <is>
          <t>C</t>
        </is>
      </c>
      <c r="K247" t="inlineStr">
        <is>
          <t>2026 points (league standings, A) + Kalshi KXMLSCUP-26 price as strength proxy, shrunk 50% toward the field</t>
        </is>
      </c>
      <c r="L247" t="inlineStr">
        <is>
          <t>2026-10-08</t>
        </is>
      </c>
    </row>
    <row r="248">
      <c r="A248" t="n">
        <v>247</v>
      </c>
      <c r="B248" t="inlineStr">
        <is>
          <t>MLS</t>
        </is>
      </c>
      <c r="C248" t="inlineStr">
        <is>
          <t>San Diego FC</t>
        </is>
      </c>
      <c r="D248">
        <f>'MLS'!M25</f>
        <v/>
      </c>
      <c r="E248">
        <f>'MLS'!N25</f>
        <v/>
      </c>
      <c r="F248">
        <f>'MLS'!O25</f>
        <v/>
      </c>
      <c r="G248" t="n">
        <v>4</v>
      </c>
      <c r="H248" t="inlineStr">
        <is>
          <t>2026 Cup: Kalshi 0.5%</t>
        </is>
      </c>
      <c r="I248" t="inlineStr">
        <is>
          <t>2026: 32 pts (as of 10-08; season ends Nov 7)</t>
        </is>
      </c>
      <c r="J248" t="inlineStr">
        <is>
          <t>C</t>
        </is>
      </c>
      <c r="K248" t="inlineStr">
        <is>
          <t>2026 points (league standings, A) + Kalshi KXMLSCUP-26 price as strength proxy, shrunk 50% toward the field</t>
        </is>
      </c>
      <c r="L248" t="inlineStr">
        <is>
          <t>2026-10-08</t>
        </is>
      </c>
    </row>
    <row r="249">
      <c r="A249" t="n">
        <v>248</v>
      </c>
      <c r="B249" t="inlineStr">
        <is>
          <t>Actor</t>
        </is>
      </c>
      <c r="C249" t="inlineStr">
        <is>
          <t>Keanu Reeves</t>
        </is>
      </c>
      <c r="D249">
        <f>'Actor'!M47</f>
        <v/>
      </c>
      <c r="E249">
        <f>'Actor'!N47</f>
        <v/>
      </c>
      <c r="F249">
        <f>'Actor'!O47</f>
        <v/>
      </c>
      <c r="G249" t="n">
        <v>4</v>
      </c>
      <c r="I249" t="inlineStr">
        <is>
          <t>Sonic the Hedgehog 4 (Mar 19); Shiver (Aug 13)</t>
        </is>
      </c>
      <c r="J249" t="inlineStr">
        <is>
          <t>C</t>
        </is>
      </c>
      <c r="K249" t="inlineStr">
        <is>
          <t>Wikipedia 'List of American films of 2027' casts (Actions-runner pull 2026-10-08) x comp-based box office/RT estimates; cast lists are billed leads only (cameos not captured)</t>
        </is>
      </c>
      <c r="L249" t="inlineStr">
        <is>
          <t>2026-10-08</t>
        </is>
      </c>
    </row>
    <row r="250">
      <c r="A250" t="n">
        <v>249</v>
      </c>
      <c r="B250" t="inlineStr">
        <is>
          <t>NBA</t>
        </is>
      </c>
      <c r="C250" t="inlineStr">
        <is>
          <t>Houston Rockets</t>
        </is>
      </c>
      <c r="D250">
        <f>'NBA'!M16</f>
        <v/>
      </c>
      <c r="E250">
        <f>'NBA'!N16</f>
        <v/>
      </c>
      <c r="F250">
        <f>'NBA'!O16</f>
        <v/>
      </c>
      <c r="G250" t="n">
        <v>3</v>
      </c>
      <c r="H250" t="inlineStr">
        <is>
          <t>Kalshi 1.5%</t>
        </is>
      </c>
      <c r="I250" t="inlineStr">
        <is>
          <t>West; win total 47.5</t>
        </is>
      </c>
      <c r="J250" t="inlineStr">
        <is>
          <t>A</t>
        </is>
      </c>
      <c r="K250" t="inlineStr">
        <is>
          <t>KXNBA-27 exchange mid-price, pulled 2026-10-08; p(final)=KXNBAEAST/KXNBAWEST-27 Kalshi mid</t>
        </is>
      </c>
      <c r="L250" t="inlineStr">
        <is>
          <t>2026-10-08</t>
        </is>
      </c>
    </row>
    <row r="251">
      <c r="A251" t="n">
        <v>250</v>
      </c>
      <c r="B251" t="inlineStr">
        <is>
          <t>Tennis</t>
        </is>
      </c>
      <c r="C251" t="inlineStr">
        <is>
          <t>Novak Djokovic</t>
        </is>
      </c>
      <c r="D251">
        <f>'Tennis'!M18</f>
        <v/>
      </c>
      <c r="E251">
        <f>'Tennis'!N18</f>
        <v/>
      </c>
      <c r="F251">
        <f>'Tennis'!O18</f>
        <v/>
      </c>
      <c r="G251" t="n">
        <v>4</v>
      </c>
      <c r="H251" t="inlineStr">
        <is>
          <t>+1600 AO 2027</t>
        </is>
      </c>
      <c r="I251" t="inlineStr">
        <is>
          <t>ATP 8 (2026-10-08)</t>
        </is>
      </c>
      <c r="J251" t="inlineStr">
        <is>
          <t>B</t>
        </is>
      </c>
      <c r="K251" t="inlineStr">
        <is>
          <t>ATP rank from league standings pull (A) / WTA via Olympics.com Oct 5; AO odds VegasInsider/Johnnybet Oct 2026; probabilities = agent estimates</t>
        </is>
      </c>
      <c r="L251" t="inlineStr">
        <is>
          <t>2026-10-08</t>
        </is>
      </c>
    </row>
    <row r="252">
      <c r="A252" t="n">
        <v>251</v>
      </c>
      <c r="B252" t="inlineStr">
        <is>
          <t>NFL</t>
        </is>
      </c>
      <c r="C252" t="inlineStr">
        <is>
          <t>Minnesota Vikings</t>
        </is>
      </c>
      <c r="D252">
        <f>'NFL'!M13</f>
        <v/>
      </c>
      <c r="E252">
        <f>'NFL'!N13</f>
        <v/>
      </c>
      <c r="F252">
        <f>'NFL'!O13</f>
        <v/>
      </c>
      <c r="G252" t="n">
        <v>3</v>
      </c>
      <c r="H252" t="inlineStr">
        <is>
          <t>Kalshi 3.5%</t>
        </is>
      </c>
      <c r="I252" t="inlineStr">
        <is>
          <t>4-0, NFC North</t>
        </is>
      </c>
      <c r="J252" t="inlineStr">
        <is>
          <t>A</t>
        </is>
      </c>
      <c r="K252" t="inlineStr">
        <is>
          <t>KXSB-27 exchange mid-price, pulled 2026-10-08; p(final)=KXNFLAFCCHAMP/KXNFLNFCCHAMP-27 Kalshi mid</t>
        </is>
      </c>
      <c r="L252" t="inlineStr">
        <is>
          <t>2026-10-08</t>
        </is>
      </c>
    </row>
    <row r="253">
      <c r="A253" t="n">
        <v>252</v>
      </c>
      <c r="B253" t="inlineStr">
        <is>
          <t>NFL</t>
        </is>
      </c>
      <c r="C253" t="inlineStr">
        <is>
          <t>Denver Broncos</t>
        </is>
      </c>
      <c r="D253">
        <f>'NFL'!M14</f>
        <v/>
      </c>
      <c r="E253">
        <f>'NFL'!N14</f>
        <v/>
      </c>
      <c r="F253">
        <f>'NFL'!O14</f>
        <v/>
      </c>
      <c r="G253" t="n">
        <v>3</v>
      </c>
      <c r="H253" t="inlineStr">
        <is>
          <t>Kalshi 3.5%</t>
        </is>
      </c>
      <c r="I253" t="inlineStr">
        <is>
          <t>2-2, AFC West</t>
        </is>
      </c>
      <c r="J253" t="inlineStr">
        <is>
          <t>A</t>
        </is>
      </c>
      <c r="K253" t="inlineStr">
        <is>
          <t>KXSB-27 exchange mid-price, pulled 2026-10-08; p(final)=KXNFLAFCCHAMP/KXNFLNFCCHAMP-27 Kalshi mid</t>
        </is>
      </c>
      <c r="L253" t="inlineStr">
        <is>
          <t>2026-10-08</t>
        </is>
      </c>
    </row>
    <row r="254">
      <c r="A254" t="n">
        <v>253</v>
      </c>
      <c r="B254" t="inlineStr">
        <is>
          <t>MLS</t>
        </is>
      </c>
      <c r="C254" t="inlineStr">
        <is>
          <t>Real Salt Lake</t>
        </is>
      </c>
      <c r="D254">
        <f>'MLS'!M26</f>
        <v/>
      </c>
      <c r="E254">
        <f>'MLS'!N26</f>
        <v/>
      </c>
      <c r="F254">
        <f>'MLS'!O26</f>
        <v/>
      </c>
      <c r="G254" t="n">
        <v>4</v>
      </c>
      <c r="H254" t="inlineStr">
        <is>
          <t>2026 Cup: Kalshi 0.5%</t>
        </is>
      </c>
      <c r="I254" t="inlineStr">
        <is>
          <t>2026: 32 pts (as of 10-08; season ends Nov 7)</t>
        </is>
      </c>
      <c r="J254" t="inlineStr">
        <is>
          <t>C</t>
        </is>
      </c>
      <c r="K254" t="inlineStr">
        <is>
          <t>2026 points (league standings, A) + Kalshi KXMLSCUP-26 price as strength proxy, shrunk 50% toward the field</t>
        </is>
      </c>
      <c r="L254" t="inlineStr">
        <is>
          <t>2026-10-08</t>
        </is>
      </c>
    </row>
    <row r="255">
      <c r="A255" t="n">
        <v>254</v>
      </c>
      <c r="B255" t="inlineStr">
        <is>
          <t>Tennis</t>
        </is>
      </c>
      <c r="C255" t="inlineStr">
        <is>
          <t>Iga Swiatek</t>
        </is>
      </c>
      <c r="D255">
        <f>'Tennis'!M19</f>
        <v/>
      </c>
      <c r="E255">
        <f>'Tennis'!N19</f>
        <v/>
      </c>
      <c r="F255">
        <f>'Tennis'!O19</f>
        <v/>
      </c>
      <c r="G255" t="n">
        <v>4</v>
      </c>
      <c r="H255" t="inlineStr">
        <is>
          <t>+500 AO 2027</t>
        </is>
      </c>
      <c r="I255" t="inlineStr">
        <is>
          <t>WTA 9 (2026-10-08)</t>
        </is>
      </c>
      <c r="J255" t="inlineStr">
        <is>
          <t>B</t>
        </is>
      </c>
      <c r="K255" t="inlineStr">
        <is>
          <t>ATP rank from league standings pull (A) / WTA via Olympics.com Oct 5; AO odds VegasInsider/Johnnybet Oct 2026; probabilities = agent estimates</t>
        </is>
      </c>
      <c r="L255" t="inlineStr">
        <is>
          <t>2026-10-08</t>
        </is>
      </c>
    </row>
    <row r="256">
      <c r="A256" t="n">
        <v>255</v>
      </c>
      <c r="B256" t="inlineStr">
        <is>
          <t>MLB</t>
        </is>
      </c>
      <c r="C256" t="inlineStr">
        <is>
          <t>Pittsburgh Pirates</t>
        </is>
      </c>
      <c r="D256">
        <f>'MLB'!M16</f>
        <v/>
      </c>
      <c r="E256">
        <f>'MLB'!N16</f>
        <v/>
      </c>
      <c r="F256">
        <f>'MLB'!O16</f>
        <v/>
      </c>
      <c r="G256" t="n">
        <v>3</v>
      </c>
      <c r="I256" t="inlineStr">
        <is>
          <t>2026: 82-80 (.5062)</t>
        </is>
      </c>
      <c r="J256" t="inlineStr">
        <is>
          <t>C</t>
        </is>
      </c>
      <c r="K256" t="inlineStr">
        <is>
          <t>2026 win% from league standings (A); title prob = model estimate — no 2027 World Series odds posted</t>
        </is>
      </c>
      <c r="L256" t="inlineStr">
        <is>
          <t>2026-10-08</t>
        </is>
      </c>
    </row>
    <row r="257">
      <c r="A257" t="n">
        <v>256</v>
      </c>
      <c r="B257" t="inlineStr">
        <is>
          <t>Actor</t>
        </is>
      </c>
      <c r="C257" t="inlineStr">
        <is>
          <t>Jim Carrey</t>
        </is>
      </c>
      <c r="D257">
        <f>'Actor'!M48</f>
        <v/>
      </c>
      <c r="E257">
        <f>'Actor'!N48</f>
        <v/>
      </c>
      <c r="F257">
        <f>'Actor'!O48</f>
        <v/>
      </c>
      <c r="G257" t="n">
        <v>4</v>
      </c>
      <c r="I257" t="inlineStr">
        <is>
          <t>Sonic the Hedgehog 4 (Mar 19)</t>
        </is>
      </c>
      <c r="J257" t="inlineStr">
        <is>
          <t>C</t>
        </is>
      </c>
      <c r="K257" t="inlineStr">
        <is>
          <t>Wikipedia 'List of American films of 2027' casts (Actions-runner pull 2026-10-08) x comp-based box office/RT estimates; cast lists are billed leads only (cameos not captured)</t>
        </is>
      </c>
      <c r="L257" t="inlineStr">
        <is>
          <t>2026-10-08</t>
        </is>
      </c>
    </row>
    <row r="258">
      <c r="A258" t="n">
        <v>257</v>
      </c>
      <c r="B258" t="inlineStr">
        <is>
          <t>Actor</t>
        </is>
      </c>
      <c r="C258" t="inlineStr">
        <is>
          <t>Richard Ayoade</t>
        </is>
      </c>
      <c r="D258">
        <f>'Actor'!M49</f>
        <v/>
      </c>
      <c r="E258">
        <f>'Actor'!N49</f>
        <v/>
      </c>
      <c r="F258">
        <f>'Actor'!O49</f>
        <v/>
      </c>
      <c r="G258" t="n">
        <v>4</v>
      </c>
      <c r="I258" t="inlineStr">
        <is>
          <t>Sonic the Hedgehog 4 (Mar 19)</t>
        </is>
      </c>
      <c r="J258" t="inlineStr">
        <is>
          <t>C</t>
        </is>
      </c>
      <c r="K258" t="inlineStr">
        <is>
          <t>Wikipedia 'List of American films of 2027' casts (Actions-runner pull 2026-10-08) x comp-based box office/RT estimates; cast lists are billed leads only (cameos not captured)</t>
        </is>
      </c>
      <c r="L258" t="inlineStr">
        <is>
          <t>2026-10-08</t>
        </is>
      </c>
    </row>
    <row r="259">
      <c r="A259" t="n">
        <v>258</v>
      </c>
      <c r="B259" t="inlineStr">
        <is>
          <t>Actor</t>
        </is>
      </c>
      <c r="C259" t="inlineStr">
        <is>
          <t>Nick Offerman</t>
        </is>
      </c>
      <c r="D259">
        <f>'Actor'!M50</f>
        <v/>
      </c>
      <c r="E259">
        <f>'Actor'!N50</f>
        <v/>
      </c>
      <c r="F259">
        <f>'Actor'!O50</f>
        <v/>
      </c>
      <c r="G259" t="n">
        <v>4</v>
      </c>
      <c r="I259" t="inlineStr">
        <is>
          <t>Sonic the Hedgehog 4 (Mar 19)</t>
        </is>
      </c>
      <c r="J259" t="inlineStr">
        <is>
          <t>C</t>
        </is>
      </c>
      <c r="K259" t="inlineStr">
        <is>
          <t>Wikipedia 'List of American films of 2027' casts (Actions-runner pull 2026-10-08) x comp-based box office/RT estimates; cast lists are billed leads only (cameos not captured)</t>
        </is>
      </c>
      <c r="L259" t="inlineStr">
        <is>
          <t>2026-10-08</t>
        </is>
      </c>
    </row>
    <row r="260">
      <c r="A260" t="n">
        <v>259</v>
      </c>
      <c r="B260" t="inlineStr">
        <is>
          <t>Actor</t>
        </is>
      </c>
      <c r="C260" t="inlineStr">
        <is>
          <t>Ben Kingsley</t>
        </is>
      </c>
      <c r="D260">
        <f>'Actor'!M51</f>
        <v/>
      </c>
      <c r="E260">
        <f>'Actor'!N51</f>
        <v/>
      </c>
      <c r="F260">
        <f>'Actor'!O51</f>
        <v/>
      </c>
      <c r="G260" t="n">
        <v>4</v>
      </c>
      <c r="I260" t="inlineStr">
        <is>
          <t>Sonic the Hedgehog 4 (Mar 19)</t>
        </is>
      </c>
      <c r="J260" t="inlineStr">
        <is>
          <t>C</t>
        </is>
      </c>
      <c r="K260" t="inlineStr">
        <is>
          <t>Wikipedia 'List of American films of 2027' casts (Actions-runner pull 2026-10-08) x comp-based box office/RT estimates; cast lists are billed leads only (cameos not captured)</t>
        </is>
      </c>
      <c r="L260" t="inlineStr">
        <is>
          <t>2026-10-08</t>
        </is>
      </c>
    </row>
    <row r="261">
      <c r="A261" t="n">
        <v>260</v>
      </c>
      <c r="B261" t="inlineStr">
        <is>
          <t>Musician</t>
        </is>
      </c>
      <c r="C261" t="inlineStr">
        <is>
          <t>Sabrina Carpenter</t>
        </is>
      </c>
      <c r="D261">
        <f>'Musician'!M16</f>
        <v/>
      </c>
      <c r="E261">
        <f>'Musician'!N16</f>
        <v/>
      </c>
      <c r="F261">
        <f>'Musician'!O16</f>
        <v/>
      </c>
      <c r="G261" t="n">
        <v>3</v>
      </c>
      <c r="H261" t="inlineStr">
        <is>
          <t>Grammy EV 1.0</t>
        </is>
      </c>
      <c r="I261" t="inlineStr">
        <is>
          <t>Man's Best Friend (Aug 2025) was last cycle; no successor found</t>
        </is>
      </c>
      <c r="J261" t="inlineStr">
        <is>
          <t>C</t>
        </is>
      </c>
      <c r="K261" t="inlineStr">
        <is>
          <t>2027 Hot 100 baseline = my estimate; Grammy: estimate (C)</t>
        </is>
      </c>
      <c r="L261" t="inlineStr">
        <is>
          <t>2026-10-08</t>
        </is>
      </c>
    </row>
    <row r="262">
      <c r="A262" t="n">
        <v>261</v>
      </c>
      <c r="B262" t="inlineStr">
        <is>
          <t>Actor</t>
        </is>
      </c>
      <c r="C262" t="inlineStr">
        <is>
          <t>James Marsden</t>
        </is>
      </c>
      <c r="D262">
        <f>'Actor'!M52</f>
        <v/>
      </c>
      <c r="E262">
        <f>'Actor'!N52</f>
        <v/>
      </c>
      <c r="F262">
        <f>'Actor'!O52</f>
        <v/>
      </c>
      <c r="G262" t="n">
        <v>4</v>
      </c>
      <c r="I262" t="inlineStr">
        <is>
          <t>Sonic the Hedgehog 4 (Mar 19)</t>
        </is>
      </c>
      <c r="J262" t="inlineStr">
        <is>
          <t>C</t>
        </is>
      </c>
      <c r="K262" t="inlineStr">
        <is>
          <t>Wikipedia 'List of American films of 2027' casts (Actions-runner pull 2026-10-08) x comp-based box office/RT estimates; cast lists are billed leads only (cameos not captured)</t>
        </is>
      </c>
      <c r="L262" t="inlineStr">
        <is>
          <t>2026-10-08</t>
        </is>
      </c>
    </row>
    <row r="263">
      <c r="A263" t="n">
        <v>262</v>
      </c>
      <c r="B263" t="inlineStr">
        <is>
          <t>Golf</t>
        </is>
      </c>
      <c r="C263" t="inlineStr">
        <is>
          <t>J.J. Spaun</t>
        </is>
      </c>
      <c r="D263">
        <f>'Golf'!M16</f>
        <v/>
      </c>
      <c r="E263">
        <f>'Golf'!N16</f>
        <v/>
      </c>
      <c r="F263">
        <f>'Golf'!O16</f>
        <v/>
      </c>
      <c r="G263" t="n">
        <v>3</v>
      </c>
      <c r="I263" t="inlineStr">
        <is>
          <t>OWGR 12 (2026-10-08)</t>
        </is>
      </c>
      <c r="J263" t="inlineStr">
        <is>
          <t>C</t>
        </is>
      </c>
      <c r="K263" t="inlineStr">
        <is>
          <t>OWGR rank from league standings pull (A); major-win probabilities = model (rank-weighted share of 4 majors)</t>
        </is>
      </c>
      <c r="L263" t="inlineStr">
        <is>
          <t>2026-10-08</t>
        </is>
      </c>
    </row>
    <row r="264">
      <c r="A264" t="n">
        <v>263</v>
      </c>
      <c r="B264" t="inlineStr">
        <is>
          <t>Musician</t>
        </is>
      </c>
      <c r="C264" t="inlineStr">
        <is>
          <t>Ariana Grande</t>
        </is>
      </c>
      <c r="D264">
        <f>'Musician'!M17</f>
        <v/>
      </c>
      <c r="E264">
        <f>'Musician'!N17</f>
        <v/>
      </c>
      <c r="F264">
        <f>'Musician'!O17</f>
        <v/>
      </c>
      <c r="G264" t="n">
        <v>3</v>
      </c>
      <c r="H264" t="inlineStr">
        <is>
          <t>Grammy EV 2.6</t>
        </is>
      </c>
      <c r="I264" t="inlineStr">
        <is>
          <t>'hate that i made you love me' #1 (Jun 2026); SOTY nom 35%</t>
        </is>
      </c>
      <c r="J264" t="inlineStr">
        <is>
          <t>C</t>
        </is>
      </c>
      <c r="K264" t="inlineStr">
        <is>
          <t>2027 Hot 100 baseline = my estimate; Grammy: Kalshi KXGRAM*-69 prices (A) + estimates for other categories (C)</t>
        </is>
      </c>
      <c r="L264" t="inlineStr">
        <is>
          <t>2026-10-08</t>
        </is>
      </c>
    </row>
    <row r="265">
      <c r="A265" t="n">
        <v>264</v>
      </c>
      <c r="B265" t="inlineStr">
        <is>
          <t>Actor</t>
        </is>
      </c>
      <c r="C265" t="inlineStr">
        <is>
          <t>Ben Schwartz</t>
        </is>
      </c>
      <c r="D265">
        <f>'Actor'!M53</f>
        <v/>
      </c>
      <c r="E265">
        <f>'Actor'!N53</f>
        <v/>
      </c>
      <c r="F265">
        <f>'Actor'!O53</f>
        <v/>
      </c>
      <c r="G265" t="n">
        <v>4</v>
      </c>
      <c r="I265" t="inlineStr">
        <is>
          <t>Sonic the Hedgehog 4 (Mar 19)</t>
        </is>
      </c>
      <c r="J265" t="inlineStr">
        <is>
          <t>C</t>
        </is>
      </c>
      <c r="K265" t="inlineStr">
        <is>
          <t>Wikipedia 'List of American films of 2027' casts (Actions-runner pull 2026-10-08) x comp-based box office/RT estimates; cast lists are billed leads only (cameos not captured)</t>
        </is>
      </c>
      <c r="L265" t="inlineStr">
        <is>
          <t>2026-10-08</t>
        </is>
      </c>
    </row>
    <row r="266">
      <c r="A266" t="n">
        <v>265</v>
      </c>
      <c r="B266" t="inlineStr">
        <is>
          <t>MLS</t>
        </is>
      </c>
      <c r="C266" t="inlineStr">
        <is>
          <t>Austin FC</t>
        </is>
      </c>
      <c r="D266">
        <f>'MLS'!M27</f>
        <v/>
      </c>
      <c r="E266">
        <f>'MLS'!N27</f>
        <v/>
      </c>
      <c r="F266">
        <f>'MLS'!O27</f>
        <v/>
      </c>
      <c r="G266" t="n">
        <v>4</v>
      </c>
      <c r="H266" t="inlineStr">
        <is>
          <t>2026 Cup: Kalshi 0.5%</t>
        </is>
      </c>
      <c r="I266" t="inlineStr">
        <is>
          <t>2026: 31 pts (as of 10-08; season ends Nov 7)</t>
        </is>
      </c>
      <c r="J266" t="inlineStr">
        <is>
          <t>C</t>
        </is>
      </c>
      <c r="K266" t="inlineStr">
        <is>
          <t>2026 points (league standings, A) + Kalshi KXMLSCUP-26 price as strength proxy, shrunk 50% toward the field</t>
        </is>
      </c>
      <c r="L266" t="inlineStr">
        <is>
          <t>2026-10-08</t>
        </is>
      </c>
    </row>
    <row r="267">
      <c r="A267" t="n">
        <v>266</v>
      </c>
      <c r="B267" t="inlineStr">
        <is>
          <t>Actor</t>
        </is>
      </c>
      <c r="C267" t="inlineStr">
        <is>
          <t>Lee Majdoub</t>
        </is>
      </c>
      <c r="D267">
        <f>'Actor'!M54</f>
        <v/>
      </c>
      <c r="E267">
        <f>'Actor'!N54</f>
        <v/>
      </c>
      <c r="F267">
        <f>'Actor'!O54</f>
        <v/>
      </c>
      <c r="G267" t="n">
        <v>4</v>
      </c>
      <c r="I267" t="inlineStr">
        <is>
          <t>Sonic the Hedgehog 4 (Mar 19)</t>
        </is>
      </c>
      <c r="J267" t="inlineStr">
        <is>
          <t>C</t>
        </is>
      </c>
      <c r="K267" t="inlineStr">
        <is>
          <t>Wikipedia 'List of American films of 2027' casts (Actions-runner pull 2026-10-08) x comp-based box office/RT estimates; cast lists are billed leads only (cameos not captured)</t>
        </is>
      </c>
      <c r="L267" t="inlineStr">
        <is>
          <t>2026-10-08</t>
        </is>
      </c>
    </row>
    <row r="268">
      <c r="A268" t="n">
        <v>267</v>
      </c>
      <c r="B268" t="inlineStr">
        <is>
          <t>Tennis</t>
        </is>
      </c>
      <c r="C268" t="inlineStr">
        <is>
          <t>Elina Svitolina</t>
        </is>
      </c>
      <c r="D268">
        <f>'Tennis'!M20</f>
        <v/>
      </c>
      <c r="E268">
        <f>'Tennis'!N20</f>
        <v/>
      </c>
      <c r="F268">
        <f>'Tennis'!O20</f>
        <v/>
      </c>
      <c r="G268" t="n">
        <v>4</v>
      </c>
      <c r="I268" t="inlineStr">
        <is>
          <t>WTA 7 (2026-10-08)</t>
        </is>
      </c>
      <c r="J268" t="inlineStr">
        <is>
          <t>C</t>
        </is>
      </c>
      <c r="K268" t="inlineStr">
        <is>
          <t>ATP rank from league standings pull (A) / WTA via Olympics.com Oct 5; AO odds VegasInsider/Johnnybet Oct 2026; probabilities = agent estimates</t>
        </is>
      </c>
      <c r="L268" t="inlineStr">
        <is>
          <t>2026-10-08</t>
        </is>
      </c>
    </row>
    <row r="269">
      <c r="A269" t="n">
        <v>268</v>
      </c>
      <c r="B269" t="inlineStr">
        <is>
          <t>MLS</t>
        </is>
      </c>
      <c r="C269" t="inlineStr">
        <is>
          <t>D.C. United</t>
        </is>
      </c>
      <c r="D269">
        <f>'MLS'!M28</f>
        <v/>
      </c>
      <c r="E269">
        <f>'MLS'!N28</f>
        <v/>
      </c>
      <c r="F269">
        <f>'MLS'!O28</f>
        <v/>
      </c>
      <c r="G269" t="n">
        <v>4</v>
      </c>
      <c r="H269" t="inlineStr">
        <is>
          <t>2026 Cup: Kalshi 0.5%</t>
        </is>
      </c>
      <c r="I269" t="inlineStr">
        <is>
          <t>2026: 30 pts (as of 10-08; season ends Nov 7)</t>
        </is>
      </c>
      <c r="J269" t="inlineStr">
        <is>
          <t>C</t>
        </is>
      </c>
      <c r="K269" t="inlineStr">
        <is>
          <t>2026 points (league standings, A) + Kalshi KXMLSCUP-26 price as strength proxy, shrunk 50% toward the field</t>
        </is>
      </c>
      <c r="L269" t="inlineStr">
        <is>
          <t>2026-10-08</t>
        </is>
      </c>
    </row>
    <row r="270">
      <c r="A270" t="n">
        <v>269</v>
      </c>
      <c r="B270" t="inlineStr">
        <is>
          <t>NHL</t>
        </is>
      </c>
      <c r="C270" t="inlineStr">
        <is>
          <t>San Jose Sharks</t>
        </is>
      </c>
      <c r="D270">
        <f>'NHL'!M14</f>
        <v/>
      </c>
      <c r="E270">
        <f>'NHL'!N14</f>
        <v/>
      </c>
      <c r="F270">
        <f>'NHL'!O14</f>
        <v/>
      </c>
      <c r="G270" t="n">
        <v>3</v>
      </c>
      <c r="H270" t="inlineStr">
        <is>
          <t>Kalshi 4.5%</t>
        </is>
      </c>
      <c r="I270" t="inlineStr">
        <is>
          <t>West</t>
        </is>
      </c>
      <c r="J270" t="inlineStr">
        <is>
          <t>A</t>
        </is>
      </c>
      <c r="K270" t="inlineStr">
        <is>
          <t>KXNHL-27 exchange mid-price, pulled 2026-10-08; p(final)=KXNHLEAST/KXNHLWEST-27 Kalshi mid</t>
        </is>
      </c>
      <c r="L270" t="inlineStr">
        <is>
          <t>2026-10-08</t>
        </is>
      </c>
    </row>
    <row r="271">
      <c r="A271" t="n">
        <v>270</v>
      </c>
      <c r="B271" t="inlineStr">
        <is>
          <t>Actor</t>
        </is>
      </c>
      <c r="C271" t="inlineStr">
        <is>
          <t>Jason Momoa</t>
        </is>
      </c>
      <c r="D271">
        <f>'Actor'!M55</f>
        <v/>
      </c>
      <c r="E271">
        <f>'Actor'!N55</f>
        <v/>
      </c>
      <c r="F271">
        <f>'Actor'!O55</f>
        <v/>
      </c>
      <c r="G271" t="n">
        <v>4</v>
      </c>
      <c r="I271" t="inlineStr">
        <is>
          <t>A Minecraft Movie Squared (Jul 23); Animal Friends (Jan 22)</t>
        </is>
      </c>
      <c r="J271" t="inlineStr">
        <is>
          <t>C</t>
        </is>
      </c>
      <c r="K271" t="inlineStr">
        <is>
          <t>Wikipedia 'List of American films of 2027' casts (Actions-runner pull 2026-10-08) x comp-based box office/RT estimates; cast lists are billed leads only (cameos not captured)</t>
        </is>
      </c>
      <c r="L271" t="inlineStr">
        <is>
          <t>2026-10-08</t>
        </is>
      </c>
    </row>
    <row r="272">
      <c r="A272" t="n">
        <v>271</v>
      </c>
      <c r="B272" t="inlineStr">
        <is>
          <t>NBA</t>
        </is>
      </c>
      <c r="C272" t="inlineStr">
        <is>
          <t>Toronto Raptors</t>
        </is>
      </c>
      <c r="D272">
        <f>'NBA'!M17</f>
        <v/>
      </c>
      <c r="E272">
        <f>'NBA'!N17</f>
        <v/>
      </c>
      <c r="F272">
        <f>'NBA'!O17</f>
        <v/>
      </c>
      <c r="G272" t="n">
        <v>3</v>
      </c>
      <c r="H272" t="inlineStr">
        <is>
          <t>Kalshi 2.5%</t>
        </is>
      </c>
      <c r="I272" t="inlineStr">
        <is>
          <t>East; win total 45.5</t>
        </is>
      </c>
      <c r="J272" t="inlineStr">
        <is>
          <t>A</t>
        </is>
      </c>
      <c r="K272" t="inlineStr">
        <is>
          <t>KXNBA-27 exchange mid-price, pulled 2026-10-08; p(final)=KXNBAEAST/KXNBAWEST-27 Kalshi mid</t>
        </is>
      </c>
      <c r="L272" t="inlineStr">
        <is>
          <t>2026-10-08</t>
        </is>
      </c>
    </row>
    <row r="273">
      <c r="A273" t="n">
        <v>272</v>
      </c>
      <c r="B273" t="inlineStr">
        <is>
          <t>NHL</t>
        </is>
      </c>
      <c r="C273" t="inlineStr">
        <is>
          <t>Washington Capitals</t>
        </is>
      </c>
      <c r="D273">
        <f>'NHL'!M15</f>
        <v/>
      </c>
      <c r="E273">
        <f>'NHL'!N15</f>
        <v/>
      </c>
      <c r="F273">
        <f>'NHL'!O15</f>
        <v/>
      </c>
      <c r="G273" t="n">
        <v>3</v>
      </c>
      <c r="H273" t="inlineStr">
        <is>
          <t>Kalshi 5.5%</t>
        </is>
      </c>
      <c r="I273" t="inlineStr">
        <is>
          <t>East</t>
        </is>
      </c>
      <c r="J273" t="inlineStr">
        <is>
          <t>A</t>
        </is>
      </c>
      <c r="K273" t="inlineStr">
        <is>
          <t>KXNHL-27 exchange mid-price, pulled 2026-10-08; p(final)=KXNHLEAST/KXNHLWEST-27 Kalshi mid</t>
        </is>
      </c>
      <c r="L273" t="inlineStr">
        <is>
          <t>2026-10-08</t>
        </is>
      </c>
    </row>
    <row r="274">
      <c r="A274" t="n">
        <v>273</v>
      </c>
      <c r="B274" t="inlineStr">
        <is>
          <t>MLB</t>
        </is>
      </c>
      <c r="C274" t="inlineStr">
        <is>
          <t>Chicago White Sox</t>
        </is>
      </c>
      <c r="D274">
        <f>'MLB'!M17</f>
        <v/>
      </c>
      <c r="E274">
        <f>'MLB'!N17</f>
        <v/>
      </c>
      <c r="F274">
        <f>'MLB'!O17</f>
        <v/>
      </c>
      <c r="G274" t="n">
        <v>3</v>
      </c>
      <c r="I274" t="inlineStr">
        <is>
          <t>2026: 84-78 (.5185)</t>
        </is>
      </c>
      <c r="J274" t="inlineStr">
        <is>
          <t>C</t>
        </is>
      </c>
      <c r="K274" t="inlineStr">
        <is>
          <t>2026 win% from league standings (A); title prob = model estimate — no 2027 World Series odds posted</t>
        </is>
      </c>
      <c r="L274" t="inlineStr">
        <is>
          <t>2026-10-08</t>
        </is>
      </c>
    </row>
    <row r="275">
      <c r="A275" t="n">
        <v>274</v>
      </c>
      <c r="B275" t="inlineStr">
        <is>
          <t>MLS</t>
        </is>
      </c>
      <c r="C275" t="inlineStr">
        <is>
          <t>Minnesota United FC</t>
        </is>
      </c>
      <c r="D275">
        <f>'MLS'!M29</f>
        <v/>
      </c>
      <c r="E275">
        <f>'MLS'!N29</f>
        <v/>
      </c>
      <c r="F275">
        <f>'MLS'!O29</f>
        <v/>
      </c>
      <c r="G275" t="n">
        <v>4</v>
      </c>
      <c r="H275" t="inlineStr">
        <is>
          <t>2026 Cup: Kalshi 0.5%</t>
        </is>
      </c>
      <c r="I275" t="inlineStr">
        <is>
          <t>2026: 29 pts (as of 10-08; season ends Nov 7)</t>
        </is>
      </c>
      <c r="J275" t="inlineStr">
        <is>
          <t>C</t>
        </is>
      </c>
      <c r="K275" t="inlineStr">
        <is>
          <t>2026 points (league standings, A) + Kalshi KXMLSCUP-26 price as strength proxy, shrunk 50% toward the field</t>
        </is>
      </c>
      <c r="L275" t="inlineStr">
        <is>
          <t>2026-10-08</t>
        </is>
      </c>
    </row>
    <row r="276">
      <c r="A276" t="n">
        <v>275</v>
      </c>
      <c r="B276" t="inlineStr">
        <is>
          <t>Actor</t>
        </is>
      </c>
      <c r="C276" t="inlineStr">
        <is>
          <t>Pedro Pascal</t>
        </is>
      </c>
      <c r="D276">
        <f>'Actor'!M56</f>
        <v/>
      </c>
      <c r="E276">
        <f>'Actor'!N56</f>
        <v/>
      </c>
      <c r="F276">
        <f>'Actor'!O56</f>
        <v/>
      </c>
      <c r="G276" t="n">
        <v>4</v>
      </c>
      <c r="I276" t="inlineStr">
        <is>
          <t>Avengers: Secret Wars (Dec 17)</t>
        </is>
      </c>
      <c r="J276" t="inlineStr">
        <is>
          <t>C</t>
        </is>
      </c>
      <c r="K276" t="inlineStr">
        <is>
          <t>Wikipedia 'List of American films of 2027' casts (Actions-runner pull 2026-10-08) x comp-based box office/RT estimates; cast lists are billed leads only (cameos not captured)</t>
        </is>
      </c>
      <c r="L276" t="inlineStr">
        <is>
          <t>2026-10-08</t>
        </is>
      </c>
    </row>
    <row r="277">
      <c r="A277" t="n">
        <v>276</v>
      </c>
      <c r="B277" t="inlineStr">
        <is>
          <t>MLS</t>
        </is>
      </c>
      <c r="C277" t="inlineStr">
        <is>
          <t>Columbus Crew</t>
        </is>
      </c>
      <c r="D277">
        <f>'MLS'!M30</f>
        <v/>
      </c>
      <c r="E277">
        <f>'MLS'!N30</f>
        <v/>
      </c>
      <c r="F277">
        <f>'MLS'!O30</f>
        <v/>
      </c>
      <c r="G277" t="n">
        <v>4</v>
      </c>
      <c r="H277" t="inlineStr">
        <is>
          <t>2026 Cup: Kalshi 0.5%</t>
        </is>
      </c>
      <c r="I277" t="inlineStr">
        <is>
          <t>2026: 29 pts (as of 10-08; season ends Nov 7)</t>
        </is>
      </c>
      <c r="J277" t="inlineStr">
        <is>
          <t>C</t>
        </is>
      </c>
      <c r="K277" t="inlineStr">
        <is>
          <t>2026 points (league standings, A) + Kalshi KXMLSCUP-26 price as strength proxy, shrunk 50% toward the field</t>
        </is>
      </c>
      <c r="L277" t="inlineStr">
        <is>
          <t>2026-10-08</t>
        </is>
      </c>
    </row>
    <row r="278">
      <c r="A278" t="n">
        <v>277</v>
      </c>
      <c r="B278" t="inlineStr">
        <is>
          <t>MLS</t>
        </is>
      </c>
      <c r="C278" t="inlineStr">
        <is>
          <t>Toronto FC</t>
        </is>
      </c>
      <c r="D278">
        <f>'MLS'!M31</f>
        <v/>
      </c>
      <c r="E278">
        <f>'MLS'!N31</f>
        <v/>
      </c>
      <c r="F278">
        <f>'MLS'!O31</f>
        <v/>
      </c>
      <c r="G278" t="n">
        <v>4</v>
      </c>
      <c r="H278" t="inlineStr">
        <is>
          <t>2026 Cup: Kalshi 0.5%</t>
        </is>
      </c>
      <c r="I278" t="inlineStr">
        <is>
          <t>2026: 29 pts (as of 10-08; season ends Nov 7)</t>
        </is>
      </c>
      <c r="J278" t="inlineStr">
        <is>
          <t>C</t>
        </is>
      </c>
      <c r="K278" t="inlineStr">
        <is>
          <t>2026 points (league standings, A) + Kalshi KXMLSCUP-26 price as strength proxy, shrunk 50% toward the field</t>
        </is>
      </c>
      <c r="L278" t="inlineStr">
        <is>
          <t>2026-10-08</t>
        </is>
      </c>
    </row>
    <row r="279">
      <c r="A279" t="n">
        <v>278</v>
      </c>
      <c r="B279" t="inlineStr">
        <is>
          <t>MLB</t>
        </is>
      </c>
      <c r="C279" t="inlineStr">
        <is>
          <t>Baltimore Orioles</t>
        </is>
      </c>
      <c r="D279">
        <f>'MLB'!M18</f>
        <v/>
      </c>
      <c r="E279">
        <f>'MLB'!N18</f>
        <v/>
      </c>
      <c r="F279">
        <f>'MLB'!O18</f>
        <v/>
      </c>
      <c r="G279" t="n">
        <v>4</v>
      </c>
      <c r="I279" t="inlineStr">
        <is>
          <t>2026: 79-83 (.4907)</t>
        </is>
      </c>
      <c r="J279" t="inlineStr">
        <is>
          <t>C</t>
        </is>
      </c>
      <c r="K279" t="inlineStr">
        <is>
          <t>2026 win% from league standings (A); title prob = model estimate — no 2027 World Series odds posted</t>
        </is>
      </c>
      <c r="L279" t="inlineStr">
        <is>
          <t>2026-10-08</t>
        </is>
      </c>
    </row>
    <row r="280">
      <c r="A280" t="n">
        <v>279</v>
      </c>
      <c r="B280" t="inlineStr">
        <is>
          <t>MLB</t>
        </is>
      </c>
      <c r="C280" t="inlineStr">
        <is>
          <t>Toronto Blue Jays</t>
        </is>
      </c>
      <c r="D280">
        <f>'MLB'!M19</f>
        <v/>
      </c>
      <c r="E280">
        <f>'MLB'!N19</f>
        <v/>
      </c>
      <c r="F280">
        <f>'MLB'!O19</f>
        <v/>
      </c>
      <c r="G280" t="n">
        <v>4</v>
      </c>
      <c r="I280" t="inlineStr">
        <is>
          <t>2026: 79-83 (.4877)</t>
        </is>
      </c>
      <c r="J280" t="inlineStr">
        <is>
          <t>C</t>
        </is>
      </c>
      <c r="K280" t="inlineStr">
        <is>
          <t>2026 win% from league standings (A); title prob = model estimate — no 2027 World Series odds posted</t>
        </is>
      </c>
      <c r="L280" t="inlineStr">
        <is>
          <t>2026-10-08</t>
        </is>
      </c>
    </row>
    <row r="281">
      <c r="A281" t="n">
        <v>280</v>
      </c>
      <c r="B281" t="inlineStr">
        <is>
          <t>NCAAB</t>
        </is>
      </c>
      <c r="C281" t="inlineStr">
        <is>
          <t>Kansas</t>
        </is>
      </c>
      <c r="D281">
        <f>'NCAAB'!M13</f>
        <v/>
      </c>
      <c r="E281">
        <f>'NCAAB'!N13</f>
        <v/>
      </c>
      <c r="F281">
        <f>'NCAAB'!O13</f>
        <v/>
      </c>
      <c r="G281" t="n">
        <v>3</v>
      </c>
      <c r="H281" t="inlineStr">
        <is>
          <t>+4000</t>
        </is>
      </c>
      <c r="I281" t="inlineStr"/>
      <c r="J281" t="inlineStr">
        <is>
          <t>B</t>
        </is>
      </c>
      <c r="K281" t="inlineStr">
        <is>
          <t>CBS Sports title odds 2026-08-04</t>
        </is>
      </c>
      <c r="L281" t="inlineStr">
        <is>
          <t>2026-10-08</t>
        </is>
      </c>
    </row>
    <row r="282">
      <c r="A282" t="n">
        <v>281</v>
      </c>
      <c r="B282" t="inlineStr">
        <is>
          <t>Actor</t>
        </is>
      </c>
      <c r="C282" t="inlineStr">
        <is>
          <t>Jack O'Connell</t>
        </is>
      </c>
      <c r="D282">
        <f>'Actor'!M57</f>
        <v/>
      </c>
      <c r="E282">
        <f>'Actor'!N57</f>
        <v/>
      </c>
      <c r="F282">
        <f>'Actor'!O57</f>
        <v/>
      </c>
      <c r="G282" t="n">
        <v>4</v>
      </c>
      <c r="I282" t="inlineStr">
        <is>
          <t>A Quiet Place Part III (Jul 30); Godzilla x Kong: Supernova (Mar 26)</t>
        </is>
      </c>
      <c r="J282" t="inlineStr">
        <is>
          <t>C</t>
        </is>
      </c>
      <c r="K282" t="inlineStr">
        <is>
          <t>Wikipedia 'List of American films of 2027' casts (Actions-runner pull 2026-10-08) x comp-based box office/RT estimates; cast lists are billed leads only (cameos not captured)</t>
        </is>
      </c>
      <c r="L282" t="inlineStr">
        <is>
          <t>2026-10-08</t>
        </is>
      </c>
    </row>
    <row r="283">
      <c r="A283" t="n">
        <v>282</v>
      </c>
      <c r="B283" t="inlineStr">
        <is>
          <t>Actress</t>
        </is>
      </c>
      <c r="C283" t="inlineStr">
        <is>
          <t>Danielle Brooks</t>
        </is>
      </c>
      <c r="D283">
        <f>'Actress'!M30</f>
        <v/>
      </c>
      <c r="E283">
        <f>'Actress'!N30</f>
        <v/>
      </c>
      <c r="F283">
        <f>'Actress'!O30</f>
        <v/>
      </c>
      <c r="G283" t="n">
        <v>4</v>
      </c>
      <c r="I283" t="inlineStr">
        <is>
          <t>A Minecraft Movie Squared (Jul 23)</t>
        </is>
      </c>
      <c r="J283" t="inlineStr">
        <is>
          <t>C</t>
        </is>
      </c>
      <c r="K283" t="inlineStr">
        <is>
          <t>Wikipedia 'List of American films of 2027' casts (Actions-runner pull 2026-10-08) x comp-based box office/RT estimates; cast lists are billed leads only (cameos not captured)</t>
        </is>
      </c>
      <c r="L283" t="inlineStr">
        <is>
          <t>2026-10-08</t>
        </is>
      </c>
    </row>
    <row r="284">
      <c r="A284" t="n">
        <v>283</v>
      </c>
      <c r="B284" t="inlineStr">
        <is>
          <t>MLB</t>
        </is>
      </c>
      <c r="C284" t="inlineStr">
        <is>
          <t>Houston Astros</t>
        </is>
      </c>
      <c r="D284">
        <f>'MLB'!M20</f>
        <v/>
      </c>
      <c r="E284">
        <f>'MLB'!N20</f>
        <v/>
      </c>
      <c r="F284">
        <f>'MLB'!O20</f>
        <v/>
      </c>
      <c r="G284" t="n">
        <v>4</v>
      </c>
      <c r="I284" t="inlineStr">
        <is>
          <t>2026: 81-81 (.5000)</t>
        </is>
      </c>
      <c r="J284" t="inlineStr">
        <is>
          <t>C</t>
        </is>
      </c>
      <c r="K284" t="inlineStr">
        <is>
          <t>2026 win% from league standings (A); title prob = model estimate — no 2027 World Series odds posted</t>
        </is>
      </c>
      <c r="L284" t="inlineStr">
        <is>
          <t>2026-10-08</t>
        </is>
      </c>
    </row>
    <row r="285">
      <c r="A285" t="n">
        <v>284</v>
      </c>
      <c r="B285" t="inlineStr">
        <is>
          <t>Actress</t>
        </is>
      </c>
      <c r="C285" t="inlineStr">
        <is>
          <t>Jennifer Coolidge</t>
        </is>
      </c>
      <c r="D285">
        <f>'Actress'!M31</f>
        <v/>
      </c>
      <c r="E285">
        <f>'Actress'!N31</f>
        <v/>
      </c>
      <c r="F285">
        <f>'Actress'!O31</f>
        <v/>
      </c>
      <c r="G285" t="n">
        <v>4</v>
      </c>
      <c r="I285" t="inlineStr">
        <is>
          <t>A Minecraft Movie Squared (Jul 23)</t>
        </is>
      </c>
      <c r="J285" t="inlineStr">
        <is>
          <t>C</t>
        </is>
      </c>
      <c r="K285" t="inlineStr">
        <is>
          <t>Wikipedia 'List of American films of 2027' casts (Actions-runner pull 2026-10-08) x comp-based box office/RT estimates; cast lists are billed leads only (cameos not captured)</t>
        </is>
      </c>
      <c r="L285" t="inlineStr">
        <is>
          <t>2026-10-08</t>
        </is>
      </c>
    </row>
    <row r="286">
      <c r="A286" t="n">
        <v>285</v>
      </c>
      <c r="B286" t="inlineStr">
        <is>
          <t>Tennis</t>
        </is>
      </c>
      <c r="C286" t="inlineStr">
        <is>
          <t>Karolina Muchova</t>
        </is>
      </c>
      <c r="D286">
        <f>'Tennis'!M21</f>
        <v/>
      </c>
      <c r="E286">
        <f>'Tennis'!N21</f>
        <v/>
      </c>
      <c r="F286">
        <f>'Tennis'!O21</f>
        <v/>
      </c>
      <c r="G286" t="n">
        <v>4</v>
      </c>
      <c r="I286" t="inlineStr">
        <is>
          <t>WTA 8 (2026-10-08)</t>
        </is>
      </c>
      <c r="J286" t="inlineStr">
        <is>
          <t>C</t>
        </is>
      </c>
      <c r="K286" t="inlineStr">
        <is>
          <t>ATP rank from league standings pull (A) / WTA via Olympics.com Oct 5; AO odds VegasInsider/Johnnybet Oct 2026; probabilities = agent estimates</t>
        </is>
      </c>
      <c r="L286" t="inlineStr">
        <is>
          <t>2026-10-08</t>
        </is>
      </c>
    </row>
    <row r="287">
      <c r="A287" t="n">
        <v>286</v>
      </c>
      <c r="B287" t="inlineStr">
        <is>
          <t>Golf</t>
        </is>
      </c>
      <c r="C287" t="inlineStr">
        <is>
          <t>Viktor Hovland</t>
        </is>
      </c>
      <c r="D287">
        <f>'Golf'!M17</f>
        <v/>
      </c>
      <c r="E287">
        <f>'Golf'!N17</f>
        <v/>
      </c>
      <c r="F287">
        <f>'Golf'!O17</f>
        <v/>
      </c>
      <c r="G287" t="n">
        <v>3</v>
      </c>
      <c r="I287" t="inlineStr">
        <is>
          <t>OWGR 13 (2026-10-08)</t>
        </is>
      </c>
      <c r="J287" t="inlineStr">
        <is>
          <t>C</t>
        </is>
      </c>
      <c r="K287" t="inlineStr">
        <is>
          <t>OWGR rank from league standings pull (A); major-win probabilities = model (rank-weighted share of 4 majors)</t>
        </is>
      </c>
      <c r="L287" t="inlineStr">
        <is>
          <t>2026-10-08</t>
        </is>
      </c>
    </row>
    <row r="288">
      <c r="A288" t="n">
        <v>287</v>
      </c>
      <c r="B288" t="inlineStr">
        <is>
          <t>Actor</t>
        </is>
      </c>
      <c r="C288" t="inlineStr">
        <is>
          <t>Jack Black</t>
        </is>
      </c>
      <c r="D288">
        <f>'Actor'!M58</f>
        <v/>
      </c>
      <c r="E288">
        <f>'Actor'!N58</f>
        <v/>
      </c>
      <c r="F288">
        <f>'Actor'!O58</f>
        <v/>
      </c>
      <c r="G288" t="n">
        <v>4</v>
      </c>
      <c r="I288" t="inlineStr">
        <is>
          <t>A Minecraft Movie Squared (Jul 23)</t>
        </is>
      </c>
      <c r="J288" t="inlineStr">
        <is>
          <t>C</t>
        </is>
      </c>
      <c r="K288" t="inlineStr">
        <is>
          <t>Wikipedia 'List of American films of 2027' casts (Actions-runner pull 2026-10-08) x comp-based box office/RT estimates; cast lists are billed leads only (cameos not captured)</t>
        </is>
      </c>
      <c r="L288" t="inlineStr">
        <is>
          <t>2026-10-08</t>
        </is>
      </c>
    </row>
    <row r="289">
      <c r="A289" t="n">
        <v>288</v>
      </c>
      <c r="B289" t="inlineStr">
        <is>
          <t>Country</t>
        </is>
      </c>
      <c r="C289" t="inlineStr">
        <is>
          <t>China</t>
        </is>
      </c>
      <c r="D289">
        <f>'Country'!M31</f>
        <v/>
      </c>
      <c r="E289">
        <f>'Country'!N31</f>
        <v/>
      </c>
      <c r="F289">
        <f>'Country'!O31</f>
        <v/>
      </c>
      <c r="G289" t="n">
        <v>4</v>
      </c>
      <c r="I289" t="inlineStr">
        <is>
          <t>IMF Jul 2026: 2027 = 4.2%</t>
        </is>
      </c>
      <c r="J289" t="inlineStr">
        <is>
          <t>A</t>
        </is>
      </c>
      <c r="K289" t="inlineStr">
        <is>
          <t>prior from IMF Jul-2026 update + regional outlooks; NO country-level 2027 table retrieved (IMF API blocked) — replace with the Oct 13 WEO</t>
        </is>
      </c>
      <c r="L289" t="inlineStr">
        <is>
          <t>2026-10-08</t>
        </is>
      </c>
    </row>
    <row r="290">
      <c r="A290" t="n">
        <v>289</v>
      </c>
      <c r="B290" t="inlineStr">
        <is>
          <t>NHL</t>
        </is>
      </c>
      <c r="C290" t="inlineStr">
        <is>
          <t>New Jersey Devils</t>
        </is>
      </c>
      <c r="D290">
        <f>'NHL'!M16</f>
        <v/>
      </c>
      <c r="E290">
        <f>'NHL'!N16</f>
        <v/>
      </c>
      <c r="F290">
        <f>'NHL'!O16</f>
        <v/>
      </c>
      <c r="G290" t="n">
        <v>3</v>
      </c>
      <c r="H290" t="inlineStr">
        <is>
          <t>Kalshi 3.5%</t>
        </is>
      </c>
      <c r="I290" t="inlineStr">
        <is>
          <t>East</t>
        </is>
      </c>
      <c r="J290" t="inlineStr">
        <is>
          <t>A</t>
        </is>
      </c>
      <c r="K290" t="inlineStr">
        <is>
          <t>KXNHL-27 exchange mid-price, pulled 2026-10-08; p(final)=KXNHLEAST/KXNHLWEST-27 Kalshi mid</t>
        </is>
      </c>
      <c r="L290" t="inlineStr">
        <is>
          <t>2026-10-08</t>
        </is>
      </c>
    </row>
    <row r="291">
      <c r="A291" t="n">
        <v>290</v>
      </c>
      <c r="B291" t="inlineStr">
        <is>
          <t>NFL</t>
        </is>
      </c>
      <c r="C291" t="inlineStr">
        <is>
          <t>Philadelphia Eagles</t>
        </is>
      </c>
      <c r="D291">
        <f>'NFL'!M15</f>
        <v/>
      </c>
      <c r="E291">
        <f>'NFL'!N15</f>
        <v/>
      </c>
      <c r="F291">
        <f>'NFL'!O15</f>
        <v/>
      </c>
      <c r="G291" t="n">
        <v>3</v>
      </c>
      <c r="H291" t="inlineStr">
        <is>
          <t>Kalshi 2.5%</t>
        </is>
      </c>
      <c r="I291" t="inlineStr">
        <is>
          <t>2-2, NFC East</t>
        </is>
      </c>
      <c r="J291" t="inlineStr">
        <is>
          <t>A</t>
        </is>
      </c>
      <c r="K291" t="inlineStr">
        <is>
          <t>KXSB-27 exchange mid-price, pulled 2026-10-08; p(final)=KXNFLAFCCHAMP/KXNFLNFCCHAMP-27 Kalshi mid</t>
        </is>
      </c>
      <c r="L291" t="inlineStr">
        <is>
          <t>2026-10-08</t>
        </is>
      </c>
    </row>
    <row r="292">
      <c r="A292" t="n">
        <v>291</v>
      </c>
      <c r="B292" t="inlineStr">
        <is>
          <t>MLB</t>
        </is>
      </c>
      <c r="C292" t="inlineStr">
        <is>
          <t>Texas Rangers</t>
        </is>
      </c>
      <c r="D292">
        <f>'MLB'!M21</f>
        <v/>
      </c>
      <c r="E292">
        <f>'MLB'!N21</f>
        <v/>
      </c>
      <c r="F292">
        <f>'MLB'!O21</f>
        <v/>
      </c>
      <c r="G292" t="n">
        <v>4</v>
      </c>
      <c r="I292" t="inlineStr">
        <is>
          <t>2026: 80-82 (.4938)</t>
        </is>
      </c>
      <c r="J292" t="inlineStr">
        <is>
          <t>C</t>
        </is>
      </c>
      <c r="K292" t="inlineStr">
        <is>
          <t>2026 win% from league standings (A); title prob = model estimate — no 2027 World Series odds posted</t>
        </is>
      </c>
      <c r="L292" t="inlineStr">
        <is>
          <t>2026-10-08</t>
        </is>
      </c>
    </row>
    <row r="293">
      <c r="A293" t="n">
        <v>292</v>
      </c>
      <c r="B293" t="inlineStr">
        <is>
          <t>MLS</t>
        </is>
      </c>
      <c r="C293" t="inlineStr">
        <is>
          <t>Atlanta United FC</t>
        </is>
      </c>
      <c r="D293">
        <f>'MLS'!M32</f>
        <v/>
      </c>
      <c r="E293">
        <f>'MLS'!N32</f>
        <v/>
      </c>
      <c r="F293">
        <f>'MLS'!O32</f>
        <v/>
      </c>
      <c r="G293" t="n">
        <v>4</v>
      </c>
      <c r="H293" t="inlineStr">
        <is>
          <t>2026 Cup: Kalshi 0.5%</t>
        </is>
      </c>
      <c r="I293" t="inlineStr">
        <is>
          <t>2026: 27 pts (as of 10-08; season ends Nov 7)</t>
        </is>
      </c>
      <c r="J293" t="inlineStr">
        <is>
          <t>C</t>
        </is>
      </c>
      <c r="K293" t="inlineStr">
        <is>
          <t>2026 points (league standings, A) + Kalshi KXMLSCUP-26 price as strength proxy, shrunk 50% toward the field</t>
        </is>
      </c>
      <c r="L293" t="inlineStr">
        <is>
          <t>2026-10-08</t>
        </is>
      </c>
    </row>
    <row r="294">
      <c r="A294" t="n">
        <v>293</v>
      </c>
      <c r="B294" t="inlineStr">
        <is>
          <t>Actor</t>
        </is>
      </c>
      <c r="C294" t="inlineStr">
        <is>
          <t>Laurence Fishburne</t>
        </is>
      </c>
      <c r="D294">
        <f>'Actor'!M59</f>
        <v/>
      </c>
      <c r="E294">
        <f>'Actor'!N59</f>
        <v/>
      </c>
      <c r="F294">
        <f>'Actor'!O59</f>
        <v/>
      </c>
      <c r="G294" t="n">
        <v>4</v>
      </c>
      <c r="I294" t="inlineStr">
        <is>
          <t>Gatto (Mar 5); The Exorcist: Martyrs (Mar 12)</t>
        </is>
      </c>
      <c r="J294" t="inlineStr">
        <is>
          <t>C</t>
        </is>
      </c>
      <c r="K294" t="inlineStr">
        <is>
          <t>Wikipedia 'List of American films of 2027' casts (Actions-runner pull 2026-10-08) x comp-based box office/RT estimates; cast lists are billed leads only (cameos not captured)</t>
        </is>
      </c>
      <c r="L294" t="inlineStr">
        <is>
          <t>2026-10-08</t>
        </is>
      </c>
    </row>
    <row r="295">
      <c r="A295" t="n">
        <v>294</v>
      </c>
      <c r="B295" t="inlineStr">
        <is>
          <t>Actor</t>
        </is>
      </c>
      <c r="C295" t="inlineStr">
        <is>
          <t>Benedict Cumberbatch</t>
        </is>
      </c>
      <c r="D295">
        <f>'Actor'!M60</f>
        <v/>
      </c>
      <c r="E295">
        <f>'Actor'!N60</f>
        <v/>
      </c>
      <c r="F295">
        <f>'Actor'!O60</f>
        <v/>
      </c>
      <c r="G295" t="n">
        <v>4</v>
      </c>
      <c r="I295" t="inlineStr">
        <is>
          <t>Avengers: Secret Wars (Dec 17); Wife &amp; Dog (Feb 19)</t>
        </is>
      </c>
      <c r="J295" t="inlineStr">
        <is>
          <t>C</t>
        </is>
      </c>
      <c r="K295" t="inlineStr">
        <is>
          <t>Wikipedia 'List of American films of 2027' casts (Actions-runner pull 2026-10-08) x comp-based box office/RT estimates; cast lists are billed leads only (cameos not captured)</t>
        </is>
      </c>
      <c r="L295" t="inlineStr">
        <is>
          <t>2026-10-08</t>
        </is>
      </c>
    </row>
    <row r="296">
      <c r="A296" t="n">
        <v>295</v>
      </c>
      <c r="B296" t="inlineStr">
        <is>
          <t>MLB</t>
        </is>
      </c>
      <c r="C296" t="inlineStr">
        <is>
          <t>New York Mets</t>
        </is>
      </c>
      <c r="D296">
        <f>'MLB'!M22</f>
        <v/>
      </c>
      <c r="E296">
        <f>'MLB'!N22</f>
        <v/>
      </c>
      <c r="F296">
        <f>'MLB'!O22</f>
        <v/>
      </c>
      <c r="G296" t="n">
        <v>4</v>
      </c>
      <c r="I296" t="inlineStr">
        <is>
          <t>2026: 74-88 (.4568)</t>
        </is>
      </c>
      <c r="J296" t="inlineStr">
        <is>
          <t>C</t>
        </is>
      </c>
      <c r="K296" t="inlineStr">
        <is>
          <t>2026 win% from league standings (A); title prob = model estimate — no 2027 World Series odds posted</t>
        </is>
      </c>
      <c r="L296" t="inlineStr">
        <is>
          <t>2026-10-08</t>
        </is>
      </c>
    </row>
    <row r="297">
      <c r="A297" t="n">
        <v>296</v>
      </c>
      <c r="B297" t="inlineStr">
        <is>
          <t>NCAAF</t>
        </is>
      </c>
      <c r="C297" t="inlineStr">
        <is>
          <t>Oregon</t>
        </is>
      </c>
      <c r="D297">
        <f>'NCAAF'!M12</f>
        <v/>
      </c>
      <c r="E297">
        <f>'NCAAF'!N12</f>
        <v/>
      </c>
      <c r="F297">
        <f>'NCAAF'!O12</f>
        <v/>
      </c>
      <c r="G297" t="n">
        <v>3</v>
      </c>
      <c r="H297" t="inlineStr">
        <is>
          <t>Kalshi 4.5%</t>
        </is>
      </c>
      <c r="I297" t="inlineStr">
        <is>
          <t>AP #13, 3-1, Big Ten</t>
        </is>
      </c>
      <c r="J297" t="inlineStr">
        <is>
          <t>A</t>
        </is>
      </c>
      <c r="K297" t="inlineStr">
        <is>
          <t>KXNCAAF-27 exchange mid-price, pulled 2026-10-08</t>
        </is>
      </c>
      <c r="L297" t="inlineStr">
        <is>
          <t>2026-10-08</t>
        </is>
      </c>
    </row>
    <row r="298">
      <c r="A298" t="n">
        <v>297</v>
      </c>
      <c r="B298" t="inlineStr">
        <is>
          <t>MLB</t>
        </is>
      </c>
      <c r="C298" t="inlineStr">
        <is>
          <t>Seattle Mariners</t>
        </is>
      </c>
      <c r="D298">
        <f>'MLB'!M23</f>
        <v/>
      </c>
      <c r="E298">
        <f>'MLB'!N23</f>
        <v/>
      </c>
      <c r="F298">
        <f>'MLB'!O23</f>
        <v/>
      </c>
      <c r="G298" t="n">
        <v>4</v>
      </c>
      <c r="I298" t="inlineStr">
        <is>
          <t>2026: 76-86 (.4691)</t>
        </is>
      </c>
      <c r="J298" t="inlineStr">
        <is>
          <t>C</t>
        </is>
      </c>
      <c r="K298" t="inlineStr">
        <is>
          <t>2026 win% from league standings (A); title prob = model estimate — no 2027 World Series odds posted</t>
        </is>
      </c>
      <c r="L298" t="inlineStr">
        <is>
          <t>2026-10-08</t>
        </is>
      </c>
    </row>
    <row r="299">
      <c r="A299" t="n">
        <v>298</v>
      </c>
      <c r="B299" t="inlineStr">
        <is>
          <t>Tennis</t>
        </is>
      </c>
      <c r="C299" t="inlineStr">
        <is>
          <t>Alex de Minaur</t>
        </is>
      </c>
      <c r="D299">
        <f>'Tennis'!M22</f>
        <v/>
      </c>
      <c r="E299">
        <f>'Tennis'!N22</f>
        <v/>
      </c>
      <c r="F299">
        <f>'Tennis'!O22</f>
        <v/>
      </c>
      <c r="G299" t="n">
        <v>4</v>
      </c>
      <c r="I299" t="inlineStr">
        <is>
          <t>ATP 9 (2026-10-08)</t>
        </is>
      </c>
      <c r="J299" t="inlineStr">
        <is>
          <t>C</t>
        </is>
      </c>
      <c r="K299" t="inlineStr">
        <is>
          <t>ATP rank from league standings pull (A) / WTA via Olympics.com Oct 5; AO odds VegasInsider/Johnnybet Oct 2026; probabilities = agent estimates</t>
        </is>
      </c>
      <c r="L299" t="inlineStr">
        <is>
          <t>2026-10-08</t>
        </is>
      </c>
    </row>
    <row r="300">
      <c r="A300" t="n">
        <v>299</v>
      </c>
      <c r="B300" t="inlineStr">
        <is>
          <t>Actor</t>
        </is>
      </c>
      <c r="C300" t="inlineStr">
        <is>
          <t>Ian McKellen</t>
        </is>
      </c>
      <c r="D300">
        <f>'Actor'!M61</f>
        <v/>
      </c>
      <c r="E300">
        <f>'Actor'!N61</f>
        <v/>
      </c>
      <c r="F300">
        <f>'Actor'!O61</f>
        <v/>
      </c>
      <c r="G300" t="n">
        <v>4</v>
      </c>
      <c r="I300" t="inlineStr">
        <is>
          <t>The Lord of the Rings: The Hunt for Gollum (Dec 17)</t>
        </is>
      </c>
      <c r="J300" t="inlineStr">
        <is>
          <t>C</t>
        </is>
      </c>
      <c r="K300" t="inlineStr">
        <is>
          <t>Wikipedia 'List of American films of 2027' casts (Actions-runner pull 2026-10-08) x comp-based box office/RT estimates; cast lists are billed leads only (cameos not captured)</t>
        </is>
      </c>
      <c r="L300" t="inlineStr">
        <is>
          <t>2026-10-08</t>
        </is>
      </c>
    </row>
    <row r="301">
      <c r="A301" t="n">
        <v>300</v>
      </c>
      <c r="B301" t="inlineStr">
        <is>
          <t>Golf</t>
        </is>
      </c>
      <c r="C301" t="inlineStr">
        <is>
          <t>Si Woo Kim</t>
        </is>
      </c>
      <c r="D301">
        <f>'Golf'!M18</f>
        <v/>
      </c>
      <c r="E301">
        <f>'Golf'!N18</f>
        <v/>
      </c>
      <c r="F301">
        <f>'Golf'!O18</f>
        <v/>
      </c>
      <c r="G301" t="n">
        <v>4</v>
      </c>
      <c r="I301" t="inlineStr">
        <is>
          <t>OWGR 14 (2026-10-08)</t>
        </is>
      </c>
      <c r="J301" t="inlineStr">
        <is>
          <t>C</t>
        </is>
      </c>
      <c r="K301" t="inlineStr">
        <is>
          <t>OWGR rank from league standings pull (A); major-win probabilities = model (rank-weighted share of 4 majors)</t>
        </is>
      </c>
      <c r="L301" t="inlineStr">
        <is>
          <t>2026-10-08</t>
        </is>
      </c>
    </row>
    <row r="302">
      <c r="A302" t="n">
        <v>301</v>
      </c>
      <c r="B302" t="inlineStr">
        <is>
          <t>Actor</t>
        </is>
      </c>
      <c r="C302" t="inlineStr">
        <is>
          <t>Lee Pace</t>
        </is>
      </c>
      <c r="D302">
        <f>'Actor'!M62</f>
        <v/>
      </c>
      <c r="E302">
        <f>'Actor'!N62</f>
        <v/>
      </c>
      <c r="F302">
        <f>'Actor'!O62</f>
        <v/>
      </c>
      <c r="G302" t="n">
        <v>4</v>
      </c>
      <c r="I302" t="inlineStr">
        <is>
          <t>The Lord of the Rings: The Hunt for Gollum (Dec 17)</t>
        </is>
      </c>
      <c r="J302" t="inlineStr">
        <is>
          <t>C</t>
        </is>
      </c>
      <c r="K302" t="inlineStr">
        <is>
          <t>Wikipedia 'List of American films of 2027' casts (Actions-runner pull 2026-10-08) x comp-based box office/RT estimates; cast lists are billed leads only (cameos not captured)</t>
        </is>
      </c>
      <c r="L302" t="inlineStr">
        <is>
          <t>2026-10-08</t>
        </is>
      </c>
    </row>
    <row r="303">
      <c r="A303" t="n">
        <v>302</v>
      </c>
      <c r="B303" t="inlineStr">
        <is>
          <t>Actor</t>
        </is>
      </c>
      <c r="C303" t="inlineStr">
        <is>
          <t>Leo Woodall</t>
        </is>
      </c>
      <c r="D303">
        <f>'Actor'!M63</f>
        <v/>
      </c>
      <c r="E303">
        <f>'Actor'!N63</f>
        <v/>
      </c>
      <c r="F303">
        <f>'Actor'!O63</f>
        <v/>
      </c>
      <c r="G303" t="n">
        <v>4</v>
      </c>
      <c r="I303" t="inlineStr">
        <is>
          <t>The Lord of the Rings: The Hunt for Gollum (Dec 17)</t>
        </is>
      </c>
      <c r="J303" t="inlineStr">
        <is>
          <t>C</t>
        </is>
      </c>
      <c r="K303" t="inlineStr">
        <is>
          <t>Wikipedia 'List of American films of 2027' casts (Actions-runner pull 2026-10-08) x comp-based box office/RT estimates; cast lists are billed leads only (cameos not captured)</t>
        </is>
      </c>
      <c r="L303" t="inlineStr">
        <is>
          <t>2026-10-08</t>
        </is>
      </c>
    </row>
    <row r="304">
      <c r="A304" t="n">
        <v>303</v>
      </c>
      <c r="B304" t="inlineStr">
        <is>
          <t>Actor</t>
        </is>
      </c>
      <c r="C304" t="inlineStr">
        <is>
          <t>Elijah Wood</t>
        </is>
      </c>
      <c r="D304">
        <f>'Actor'!M64</f>
        <v/>
      </c>
      <c r="E304">
        <f>'Actor'!N64</f>
        <v/>
      </c>
      <c r="F304">
        <f>'Actor'!O64</f>
        <v/>
      </c>
      <c r="G304" t="n">
        <v>4</v>
      </c>
      <c r="I304" t="inlineStr">
        <is>
          <t>The Lord of the Rings: The Hunt for Gollum (Dec 17)</t>
        </is>
      </c>
      <c r="J304" t="inlineStr">
        <is>
          <t>C</t>
        </is>
      </c>
      <c r="K304" t="inlineStr">
        <is>
          <t>Wikipedia 'List of American films of 2027' casts (Actions-runner pull 2026-10-08) x comp-based box office/RT estimates; cast lists are billed leads only (cameos not captured)</t>
        </is>
      </c>
      <c r="L304" t="inlineStr">
        <is>
          <t>2026-10-08</t>
        </is>
      </c>
    </row>
    <row r="305">
      <c r="A305" t="n">
        <v>304</v>
      </c>
      <c r="B305" t="inlineStr">
        <is>
          <t>Actor</t>
        </is>
      </c>
      <c r="C305" t="inlineStr">
        <is>
          <t>Andy Serkis</t>
        </is>
      </c>
      <c r="D305">
        <f>'Actor'!M65</f>
        <v/>
      </c>
      <c r="E305">
        <f>'Actor'!N65</f>
        <v/>
      </c>
      <c r="F305">
        <f>'Actor'!O65</f>
        <v/>
      </c>
      <c r="G305" t="n">
        <v>4</v>
      </c>
      <c r="I305" t="inlineStr">
        <is>
          <t>The Lord of the Rings: The Hunt for Gollum (Dec 17)</t>
        </is>
      </c>
      <c r="J305" t="inlineStr">
        <is>
          <t>C</t>
        </is>
      </c>
      <c r="K305" t="inlineStr">
        <is>
          <t>Wikipedia 'List of American films of 2027' casts (Actions-runner pull 2026-10-08) x comp-based box office/RT estimates; cast lists are billed leads only (cameos not captured)</t>
        </is>
      </c>
      <c r="L305" t="inlineStr">
        <is>
          <t>2026-10-08</t>
        </is>
      </c>
    </row>
    <row r="306">
      <c r="A306" t="n">
        <v>305</v>
      </c>
      <c r="B306" t="inlineStr">
        <is>
          <t>Actor</t>
        </is>
      </c>
      <c r="C306" t="inlineStr">
        <is>
          <t>Anthony Mackie</t>
        </is>
      </c>
      <c r="D306">
        <f>'Actor'!M66</f>
        <v/>
      </c>
      <c r="E306">
        <f>'Actor'!N66</f>
        <v/>
      </c>
      <c r="F306">
        <f>'Actor'!O66</f>
        <v/>
      </c>
      <c r="G306" t="n">
        <v>4</v>
      </c>
      <c r="I306" t="inlineStr">
        <is>
          <t>Avengers: Secret Wars (Dec 17)</t>
        </is>
      </c>
      <c r="J306" t="inlineStr">
        <is>
          <t>C</t>
        </is>
      </c>
      <c r="K306" t="inlineStr">
        <is>
          <t>Wikipedia 'List of American films of 2027' casts (Actions-runner pull 2026-10-08) x comp-based box office/RT estimates; cast lists are billed leads only (cameos not captured)</t>
        </is>
      </c>
      <c r="L306" t="inlineStr">
        <is>
          <t>2026-10-08</t>
        </is>
      </c>
    </row>
    <row r="307">
      <c r="A307" t="n">
        <v>306</v>
      </c>
      <c r="B307" t="inlineStr">
        <is>
          <t>Actor</t>
        </is>
      </c>
      <c r="C307" t="inlineStr">
        <is>
          <t>Jamie Dornan</t>
        </is>
      </c>
      <c r="D307">
        <f>'Actor'!M67</f>
        <v/>
      </c>
      <c r="E307">
        <f>'Actor'!N67</f>
        <v/>
      </c>
      <c r="F307">
        <f>'Actor'!O67</f>
        <v/>
      </c>
      <c r="G307" t="n">
        <v>4</v>
      </c>
      <c r="I307" t="inlineStr">
        <is>
          <t>The Lord of the Rings: The Hunt for Gollum (Dec 17)</t>
        </is>
      </c>
      <c r="J307" t="inlineStr">
        <is>
          <t>C</t>
        </is>
      </c>
      <c r="K307" t="inlineStr">
        <is>
          <t>Wikipedia 'List of American films of 2027' casts (Actions-runner pull 2026-10-08) x comp-based box office/RT estimates; cast lists are billed leads only (cameos not captured)</t>
        </is>
      </c>
      <c r="L307" t="inlineStr">
        <is>
          <t>2026-10-08</t>
        </is>
      </c>
    </row>
    <row r="308">
      <c r="A308" t="n">
        <v>307</v>
      </c>
      <c r="B308" t="inlineStr">
        <is>
          <t>NCAAB</t>
        </is>
      </c>
      <c r="C308" t="inlineStr">
        <is>
          <t>Kentucky</t>
        </is>
      </c>
      <c r="D308">
        <f>'NCAAB'!M14</f>
        <v/>
      </c>
      <c r="E308">
        <f>'NCAAB'!N14</f>
        <v/>
      </c>
      <c r="F308">
        <f>'NCAAB'!O14</f>
        <v/>
      </c>
      <c r="G308" t="n">
        <v>3</v>
      </c>
      <c r="I308" t="inlineStr"/>
      <c r="J308" t="inlineStr">
        <is>
          <t>C</t>
        </is>
      </c>
      <c r="K308" t="inlineStr">
        <is>
          <t>estimate</t>
        </is>
      </c>
      <c r="L308" t="inlineStr">
        <is>
          <t>2026-10-08</t>
        </is>
      </c>
    </row>
    <row r="309">
      <c r="A309" t="n">
        <v>308</v>
      </c>
      <c r="B309" t="inlineStr">
        <is>
          <t>Actor</t>
        </is>
      </c>
      <c r="C309" t="inlineStr">
        <is>
          <t>Joseph Quinn</t>
        </is>
      </c>
      <c r="D309">
        <f>'Actor'!M68</f>
        <v/>
      </c>
      <c r="E309">
        <f>'Actor'!N68</f>
        <v/>
      </c>
      <c r="F309">
        <f>'Actor'!O68</f>
        <v/>
      </c>
      <c r="G309" t="n">
        <v>4</v>
      </c>
      <c r="I309" t="inlineStr">
        <is>
          <t>Avengers: Secret Wars (Dec 17)</t>
        </is>
      </c>
      <c r="J309" t="inlineStr">
        <is>
          <t>C</t>
        </is>
      </c>
      <c r="K309" t="inlineStr">
        <is>
          <t>Wikipedia 'List of American films of 2027' casts (Actions-runner pull 2026-10-08) x comp-based box office/RT estimates; cast lists are billed leads only (cameos not captured)</t>
        </is>
      </c>
      <c r="L309" t="inlineStr">
        <is>
          <t>2026-10-08</t>
        </is>
      </c>
    </row>
    <row r="310">
      <c r="A310" t="n">
        <v>309</v>
      </c>
      <c r="B310" t="inlineStr">
        <is>
          <t>Actor</t>
        </is>
      </c>
      <c r="C310" t="inlineStr">
        <is>
          <t>Simu Liu</t>
        </is>
      </c>
      <c r="D310">
        <f>'Actor'!M69</f>
        <v/>
      </c>
      <c r="E310">
        <f>'Actor'!N69</f>
        <v/>
      </c>
      <c r="F310">
        <f>'Actor'!O69</f>
        <v/>
      </c>
      <c r="G310" t="n">
        <v>4</v>
      </c>
      <c r="I310" t="inlineStr">
        <is>
          <t>Avengers: Secret Wars (Dec 17)</t>
        </is>
      </c>
      <c r="J310" t="inlineStr">
        <is>
          <t>C</t>
        </is>
      </c>
      <c r="K310" t="inlineStr">
        <is>
          <t>Wikipedia 'List of American films of 2027' casts (Actions-runner pull 2026-10-08) x comp-based box office/RT estimates; cast lists are billed leads only (cameos not captured)</t>
        </is>
      </c>
      <c r="L310" t="inlineStr">
        <is>
          <t>2026-10-08</t>
        </is>
      </c>
    </row>
    <row r="311">
      <c r="A311" t="n">
        <v>310</v>
      </c>
      <c r="B311" t="inlineStr">
        <is>
          <t>Actor</t>
        </is>
      </c>
      <c r="C311" t="inlineStr">
        <is>
          <t>Ebon Moss-Bachrach</t>
        </is>
      </c>
      <c r="D311">
        <f>'Actor'!M70</f>
        <v/>
      </c>
      <c r="E311">
        <f>'Actor'!N70</f>
        <v/>
      </c>
      <c r="F311">
        <f>'Actor'!O70</f>
        <v/>
      </c>
      <c r="G311" t="n">
        <v>4</v>
      </c>
      <c r="I311" t="inlineStr">
        <is>
          <t>Avengers: Secret Wars (Dec 17)</t>
        </is>
      </c>
      <c r="J311" t="inlineStr">
        <is>
          <t>C</t>
        </is>
      </c>
      <c r="K311" t="inlineStr">
        <is>
          <t>Wikipedia 'List of American films of 2027' casts (Actions-runner pull 2026-10-08) x comp-based box office/RT estimates; cast lists are billed leads only (cameos not captured)</t>
        </is>
      </c>
      <c r="L311" t="inlineStr">
        <is>
          <t>2026-10-08</t>
        </is>
      </c>
    </row>
    <row r="312">
      <c r="A312" t="n">
        <v>311</v>
      </c>
      <c r="B312" t="inlineStr">
        <is>
          <t>MLS</t>
        </is>
      </c>
      <c r="C312" t="inlineStr">
        <is>
          <t>CF Montréal</t>
        </is>
      </c>
      <c r="D312">
        <f>'MLS'!M33</f>
        <v/>
      </c>
      <c r="E312">
        <f>'MLS'!N33</f>
        <v/>
      </c>
      <c r="F312">
        <f>'MLS'!O33</f>
        <v/>
      </c>
      <c r="G312" t="n">
        <v>4</v>
      </c>
      <c r="H312" t="inlineStr">
        <is>
          <t>2026 Cup: Kalshi 0.5%</t>
        </is>
      </c>
      <c r="I312" t="inlineStr">
        <is>
          <t>2026: 24 pts (as of 10-08; season ends Nov 7)</t>
        </is>
      </c>
      <c r="J312" t="inlineStr">
        <is>
          <t>C</t>
        </is>
      </c>
      <c r="K312" t="inlineStr">
        <is>
          <t>2026 points (league standings, A) + Kalshi KXMLSCUP-26 price as strength proxy, shrunk 50% toward the field</t>
        </is>
      </c>
      <c r="L312" t="inlineStr">
        <is>
          <t>2026-10-08</t>
        </is>
      </c>
    </row>
    <row r="313">
      <c r="A313" t="n">
        <v>312</v>
      </c>
      <c r="B313" t="inlineStr">
        <is>
          <t>Actress</t>
        </is>
      </c>
      <c r="C313" t="inlineStr">
        <is>
          <t>Kate Winslet</t>
        </is>
      </c>
      <c r="D313">
        <f>'Actress'!M32</f>
        <v/>
      </c>
      <c r="E313">
        <f>'Actress'!N32</f>
        <v/>
      </c>
      <c r="F313">
        <f>'Actress'!O32</f>
        <v/>
      </c>
      <c r="G313" t="n">
        <v>4</v>
      </c>
      <c r="I313" t="inlineStr">
        <is>
          <t>The Lord of the Rings: The Hunt for Gollum (Dec 17); Charlie vs. the Chocolate Factory (Nov 5)</t>
        </is>
      </c>
      <c r="J313" t="inlineStr">
        <is>
          <t>C</t>
        </is>
      </c>
      <c r="K313" t="inlineStr">
        <is>
          <t>Wikipedia 'List of American films of 2027' casts (Actions-runner pull 2026-10-08) x comp-based box office/RT estimates; cast lists are billed leads only (cameos not captured)</t>
        </is>
      </c>
      <c r="L313" t="inlineStr">
        <is>
          <t>2026-10-08</t>
        </is>
      </c>
    </row>
    <row r="314">
      <c r="A314" t="n">
        <v>313</v>
      </c>
      <c r="B314" t="inlineStr">
        <is>
          <t>Actor</t>
        </is>
      </c>
      <c r="C314" t="inlineStr">
        <is>
          <t>Robert Downey Jr.</t>
        </is>
      </c>
      <c r="D314">
        <f>'Actor'!M71</f>
        <v/>
      </c>
      <c r="E314">
        <f>'Actor'!N71</f>
        <v/>
      </c>
      <c r="F314">
        <f>'Actor'!O71</f>
        <v/>
      </c>
      <c r="G314" t="n">
        <v>4</v>
      </c>
      <c r="I314" t="inlineStr">
        <is>
          <t>Avengers: Secret Wars (Dec 17)</t>
        </is>
      </c>
      <c r="J314" t="inlineStr">
        <is>
          <t>C</t>
        </is>
      </c>
      <c r="K314" t="inlineStr">
        <is>
          <t>Wikipedia 'List of American films of 2027' casts (Actions-runner pull 2026-10-08) x comp-based box office/RT estimates; cast lists are billed leads only (cameos not captured)</t>
        </is>
      </c>
      <c r="L314" t="inlineStr">
        <is>
          <t>2026-10-08</t>
        </is>
      </c>
    </row>
    <row r="315">
      <c r="A315" t="n">
        <v>314</v>
      </c>
      <c r="B315" t="inlineStr">
        <is>
          <t>NHL</t>
        </is>
      </c>
      <c r="C315" t="inlineStr">
        <is>
          <t>Anaheim Ducks</t>
        </is>
      </c>
      <c r="D315">
        <f>'NHL'!M17</f>
        <v/>
      </c>
      <c r="E315">
        <f>'NHL'!N17</f>
        <v/>
      </c>
      <c r="F315">
        <f>'NHL'!O17</f>
        <v/>
      </c>
      <c r="G315" t="n">
        <v>3</v>
      </c>
      <c r="H315" t="inlineStr">
        <is>
          <t>Kalshi 3.5%</t>
        </is>
      </c>
      <c r="I315" t="inlineStr">
        <is>
          <t>West</t>
        </is>
      </c>
      <c r="J315" t="inlineStr">
        <is>
          <t>A</t>
        </is>
      </c>
      <c r="K315" t="inlineStr">
        <is>
          <t>KXNHL-27 exchange mid-price, pulled 2026-10-08; p(final)=KXNHLEAST/KXNHLWEST-27 Kalshi mid</t>
        </is>
      </c>
      <c r="L315" t="inlineStr">
        <is>
          <t>2026-10-08</t>
        </is>
      </c>
    </row>
    <row r="316">
      <c r="A316" t="n">
        <v>315</v>
      </c>
      <c r="B316" t="inlineStr">
        <is>
          <t>Actor</t>
        </is>
      </c>
      <c r="C316" t="inlineStr">
        <is>
          <t>Paul Bettany</t>
        </is>
      </c>
      <c r="D316">
        <f>'Actor'!M72</f>
        <v/>
      </c>
      <c r="E316">
        <f>'Actor'!N72</f>
        <v/>
      </c>
      <c r="F316">
        <f>'Actor'!O72</f>
        <v/>
      </c>
      <c r="G316" t="n">
        <v>4</v>
      </c>
      <c r="I316" t="inlineStr">
        <is>
          <t>Avengers: Secret Wars (Dec 17)</t>
        </is>
      </c>
      <c r="J316" t="inlineStr">
        <is>
          <t>C</t>
        </is>
      </c>
      <c r="K316" t="inlineStr">
        <is>
          <t>Wikipedia 'List of American films of 2027' casts (Actions-runner pull 2026-10-08) x comp-based box office/RT estimates; cast lists are billed leads only (cameos not captured)</t>
        </is>
      </c>
      <c r="L316" t="inlineStr">
        <is>
          <t>2026-10-08</t>
        </is>
      </c>
    </row>
    <row r="317">
      <c r="A317" t="n">
        <v>316</v>
      </c>
      <c r="B317" t="inlineStr">
        <is>
          <t>Actor</t>
        </is>
      </c>
      <c r="C317" t="inlineStr">
        <is>
          <t>Chris Evans</t>
        </is>
      </c>
      <c r="D317">
        <f>'Actor'!M73</f>
        <v/>
      </c>
      <c r="E317">
        <f>'Actor'!N73</f>
        <v/>
      </c>
      <c r="F317">
        <f>'Actor'!O73</f>
        <v/>
      </c>
      <c r="G317" t="n">
        <v>4</v>
      </c>
      <c r="I317" t="inlineStr">
        <is>
          <t>Avengers: Secret Wars (Dec 17)</t>
        </is>
      </c>
      <c r="J317" t="inlineStr">
        <is>
          <t>C</t>
        </is>
      </c>
      <c r="K317" t="inlineStr">
        <is>
          <t>Wikipedia 'List of American films of 2027' casts (Actions-runner pull 2026-10-08) x comp-based box office/RT estimates; cast lists are billed leads only (cameos not captured)</t>
        </is>
      </c>
      <c r="L317" t="inlineStr">
        <is>
          <t>2026-10-08</t>
        </is>
      </c>
    </row>
    <row r="318">
      <c r="A318" t="n">
        <v>317</v>
      </c>
      <c r="B318" t="inlineStr">
        <is>
          <t>Actress</t>
        </is>
      </c>
      <c r="C318" t="inlineStr">
        <is>
          <t>Anya Taylor-Joy</t>
        </is>
      </c>
      <c r="D318">
        <f>'Actress'!M33</f>
        <v/>
      </c>
      <c r="E318">
        <f>'Actress'!N33</f>
        <v/>
      </c>
      <c r="F318">
        <f>'Actress'!O33</f>
        <v/>
      </c>
      <c r="G318" t="n">
        <v>4</v>
      </c>
      <c r="I318" t="inlineStr">
        <is>
          <t>The Lord of the Rings: The Hunt for Gollum (Dec 17)</t>
        </is>
      </c>
      <c r="J318" t="inlineStr">
        <is>
          <t>C</t>
        </is>
      </c>
      <c r="K318" t="inlineStr">
        <is>
          <t>Wikipedia 'List of American films of 2027' casts (Actions-runner pull 2026-10-08) x comp-based box office/RT estimates; cast lists are billed leads only (cameos not captured)</t>
        </is>
      </c>
      <c r="L318" t="inlineStr">
        <is>
          <t>2026-10-08</t>
        </is>
      </c>
    </row>
    <row r="319">
      <c r="A319" t="n">
        <v>318</v>
      </c>
      <c r="B319" t="inlineStr">
        <is>
          <t>Actress</t>
        </is>
      </c>
      <c r="C319" t="inlineStr">
        <is>
          <t>Hayley Atwell</t>
        </is>
      </c>
      <c r="D319">
        <f>'Actress'!M34</f>
        <v/>
      </c>
      <c r="E319">
        <f>'Actress'!N34</f>
        <v/>
      </c>
      <c r="F319">
        <f>'Actress'!O34</f>
        <v/>
      </c>
      <c r="G319" t="n">
        <v>4</v>
      </c>
      <c r="I319" t="inlineStr">
        <is>
          <t>Avengers: Secret Wars (Dec 17)</t>
        </is>
      </c>
      <c r="J319" t="inlineStr">
        <is>
          <t>C</t>
        </is>
      </c>
      <c r="K319" t="inlineStr">
        <is>
          <t>Wikipedia 'List of American films of 2027' casts (Actions-runner pull 2026-10-08) x comp-based box office/RT estimates; cast lists are billed leads only (cameos not captured)</t>
        </is>
      </c>
      <c r="L319" t="inlineStr">
        <is>
          <t>2026-10-08</t>
        </is>
      </c>
    </row>
    <row r="320">
      <c r="A320" t="n">
        <v>319</v>
      </c>
      <c r="B320" t="inlineStr">
        <is>
          <t>Actress</t>
        </is>
      </c>
      <c r="C320" t="inlineStr">
        <is>
          <t>Sadie Sink</t>
        </is>
      </c>
      <c r="D320">
        <f>'Actress'!M35</f>
        <v/>
      </c>
      <c r="E320">
        <f>'Actress'!N35</f>
        <v/>
      </c>
      <c r="F320">
        <f>'Actress'!O35</f>
        <v/>
      </c>
      <c r="G320" t="n">
        <v>4</v>
      </c>
      <c r="I320" t="inlineStr">
        <is>
          <t>Avengers: Secret Wars (Dec 17)</t>
        </is>
      </c>
      <c r="J320" t="inlineStr">
        <is>
          <t>C</t>
        </is>
      </c>
      <c r="K320" t="inlineStr">
        <is>
          <t>Wikipedia 'List of American films of 2027' casts (Actions-runner pull 2026-10-08) x comp-based box office/RT estimates; cast lists are billed leads only (cameos not captured)</t>
        </is>
      </c>
      <c r="L320" t="inlineStr">
        <is>
          <t>2026-10-08</t>
        </is>
      </c>
    </row>
    <row r="321">
      <c r="A321" t="n">
        <v>320</v>
      </c>
      <c r="B321" t="inlineStr">
        <is>
          <t>Musician</t>
        </is>
      </c>
      <c r="C321" t="inlineStr">
        <is>
          <t>Bad Bunny</t>
        </is>
      </c>
      <c r="D321">
        <f>'Musician'!M18</f>
        <v/>
      </c>
      <c r="E321">
        <f>'Musician'!N18</f>
        <v/>
      </c>
      <c r="F321">
        <f>'Musician'!O18</f>
        <v/>
      </c>
      <c r="G321" t="n">
        <v>4</v>
      </c>
      <c r="H321" t="inlineStr">
        <is>
          <t>Grammy EV 1.1</t>
        </is>
      </c>
      <c r="I321" t="inlineStr">
        <is>
          <t>Won AOTY (Feb 2026); acting in The Comebacker (Jul 30, 2027)</t>
        </is>
      </c>
      <c r="J321" t="inlineStr">
        <is>
          <t>C</t>
        </is>
      </c>
      <c r="K321" t="inlineStr">
        <is>
          <t>2027 Hot 100 baseline = my estimate; Grammy: estimate (C)</t>
        </is>
      </c>
      <c r="L321" t="inlineStr">
        <is>
          <t>2026-10-08</t>
        </is>
      </c>
    </row>
    <row r="322">
      <c r="A322" t="n">
        <v>321</v>
      </c>
      <c r="B322" t="inlineStr">
        <is>
          <t>Actress</t>
        </is>
      </c>
      <c r="C322" t="inlineStr">
        <is>
          <t>Vanessa Kirby</t>
        </is>
      </c>
      <c r="D322">
        <f>'Actress'!M36</f>
        <v/>
      </c>
      <c r="E322">
        <f>'Actress'!N36</f>
        <v/>
      </c>
      <c r="F322">
        <f>'Actress'!O36</f>
        <v/>
      </c>
      <c r="G322" t="n">
        <v>4</v>
      </c>
      <c r="I322" t="inlineStr">
        <is>
          <t>Avengers: Secret Wars (Dec 17)</t>
        </is>
      </c>
      <c r="J322" t="inlineStr">
        <is>
          <t>C</t>
        </is>
      </c>
      <c r="K322" t="inlineStr">
        <is>
          <t>Wikipedia 'List of American films of 2027' casts (Actions-runner pull 2026-10-08) x comp-based box office/RT estimates; cast lists are billed leads only (cameos not captured)</t>
        </is>
      </c>
      <c r="L322" t="inlineStr">
        <is>
          <t>2026-10-08</t>
        </is>
      </c>
    </row>
    <row r="323">
      <c r="A323" t="n">
        <v>322</v>
      </c>
      <c r="B323" t="inlineStr">
        <is>
          <t>Actress</t>
        </is>
      </c>
      <c r="C323" t="inlineStr">
        <is>
          <t>Letitia Wright</t>
        </is>
      </c>
      <c r="D323">
        <f>'Actress'!M37</f>
        <v/>
      </c>
      <c r="E323">
        <f>'Actress'!N37</f>
        <v/>
      </c>
      <c r="F323">
        <f>'Actress'!O37</f>
        <v/>
      </c>
      <c r="G323" t="n">
        <v>4</v>
      </c>
      <c r="I323" t="inlineStr">
        <is>
          <t>Avengers: Secret Wars (Dec 17)</t>
        </is>
      </c>
      <c r="J323" t="inlineStr">
        <is>
          <t>C</t>
        </is>
      </c>
      <c r="K323" t="inlineStr">
        <is>
          <t>Wikipedia 'List of American films of 2027' casts (Actions-runner pull 2026-10-08) x comp-based box office/RT estimates; cast lists are billed leads only (cameos not captured)</t>
        </is>
      </c>
      <c r="L323" t="inlineStr">
        <is>
          <t>2026-10-08</t>
        </is>
      </c>
    </row>
    <row r="324">
      <c r="A324" t="n">
        <v>323</v>
      </c>
      <c r="B324" t="inlineStr">
        <is>
          <t>NCAAF</t>
        </is>
      </c>
      <c r="C324" t="inlineStr">
        <is>
          <t>LSU</t>
        </is>
      </c>
      <c r="D324">
        <f>'NCAAF'!M13</f>
        <v/>
      </c>
      <c r="E324">
        <f>'NCAAF'!N13</f>
        <v/>
      </c>
      <c r="F324">
        <f>'NCAAF'!O13</f>
        <v/>
      </c>
      <c r="G324" t="n">
        <v>3</v>
      </c>
      <c r="H324" t="inlineStr">
        <is>
          <t>Kalshi 4.5%</t>
        </is>
      </c>
      <c r="I324" t="inlineStr">
        <is>
          <t>AP #10, 4-1, SEC</t>
        </is>
      </c>
      <c r="J324" t="inlineStr">
        <is>
          <t>A</t>
        </is>
      </c>
      <c r="K324" t="inlineStr">
        <is>
          <t>KXNCAAF-27 exchange mid-price, pulled 2026-10-08</t>
        </is>
      </c>
      <c r="L324" t="inlineStr">
        <is>
          <t>2026-10-08</t>
        </is>
      </c>
    </row>
    <row r="325">
      <c r="A325" t="n">
        <v>324</v>
      </c>
      <c r="B325" t="inlineStr">
        <is>
          <t>Musician</t>
        </is>
      </c>
      <c r="C325" t="inlineStr">
        <is>
          <t>Phoebe Bridgers</t>
        </is>
      </c>
      <c r="D325">
        <f>'Musician'!M19</f>
        <v/>
      </c>
      <c r="E325">
        <f>'Musician'!N19</f>
        <v/>
      </c>
      <c r="F325">
        <f>'Musician'!O19</f>
        <v/>
      </c>
      <c r="G325" t="n">
        <v>4</v>
      </c>
      <c r="H325" t="inlineStr">
        <is>
          <t>Grammy EV 3.9</t>
        </is>
      </c>
      <c r="I325" t="inlineStr">
        <is>
          <t>Lost Weekend (AOTY nominee candidate)</t>
        </is>
      </c>
      <c r="J325" t="inlineStr">
        <is>
          <t>C</t>
        </is>
      </c>
      <c r="K325" t="inlineStr">
        <is>
          <t>2027 Hot 100 baseline = my estimate; Grammy: Kalshi KXGRAM*-69 prices (A) + estimates for other categories (C)</t>
        </is>
      </c>
      <c r="L325" t="inlineStr">
        <is>
          <t>2026-10-08</t>
        </is>
      </c>
    </row>
    <row r="326">
      <c r="A326" t="n">
        <v>325</v>
      </c>
      <c r="B326" t="inlineStr">
        <is>
          <t>MLB</t>
        </is>
      </c>
      <c r="C326" t="inlineStr">
        <is>
          <t>Detroit Tigers</t>
        </is>
      </c>
      <c r="D326">
        <f>'MLB'!M24</f>
        <v/>
      </c>
      <c r="E326">
        <f>'MLB'!N24</f>
        <v/>
      </c>
      <c r="F326">
        <f>'MLB'!O24</f>
        <v/>
      </c>
      <c r="G326" t="n">
        <v>4</v>
      </c>
      <c r="I326" t="inlineStr">
        <is>
          <t>2026: 76-86 (.4691)</t>
        </is>
      </c>
      <c r="J326" t="inlineStr">
        <is>
          <t>C</t>
        </is>
      </c>
      <c r="K326" t="inlineStr">
        <is>
          <t>2026 win% from league standings (A); title prob = model estimate — no 2027 World Series odds posted</t>
        </is>
      </c>
      <c r="L326" t="inlineStr">
        <is>
          <t>2026-10-08</t>
        </is>
      </c>
    </row>
    <row r="327">
      <c r="A327" t="n">
        <v>326</v>
      </c>
      <c r="B327" t="inlineStr">
        <is>
          <t>Musician</t>
        </is>
      </c>
      <c r="C327" t="inlineStr">
        <is>
          <t>Kendrick Lamar</t>
        </is>
      </c>
      <c r="D327">
        <f>'Musician'!M20</f>
        <v/>
      </c>
      <c r="E327">
        <f>'Musician'!N20</f>
        <v/>
      </c>
      <c r="F327">
        <f>'Musician'!O20</f>
        <v/>
      </c>
      <c r="G327" t="n">
        <v>4</v>
      </c>
      <c r="H327" t="inlineStr">
        <is>
          <t>Grammy EV 0.9</t>
        </is>
      </c>
      <c r="I327" t="inlineStr">
        <is>
          <t>GNX cycle ended Feb 2026; nothing eligible found</t>
        </is>
      </c>
      <c r="J327" t="inlineStr">
        <is>
          <t>C</t>
        </is>
      </c>
      <c r="K327" t="inlineStr">
        <is>
          <t>2027 Hot 100 baseline = my estimate; Grammy: estimate (C)</t>
        </is>
      </c>
      <c r="L327" t="inlineStr">
        <is>
          <t>2026-10-08</t>
        </is>
      </c>
    </row>
    <row r="328">
      <c r="A328" t="n">
        <v>327</v>
      </c>
      <c r="B328" t="inlineStr">
        <is>
          <t>Golf</t>
        </is>
      </c>
      <c r="C328" t="inlineStr">
        <is>
          <t>Jon Rahm</t>
        </is>
      </c>
      <c r="D328">
        <f>'Golf'!M19</f>
        <v/>
      </c>
      <c r="E328">
        <f>'Golf'!N19</f>
        <v/>
      </c>
      <c r="F328">
        <f>'Golf'!O19</f>
        <v/>
      </c>
      <c r="G328" t="n">
        <v>4</v>
      </c>
      <c r="I328" t="inlineStr">
        <is>
          <t>OWGR 15 (2026-10-08)</t>
        </is>
      </c>
      <c r="J328" t="inlineStr">
        <is>
          <t>C</t>
        </is>
      </c>
      <c r="K328" t="inlineStr">
        <is>
          <t>OWGR rank from league standings pull (A); major-win probabilities = model (rank-weighted share of 4 majors)</t>
        </is>
      </c>
      <c r="L328" t="inlineStr">
        <is>
          <t>2026-10-08</t>
        </is>
      </c>
    </row>
    <row r="329">
      <c r="A329" t="n">
        <v>328</v>
      </c>
      <c r="B329" t="inlineStr">
        <is>
          <t>Actor</t>
        </is>
      </c>
      <c r="C329" t="inlineStr">
        <is>
          <t>Mark Ruffalo</t>
        </is>
      </c>
      <c r="D329">
        <f>'Actor'!M74</f>
        <v/>
      </c>
      <c r="E329">
        <f>'Actor'!N74</f>
        <v/>
      </c>
      <c r="F329">
        <f>'Actor'!O74</f>
        <v/>
      </c>
      <c r="G329" t="n">
        <v>4</v>
      </c>
      <c r="I329" t="inlineStr">
        <is>
          <t>Gatto (Mar 5)</t>
        </is>
      </c>
      <c r="J329" t="inlineStr">
        <is>
          <t>C</t>
        </is>
      </c>
      <c r="K329" t="inlineStr">
        <is>
          <t>Wikipedia 'List of American films of 2027' casts (Actions-runner pull 2026-10-08) x comp-based box office/RT estimates; cast lists are billed leads only (cameos not captured)</t>
        </is>
      </c>
      <c r="L329" t="inlineStr">
        <is>
          <t>2026-10-08</t>
        </is>
      </c>
    </row>
    <row r="330">
      <c r="A330" t="n">
        <v>329</v>
      </c>
      <c r="B330" t="inlineStr">
        <is>
          <t>MLS</t>
        </is>
      </c>
      <c r="C330" t="inlineStr">
        <is>
          <t>Sporting Kansas City</t>
        </is>
      </c>
      <c r="D330">
        <f>'MLS'!M34</f>
        <v/>
      </c>
      <c r="E330">
        <f>'MLS'!N34</f>
        <v/>
      </c>
      <c r="F330">
        <f>'MLS'!O34</f>
        <v/>
      </c>
      <c r="G330" t="n">
        <v>4</v>
      </c>
      <c r="H330" t="inlineStr">
        <is>
          <t>2026 Cup: Kalshi 0.5%</t>
        </is>
      </c>
      <c r="I330" t="inlineStr">
        <is>
          <t>2026: 21 pts (as of 10-08; season ends Nov 7)</t>
        </is>
      </c>
      <c r="J330" t="inlineStr">
        <is>
          <t>C</t>
        </is>
      </c>
      <c r="K330" t="inlineStr">
        <is>
          <t>2026 points (league standings, A) + Kalshi KXMLSCUP-26 price as strength proxy, shrunk 50% toward the field</t>
        </is>
      </c>
      <c r="L330" t="inlineStr">
        <is>
          <t>2026-10-08</t>
        </is>
      </c>
    </row>
    <row r="331">
      <c r="A331" t="n">
        <v>330</v>
      </c>
      <c r="B331" t="inlineStr">
        <is>
          <t>NBA</t>
        </is>
      </c>
      <c r="C331" t="inlineStr">
        <is>
          <t>Indiana Pacers</t>
        </is>
      </c>
      <c r="D331">
        <f>'NBA'!M18</f>
        <v/>
      </c>
      <c r="E331">
        <f>'NBA'!N18</f>
        <v/>
      </c>
      <c r="F331">
        <f>'NBA'!O18</f>
        <v/>
      </c>
      <c r="G331" t="n">
        <v>4</v>
      </c>
      <c r="H331" t="inlineStr">
        <is>
          <t>Kalshi 1.5%</t>
        </is>
      </c>
      <c r="I331" t="inlineStr">
        <is>
          <t>East; win total 44.5</t>
        </is>
      </c>
      <c r="J331" t="inlineStr">
        <is>
          <t>A</t>
        </is>
      </c>
      <c r="K331" t="inlineStr">
        <is>
          <t>KXNBA-27 exchange mid-price, pulled 2026-10-08; p(final)=KXNBAEAST/KXNBAWEST-27 Kalshi mid</t>
        </is>
      </c>
      <c r="L331" t="inlineStr">
        <is>
          <t>2026-10-08</t>
        </is>
      </c>
    </row>
    <row r="332">
      <c r="A332" t="n">
        <v>331</v>
      </c>
      <c r="B332" t="inlineStr">
        <is>
          <t>Tennis</t>
        </is>
      </c>
      <c r="C332" t="inlineStr">
        <is>
          <t>Frances Tiafoe</t>
        </is>
      </c>
      <c r="D332">
        <f>'Tennis'!M23</f>
        <v/>
      </c>
      <c r="E332">
        <f>'Tennis'!N23</f>
        <v/>
      </c>
      <c r="F332">
        <f>'Tennis'!O23</f>
        <v/>
      </c>
      <c r="G332" t="n">
        <v>4</v>
      </c>
      <c r="I332" t="inlineStr">
        <is>
          <t>ATP 10 (2026-10-08)</t>
        </is>
      </c>
      <c r="J332" t="inlineStr">
        <is>
          <t>C</t>
        </is>
      </c>
      <c r="K332" t="inlineStr">
        <is>
          <t>ATP rank from league standings pull (A) / WTA via Olympics.com Oct 5; AO odds VegasInsider/Johnnybet Oct 2026; probabilities = agent estimates</t>
        </is>
      </c>
      <c r="L332" t="inlineStr">
        <is>
          <t>2026-10-08</t>
        </is>
      </c>
    </row>
    <row r="333">
      <c r="A333" t="n">
        <v>332</v>
      </c>
      <c r="B333" t="inlineStr">
        <is>
          <t>NHL</t>
        </is>
      </c>
      <c r="C333" t="inlineStr">
        <is>
          <t>Utah Mammoth</t>
        </is>
      </c>
      <c r="D333">
        <f>'NHL'!M18</f>
        <v/>
      </c>
      <c r="E333">
        <f>'NHL'!N18</f>
        <v/>
      </c>
      <c r="F333">
        <f>'NHL'!O18</f>
        <v/>
      </c>
      <c r="G333" t="n">
        <v>4</v>
      </c>
      <c r="H333" t="inlineStr">
        <is>
          <t>Kalshi 3.0%</t>
        </is>
      </c>
      <c r="I333" t="inlineStr">
        <is>
          <t>West</t>
        </is>
      </c>
      <c r="J333" t="inlineStr">
        <is>
          <t>A</t>
        </is>
      </c>
      <c r="K333" t="inlineStr">
        <is>
          <t>KXNHL-27 exchange mid-price, pulled 2026-10-08; p(final)=KXNHLEAST/KXNHLWEST-27 Kalshi mid</t>
        </is>
      </c>
      <c r="L333" t="inlineStr">
        <is>
          <t>2026-10-08</t>
        </is>
      </c>
    </row>
    <row r="334">
      <c r="A334" t="n">
        <v>333</v>
      </c>
      <c r="B334" t="inlineStr">
        <is>
          <t>MLB</t>
        </is>
      </c>
      <c r="C334" t="inlineStr">
        <is>
          <t>Miami Marlins</t>
        </is>
      </c>
      <c r="D334">
        <f>'MLB'!M25</f>
        <v/>
      </c>
      <c r="E334">
        <f>'MLB'!N25</f>
        <v/>
      </c>
      <c r="F334">
        <f>'MLB'!O25</f>
        <v/>
      </c>
      <c r="G334" t="n">
        <v>4</v>
      </c>
      <c r="I334" t="inlineStr">
        <is>
          <t>2026: 80-82 (.4938)</t>
        </is>
      </c>
      <c r="J334" t="inlineStr">
        <is>
          <t>C</t>
        </is>
      </c>
      <c r="K334" t="inlineStr">
        <is>
          <t>2026 win% from league standings (A); title prob = model estimate — no 2027 World Series odds posted</t>
        </is>
      </c>
      <c r="L334" t="inlineStr">
        <is>
          <t>2026-10-08</t>
        </is>
      </c>
    </row>
    <row r="335">
      <c r="A335" t="n">
        <v>334</v>
      </c>
      <c r="B335" t="inlineStr">
        <is>
          <t>NFL</t>
        </is>
      </c>
      <c r="C335" t="inlineStr">
        <is>
          <t>Dallas Cowboys</t>
        </is>
      </c>
      <c r="D335">
        <f>'NFL'!M16</f>
        <v/>
      </c>
      <c r="E335">
        <f>'NFL'!N16</f>
        <v/>
      </c>
      <c r="F335">
        <f>'NFL'!O16</f>
        <v/>
      </c>
      <c r="G335" t="n">
        <v>3</v>
      </c>
      <c r="H335" t="inlineStr">
        <is>
          <t>Kalshi 3.5%</t>
        </is>
      </c>
      <c r="I335" t="inlineStr">
        <is>
          <t>2-2, NFC East</t>
        </is>
      </c>
      <c r="J335" t="inlineStr">
        <is>
          <t>A</t>
        </is>
      </c>
      <c r="K335" t="inlineStr">
        <is>
          <t>KXSB-27 exchange mid-price, pulled 2026-10-08; p(final)=KXNFLAFCCHAMP/KXNFLNFCCHAMP-27 Kalshi mid</t>
        </is>
      </c>
      <c r="L335" t="inlineStr">
        <is>
          <t>2026-10-08</t>
        </is>
      </c>
    </row>
    <row r="336">
      <c r="A336" t="n">
        <v>335</v>
      </c>
      <c r="B336" t="inlineStr">
        <is>
          <t>Musician</t>
        </is>
      </c>
      <c r="C336" t="inlineStr">
        <is>
          <t>The Weeknd</t>
        </is>
      </c>
      <c r="D336">
        <f>'Musician'!M21</f>
        <v/>
      </c>
      <c r="E336">
        <f>'Musician'!N21</f>
        <v/>
      </c>
      <c r="F336">
        <f>'Musician'!O21</f>
        <v/>
      </c>
      <c r="G336" t="n">
        <v>4</v>
      </c>
      <c r="H336" t="inlineStr">
        <is>
          <t>Grammy EV 0.5</t>
        </is>
      </c>
      <c r="I336" t="inlineStr">
        <is>
          <t>No info found</t>
        </is>
      </c>
      <c r="J336" t="inlineStr">
        <is>
          <t>C</t>
        </is>
      </c>
      <c r="K336" t="inlineStr">
        <is>
          <t>2027 Hot 100 baseline = my estimate; Grammy: estimate (C)</t>
        </is>
      </c>
      <c r="L336" t="inlineStr">
        <is>
          <t>2026-10-08</t>
        </is>
      </c>
    </row>
    <row r="337">
      <c r="A337" t="n">
        <v>336</v>
      </c>
      <c r="B337" t="inlineStr">
        <is>
          <t>NFL</t>
        </is>
      </c>
      <c r="C337" t="inlineStr">
        <is>
          <t>New England Patriots</t>
        </is>
      </c>
      <c r="D337">
        <f>'NFL'!M17</f>
        <v/>
      </c>
      <c r="E337">
        <f>'NFL'!N17</f>
        <v/>
      </c>
      <c r="F337">
        <f>'NFL'!O17</f>
        <v/>
      </c>
      <c r="G337" t="n">
        <v>3</v>
      </c>
      <c r="H337" t="inlineStr">
        <is>
          <t>Kalshi 2.5%</t>
        </is>
      </c>
      <c r="I337" t="inlineStr">
        <is>
          <t>2-2, AFC East</t>
        </is>
      </c>
      <c r="J337" t="inlineStr">
        <is>
          <t>A</t>
        </is>
      </c>
      <c r="K337" t="inlineStr">
        <is>
          <t>KXSB-27 exchange mid-price, pulled 2026-10-08; p(final)=KXNFLAFCCHAMP/KXNFLNFCCHAMP-27 Kalshi mid</t>
        </is>
      </c>
      <c r="L337" t="inlineStr">
        <is>
          <t>2026-10-08</t>
        </is>
      </c>
    </row>
    <row r="338">
      <c r="A338" t="n">
        <v>337</v>
      </c>
      <c r="B338" t="inlineStr">
        <is>
          <t>NHL</t>
        </is>
      </c>
      <c r="C338" t="inlineStr">
        <is>
          <t>Buffalo Sabres</t>
        </is>
      </c>
      <c r="D338">
        <f>'NHL'!M19</f>
        <v/>
      </c>
      <c r="E338">
        <f>'NHL'!N19</f>
        <v/>
      </c>
      <c r="F338">
        <f>'NHL'!O19</f>
        <v/>
      </c>
      <c r="G338" t="n">
        <v>4</v>
      </c>
      <c r="H338" t="inlineStr">
        <is>
          <t>Kalshi +2757</t>
        </is>
      </c>
      <c r="I338" t="inlineStr">
        <is>
          <t>East</t>
        </is>
      </c>
      <c r="J338" t="inlineStr">
        <is>
          <t>C</t>
        </is>
      </c>
      <c r="K338" t="inlineStr">
        <is>
          <t>Kalshi Cup market (~1 month old) normalised; points totals SportsBettingDime; p(final)=KXNHLEAST/KXNHLWEST-27 Kalshi mid</t>
        </is>
      </c>
      <c r="L338" t="inlineStr">
        <is>
          <t>2026-10-08</t>
        </is>
      </c>
    </row>
    <row r="339">
      <c r="A339" t="n">
        <v>338</v>
      </c>
      <c r="B339" t="inlineStr">
        <is>
          <t>Golf</t>
        </is>
      </c>
      <c r="C339" t="inlineStr">
        <is>
          <t>Aaron Rai</t>
        </is>
      </c>
      <c r="D339">
        <f>'Golf'!M20</f>
        <v/>
      </c>
      <c r="E339">
        <f>'Golf'!N20</f>
        <v/>
      </c>
      <c r="F339">
        <f>'Golf'!O20</f>
        <v/>
      </c>
      <c r="G339" t="n">
        <v>4</v>
      </c>
      <c r="I339" t="inlineStr">
        <is>
          <t>OWGR 16 (2026-10-08)</t>
        </is>
      </c>
      <c r="J339" t="inlineStr">
        <is>
          <t>C</t>
        </is>
      </c>
      <c r="K339" t="inlineStr">
        <is>
          <t>OWGR rank from league standings pull (A); major-win probabilities = model (rank-weighted share of 4 majors)</t>
        </is>
      </c>
      <c r="L339" t="inlineStr">
        <is>
          <t>2026-10-08</t>
        </is>
      </c>
    </row>
    <row r="340">
      <c r="A340" t="n">
        <v>339</v>
      </c>
      <c r="B340" t="inlineStr">
        <is>
          <t>Actress</t>
        </is>
      </c>
      <c r="C340" t="inlineStr">
        <is>
          <t>Selena Gomez</t>
        </is>
      </c>
      <c r="D340">
        <f>'Actress'!M38</f>
        <v/>
      </c>
      <c r="E340">
        <f>'Actress'!N38</f>
        <v/>
      </c>
      <c r="F340">
        <f>'Actress'!O38</f>
        <v/>
      </c>
      <c r="G340" t="n">
        <v>4</v>
      </c>
      <c r="I340" t="inlineStr">
        <is>
          <t>Not Alone (Apr 16)</t>
        </is>
      </c>
      <c r="J340" t="inlineStr">
        <is>
          <t>C</t>
        </is>
      </c>
      <c r="K340" t="inlineStr">
        <is>
          <t>Wikipedia 'List of American films of 2027' casts (Actions-runner pull 2026-10-08) x comp-based box office/RT estimates; cast lists are billed leads only (cameos not captured)</t>
        </is>
      </c>
      <c r="L340" t="inlineStr">
        <is>
          <t>2026-10-08</t>
        </is>
      </c>
    </row>
    <row r="341">
      <c r="A341" t="n">
        <v>340</v>
      </c>
      <c r="B341" t="inlineStr">
        <is>
          <t>Tennis</t>
        </is>
      </c>
      <c r="C341" t="inlineStr">
        <is>
          <t>Marta Kostyuk</t>
        </is>
      </c>
      <c r="D341">
        <f>'Tennis'!M24</f>
        <v/>
      </c>
      <c r="E341">
        <f>'Tennis'!N24</f>
        <v/>
      </c>
      <c r="F341">
        <f>'Tennis'!O24</f>
        <v/>
      </c>
      <c r="G341" t="n">
        <v>4</v>
      </c>
      <c r="I341" t="inlineStr">
        <is>
          <t>WTA 10 (2026-10-08)</t>
        </is>
      </c>
      <c r="J341" t="inlineStr">
        <is>
          <t>C</t>
        </is>
      </c>
      <c r="K341" t="inlineStr">
        <is>
          <t>ATP rank from league standings pull (A) / WTA via Olympics.com Oct 5; AO odds VegasInsider/Johnnybet Oct 2026; probabilities = agent estimates</t>
        </is>
      </c>
      <c r="L341" t="inlineStr">
        <is>
          <t>2026-10-08</t>
        </is>
      </c>
    </row>
    <row r="342">
      <c r="A342" t="n">
        <v>341</v>
      </c>
      <c r="B342" t="inlineStr">
        <is>
          <t>Actress</t>
        </is>
      </c>
      <c r="C342" t="inlineStr">
        <is>
          <t>Allison Janney</t>
        </is>
      </c>
      <c r="D342">
        <f>'Actress'!M39</f>
        <v/>
      </c>
      <c r="E342">
        <f>'Actress'!N39</f>
        <v/>
      </c>
      <c r="F342">
        <f>'Actress'!O39</f>
        <v/>
      </c>
      <c r="G342" t="n">
        <v>4</v>
      </c>
      <c r="I342" t="inlineStr">
        <is>
          <t>Not Alone (Apr 16)</t>
        </is>
      </c>
      <c r="J342" t="inlineStr">
        <is>
          <t>C</t>
        </is>
      </c>
      <c r="K342" t="inlineStr">
        <is>
          <t>Wikipedia 'List of American films of 2027' casts (Actions-runner pull 2026-10-08) x comp-based box office/RT estimates; cast lists are billed leads only (cameos not captured)</t>
        </is>
      </c>
      <c r="L342" t="inlineStr">
        <is>
          <t>2026-10-08</t>
        </is>
      </c>
    </row>
    <row r="343">
      <c r="A343" t="n">
        <v>342</v>
      </c>
      <c r="B343" t="inlineStr">
        <is>
          <t>Country</t>
        </is>
      </c>
      <c r="C343" t="inlineStr">
        <is>
          <t>Brazil</t>
        </is>
      </c>
      <c r="D343">
        <f>'Country'!M32</f>
        <v/>
      </c>
      <c r="E343">
        <f>'Country'!N32</f>
        <v/>
      </c>
      <c r="F343">
        <f>'Country'!O32</f>
        <v/>
      </c>
      <c r="G343" t="n">
        <v>4</v>
      </c>
      <c r="I343" t="inlineStr"/>
      <c r="J343" t="inlineStr">
        <is>
          <t>C</t>
        </is>
      </c>
      <c r="K343" t="inlineStr">
        <is>
          <t>prior from IMF Jul-2026 update + regional outlooks; NO country-level 2027 table retrieved (IMF API blocked) — replace with the Oct 13 WEO</t>
        </is>
      </c>
      <c r="L343" t="inlineStr">
        <is>
          <t>2026-10-08</t>
        </is>
      </c>
    </row>
    <row r="344">
      <c r="A344" t="n">
        <v>343</v>
      </c>
      <c r="B344" t="inlineStr">
        <is>
          <t>Musician</t>
        </is>
      </c>
      <c r="C344" t="inlineStr">
        <is>
          <t>Sienna Spiro</t>
        </is>
      </c>
      <c r="D344">
        <f>'Musician'!M22</f>
        <v/>
      </c>
      <c r="E344">
        <f>'Musician'!N22</f>
        <v/>
      </c>
      <c r="F344">
        <f>'Musician'!O22</f>
        <v/>
      </c>
      <c r="G344" t="n">
        <v>4</v>
      </c>
      <c r="H344" t="inlineStr">
        <is>
          <t>Grammy EV 3.0</t>
        </is>
      </c>
      <c r="I344" t="inlineStr">
        <is>
          <t>Best New Artist candidate (nom 89.5%, win 26%)</t>
        </is>
      </c>
      <c r="J344" t="inlineStr">
        <is>
          <t>C</t>
        </is>
      </c>
      <c r="K344" t="inlineStr">
        <is>
          <t>2027 Hot 100 baseline = my estimate; Grammy: Kalshi KXGRAM*-69 prices (A) + estimates for other categories (C)</t>
        </is>
      </c>
      <c r="L344" t="inlineStr">
        <is>
          <t>2026-10-08</t>
        </is>
      </c>
    </row>
    <row r="345">
      <c r="A345" t="n">
        <v>344</v>
      </c>
      <c r="B345" t="inlineStr">
        <is>
          <t>Actress</t>
        </is>
      </c>
      <c r="C345" t="inlineStr">
        <is>
          <t>Emily Blunt</t>
        </is>
      </c>
      <c r="D345">
        <f>'Actress'!M40</f>
        <v/>
      </c>
      <c r="E345">
        <f>'Actress'!N40</f>
        <v/>
      </c>
      <c r="F345">
        <f>'Actress'!O40</f>
        <v/>
      </c>
      <c r="G345" t="n">
        <v>4</v>
      </c>
      <c r="I345" t="inlineStr">
        <is>
          <t>A Quiet Place Part III (Jul 30)</t>
        </is>
      </c>
      <c r="J345" t="inlineStr">
        <is>
          <t>C</t>
        </is>
      </c>
      <c r="K345" t="inlineStr">
        <is>
          <t>Wikipedia 'List of American films of 2027' casts (Actions-runner pull 2026-10-08) x comp-based box office/RT estimates; cast lists are billed leads only (cameos not captured)</t>
        </is>
      </c>
      <c r="L345" t="inlineStr">
        <is>
          <t>2026-10-08</t>
        </is>
      </c>
    </row>
    <row r="346">
      <c r="A346" t="n">
        <v>345</v>
      </c>
      <c r="B346" t="inlineStr">
        <is>
          <t>Country</t>
        </is>
      </c>
      <c r="C346" t="inlineStr">
        <is>
          <t>United States</t>
        </is>
      </c>
      <c r="D346">
        <f>'Country'!M33</f>
        <v/>
      </c>
      <c r="E346">
        <f>'Country'!N33</f>
        <v/>
      </c>
      <c r="F346">
        <f>'Country'!O33</f>
        <v/>
      </c>
      <c r="G346" t="n">
        <v>4</v>
      </c>
      <c r="I346" t="inlineStr">
        <is>
          <t>IMF Jul 2026: 2.2%</t>
        </is>
      </c>
      <c r="J346" t="inlineStr">
        <is>
          <t>A</t>
        </is>
      </c>
      <c r="K346" t="inlineStr">
        <is>
          <t>prior from IMF Jul-2026 update + regional outlooks; NO country-level 2027 table retrieved (IMF API blocked) — replace with the Oct 13 WEO</t>
        </is>
      </c>
      <c r="L346" t="inlineStr">
        <is>
          <t>2026-10-08</t>
        </is>
      </c>
    </row>
    <row r="347">
      <c r="A347" t="n">
        <v>346</v>
      </c>
      <c r="B347" t="inlineStr">
        <is>
          <t>Actress</t>
        </is>
      </c>
      <c r="C347" t="inlineStr">
        <is>
          <t>Katy O'Brian</t>
        </is>
      </c>
      <c r="D347">
        <f>'Actress'!M41</f>
        <v/>
      </c>
      <c r="E347">
        <f>'Actress'!N41</f>
        <v/>
      </c>
      <c r="F347">
        <f>'Actress'!O41</f>
        <v/>
      </c>
      <c r="G347" t="n">
        <v>4</v>
      </c>
      <c r="I347" t="inlineStr">
        <is>
          <t>A Quiet Place Part III (Jul 30)</t>
        </is>
      </c>
      <c r="J347" t="inlineStr">
        <is>
          <t>C</t>
        </is>
      </c>
      <c r="K347" t="inlineStr">
        <is>
          <t>Wikipedia 'List of American films of 2027' casts (Actions-runner pull 2026-10-08) x comp-based box office/RT estimates; cast lists are billed leads only (cameos not captured)</t>
        </is>
      </c>
      <c r="L347" t="inlineStr">
        <is>
          <t>2026-10-08</t>
        </is>
      </c>
    </row>
    <row r="348">
      <c r="A348" t="n">
        <v>347</v>
      </c>
      <c r="B348" t="inlineStr">
        <is>
          <t>Actress</t>
        </is>
      </c>
      <c r="C348" t="inlineStr">
        <is>
          <t>Millicent Simmonds</t>
        </is>
      </c>
      <c r="D348">
        <f>'Actress'!M42</f>
        <v/>
      </c>
      <c r="E348">
        <f>'Actress'!N42</f>
        <v/>
      </c>
      <c r="F348">
        <f>'Actress'!O42</f>
        <v/>
      </c>
      <c r="G348" t="n">
        <v>4</v>
      </c>
      <c r="I348" t="inlineStr">
        <is>
          <t>A Quiet Place Part III (Jul 30)</t>
        </is>
      </c>
      <c r="J348" t="inlineStr">
        <is>
          <t>C</t>
        </is>
      </c>
      <c r="K348" t="inlineStr">
        <is>
          <t>Wikipedia 'List of American films of 2027' casts (Actions-runner pull 2026-10-08) x comp-based box office/RT estimates; cast lists are billed leads only (cameos not captured)</t>
        </is>
      </c>
      <c r="L348" t="inlineStr">
        <is>
          <t>2026-10-08</t>
        </is>
      </c>
    </row>
    <row r="349">
      <c r="A349" t="n">
        <v>348</v>
      </c>
      <c r="B349" t="inlineStr">
        <is>
          <t>Actress</t>
        </is>
      </c>
      <c r="C349" t="inlineStr">
        <is>
          <t>Cynthia Erivo</t>
        </is>
      </c>
      <c r="D349">
        <f>'Actress'!M43</f>
        <v/>
      </c>
      <c r="E349">
        <f>'Actress'!N43</f>
        <v/>
      </c>
      <c r="F349">
        <f>'Actress'!O43</f>
        <v/>
      </c>
      <c r="G349" t="n">
        <v>4</v>
      </c>
      <c r="I349" t="inlineStr">
        <is>
          <t>Bad Fairies (May 21); Children of Blood and Bone (Jan 15); Karoshi (Jan 29)</t>
        </is>
      </c>
      <c r="J349" t="inlineStr">
        <is>
          <t>C</t>
        </is>
      </c>
      <c r="K349" t="inlineStr">
        <is>
          <t>Wikipedia 'List of American films of 2027' casts (Actions-runner pull 2026-10-08) x comp-based box office/RT estimates; cast lists are billed leads only (cameos not captured)</t>
        </is>
      </c>
      <c r="L349" t="inlineStr">
        <is>
          <t>2026-10-08</t>
        </is>
      </c>
    </row>
    <row r="350">
      <c r="A350" t="n">
        <v>349</v>
      </c>
      <c r="B350" t="inlineStr">
        <is>
          <t>Tennis</t>
        </is>
      </c>
      <c r="C350" t="inlineStr">
        <is>
          <t>Arthur Fils</t>
        </is>
      </c>
      <c r="D350">
        <f>'Tennis'!M25</f>
        <v/>
      </c>
      <c r="E350">
        <f>'Tennis'!N25</f>
        <v/>
      </c>
      <c r="F350">
        <f>'Tennis'!O25</f>
        <v/>
      </c>
      <c r="G350" t="n">
        <v>4</v>
      </c>
      <c r="I350" t="inlineStr">
        <is>
          <t>ATP 11 (2026-10-08)</t>
        </is>
      </c>
      <c r="J350" t="inlineStr">
        <is>
          <t>C</t>
        </is>
      </c>
      <c r="K350" t="inlineStr">
        <is>
          <t>ATP rank from league standings pull (A) / WTA via Olympics.com Oct 5; AO odds VegasInsider/Johnnybet Oct 2026; probabilities = agent estimates</t>
        </is>
      </c>
      <c r="L350" t="inlineStr">
        <is>
          <t>2026-10-08</t>
        </is>
      </c>
    </row>
    <row r="351">
      <c r="A351" t="n">
        <v>350</v>
      </c>
      <c r="B351" t="inlineStr">
        <is>
          <t>NFL</t>
        </is>
      </c>
      <c r="C351" t="inlineStr">
        <is>
          <t>Detroit Lions</t>
        </is>
      </c>
      <c r="D351">
        <f>'NFL'!M18</f>
        <v/>
      </c>
      <c r="E351">
        <f>'NFL'!N18</f>
        <v/>
      </c>
      <c r="F351">
        <f>'NFL'!O18</f>
        <v/>
      </c>
      <c r="G351" t="n">
        <v>4</v>
      </c>
      <c r="H351" t="inlineStr">
        <is>
          <t>+3500</t>
        </is>
      </c>
      <c r="I351" t="inlineStr">
        <is>
          <t>2-2, NFC North</t>
        </is>
      </c>
      <c r="J351" t="inlineStr">
        <is>
          <t>C</t>
        </is>
      </c>
      <c r="K351" t="inlineStr">
        <is>
          <t>estimate; p(final)=KXNFLAFCCHAMP/KXNFLNFCCHAMP-27 Kalshi mid</t>
        </is>
      </c>
      <c r="L351" t="inlineStr">
        <is>
          <t>2026-10-08</t>
        </is>
      </c>
    </row>
    <row r="352">
      <c r="A352" t="n">
        <v>351</v>
      </c>
      <c r="B352" t="inlineStr">
        <is>
          <t>NFL</t>
        </is>
      </c>
      <c r="C352" t="inlineStr">
        <is>
          <t>Green Bay Packers</t>
        </is>
      </c>
      <c r="D352">
        <f>'NFL'!M19</f>
        <v/>
      </c>
      <c r="E352">
        <f>'NFL'!N19</f>
        <v/>
      </c>
      <c r="F352">
        <f>'NFL'!O19</f>
        <v/>
      </c>
      <c r="G352" t="n">
        <v>4</v>
      </c>
      <c r="H352" t="inlineStr">
        <is>
          <t>+3500</t>
        </is>
      </c>
      <c r="I352" t="inlineStr">
        <is>
          <t>2-2, NFC North</t>
        </is>
      </c>
      <c r="J352" t="inlineStr">
        <is>
          <t>C</t>
        </is>
      </c>
      <c r="K352" t="inlineStr">
        <is>
          <t>estimate</t>
        </is>
      </c>
      <c r="L352" t="inlineStr">
        <is>
          <t>2026-10-08</t>
        </is>
      </c>
    </row>
    <row r="353">
      <c r="A353" t="n">
        <v>352</v>
      </c>
      <c r="B353" t="inlineStr">
        <is>
          <t>Actress</t>
        </is>
      </c>
      <c r="C353" t="inlineStr">
        <is>
          <t>Alycia Debnam-Carey</t>
        </is>
      </c>
      <c r="D353">
        <f>'Actress'!M44</f>
        <v/>
      </c>
      <c r="E353">
        <f>'Actress'!N44</f>
        <v/>
      </c>
      <c r="F353">
        <f>'Actress'!O44</f>
        <v/>
      </c>
      <c r="G353" t="n">
        <v>4</v>
      </c>
      <c r="I353" t="inlineStr">
        <is>
          <t>Godzilla x Kong: Supernova (Mar 26)</t>
        </is>
      </c>
      <c r="J353" t="inlineStr">
        <is>
          <t>C</t>
        </is>
      </c>
      <c r="K353" t="inlineStr">
        <is>
          <t>Wikipedia 'List of American films of 2027' casts (Actions-runner pull 2026-10-08) x comp-based box office/RT estimates; cast lists are billed leads only (cameos not captured)</t>
        </is>
      </c>
      <c r="L353" t="inlineStr">
        <is>
          <t>2026-10-08</t>
        </is>
      </c>
    </row>
    <row r="354">
      <c r="A354" t="n">
        <v>353</v>
      </c>
      <c r="B354" t="inlineStr">
        <is>
          <t>Country</t>
        </is>
      </c>
      <c r="C354" t="inlineStr">
        <is>
          <t>Spain</t>
        </is>
      </c>
      <c r="D354">
        <f>'Country'!M34</f>
        <v/>
      </c>
      <c r="E354">
        <f>'Country'!N34</f>
        <v/>
      </c>
      <c r="F354">
        <f>'Country'!O34</f>
        <v/>
      </c>
      <c r="G354" t="n">
        <v>4</v>
      </c>
      <c r="I354" t="inlineStr">
        <is>
          <t>Strong large economy</t>
        </is>
      </c>
      <c r="J354" t="inlineStr">
        <is>
          <t>C</t>
        </is>
      </c>
      <c r="K354" t="inlineStr">
        <is>
          <t>prior from IMF Jul-2026 update + regional outlooks; NO country-level 2027 table retrieved (IMF API blocked) — replace with the Oct 13 WEO</t>
        </is>
      </c>
      <c r="L354" t="inlineStr">
        <is>
          <t>2026-10-08</t>
        </is>
      </c>
    </row>
    <row r="355">
      <c r="A355" t="n">
        <v>354</v>
      </c>
      <c r="B355" t="inlineStr">
        <is>
          <t>Actress</t>
        </is>
      </c>
      <c r="C355" t="inlineStr">
        <is>
          <t>Kaitlyn Dever</t>
        </is>
      </c>
      <c r="D355">
        <f>'Actress'!M45</f>
        <v/>
      </c>
      <c r="E355">
        <f>'Actress'!N45</f>
        <v/>
      </c>
      <c r="F355">
        <f>'Actress'!O45</f>
        <v/>
      </c>
      <c r="G355" t="n">
        <v>4</v>
      </c>
      <c r="I355" t="inlineStr">
        <is>
          <t>Godzilla x Kong: Supernova (Mar 26)</t>
        </is>
      </c>
      <c r="J355" t="inlineStr">
        <is>
          <t>C</t>
        </is>
      </c>
      <c r="K355" t="inlineStr">
        <is>
          <t>Wikipedia 'List of American films of 2027' casts (Actions-runner pull 2026-10-08) x comp-based box office/RT estimates; cast lists are billed leads only (cameos not captured)</t>
        </is>
      </c>
      <c r="L355" t="inlineStr">
        <is>
          <t>2026-10-08</t>
        </is>
      </c>
    </row>
    <row r="356">
      <c r="A356" t="n">
        <v>355</v>
      </c>
      <c r="B356" t="inlineStr">
        <is>
          <t>NBA</t>
        </is>
      </c>
      <c r="C356" t="inlineStr">
        <is>
          <t>Orlando Magic</t>
        </is>
      </c>
      <c r="D356">
        <f>'NBA'!M19</f>
        <v/>
      </c>
      <c r="E356">
        <f>'NBA'!N19</f>
        <v/>
      </c>
      <c r="F356">
        <f>'NBA'!O19</f>
        <v/>
      </c>
      <c r="G356" t="n">
        <v>4</v>
      </c>
      <c r="H356" t="inlineStr">
        <is>
          <t>Kalshi 1.5%</t>
        </is>
      </c>
      <c r="I356" t="inlineStr">
        <is>
          <t>East; win total 43.5</t>
        </is>
      </c>
      <c r="J356" t="inlineStr">
        <is>
          <t>A</t>
        </is>
      </c>
      <c r="K356" t="inlineStr">
        <is>
          <t>KXNBA-27 exchange mid-price, pulled 2026-10-08; p(final)=KXNBAEAST/KXNBAWEST-27 Kalshi mid</t>
        </is>
      </c>
      <c r="L356" t="inlineStr">
        <is>
          <t>2026-10-08</t>
        </is>
      </c>
    </row>
    <row r="357">
      <c r="A357" t="n">
        <v>356</v>
      </c>
      <c r="B357" t="inlineStr">
        <is>
          <t>Country</t>
        </is>
      </c>
      <c r="C357" t="inlineStr">
        <is>
          <t>Canada</t>
        </is>
      </c>
      <c r="D357">
        <f>'Country'!M35</f>
        <v/>
      </c>
      <c r="E357">
        <f>'Country'!N35</f>
        <v/>
      </c>
      <c r="F357">
        <f>'Country'!O35</f>
        <v/>
      </c>
      <c r="G357" t="n">
        <v>4</v>
      </c>
      <c r="I357" t="inlineStr"/>
      <c r="J357" t="inlineStr">
        <is>
          <t>C</t>
        </is>
      </c>
      <c r="K357" t="inlineStr">
        <is>
          <t>prior from IMF Jul-2026 update + regional outlooks; NO country-level 2027 table retrieved (IMF API blocked) — replace with the Oct 13 WEO</t>
        </is>
      </c>
      <c r="L357" t="inlineStr">
        <is>
          <t>2026-10-08</t>
        </is>
      </c>
    </row>
    <row r="358">
      <c r="A358" t="n">
        <v>357</v>
      </c>
      <c r="B358" t="inlineStr">
        <is>
          <t>Country</t>
        </is>
      </c>
      <c r="C358" t="inlineStr">
        <is>
          <t>Norway</t>
        </is>
      </c>
      <c r="D358">
        <f>'Country'!M36</f>
        <v/>
      </c>
      <c r="E358">
        <f>'Country'!N36</f>
        <v/>
      </c>
      <c r="F358">
        <f>'Country'!O36</f>
        <v/>
      </c>
      <c r="G358" t="n">
        <v>4</v>
      </c>
      <c r="I358" t="inlineStr"/>
      <c r="J358" t="inlineStr">
        <is>
          <t>C</t>
        </is>
      </c>
      <c r="K358" t="inlineStr">
        <is>
          <t>prior from IMF Jul-2026 update + regional outlooks; NO country-level 2027 table retrieved (IMF API blocked) — replace with the Oct 13 WEO</t>
        </is>
      </c>
      <c r="L358" t="inlineStr">
        <is>
          <t>2026-10-08</t>
        </is>
      </c>
    </row>
    <row r="359">
      <c r="A359" t="n">
        <v>358</v>
      </c>
      <c r="B359" t="inlineStr">
        <is>
          <t>Actress</t>
        </is>
      </c>
      <c r="C359" t="inlineStr">
        <is>
          <t>Vicky Krieps</t>
        </is>
      </c>
      <c r="D359">
        <f>'Actress'!M46</f>
        <v/>
      </c>
      <c r="E359">
        <f>'Actress'!N46</f>
        <v/>
      </c>
      <c r="F359">
        <f>'Actress'!O46</f>
        <v/>
      </c>
      <c r="G359" t="n">
        <v>4</v>
      </c>
      <c r="I359" t="inlineStr">
        <is>
          <t>Untitled Ocean's Eleven prequel (Jun 25)</t>
        </is>
      </c>
      <c r="J359" t="inlineStr">
        <is>
          <t>C</t>
        </is>
      </c>
      <c r="K359" t="inlineStr">
        <is>
          <t>Wikipedia 'List of American films of 2027' casts (Actions-runner pull 2026-10-08) x comp-based box office/RT estimates; cast lists are billed leads only (cameos not captured)</t>
        </is>
      </c>
      <c r="L359" t="inlineStr">
        <is>
          <t>2026-10-08</t>
        </is>
      </c>
    </row>
    <row r="360">
      <c r="A360" t="n">
        <v>359</v>
      </c>
      <c r="B360" t="inlineStr">
        <is>
          <t>Actress</t>
        </is>
      </c>
      <c r="C360" t="inlineStr">
        <is>
          <t>Margot Robbie</t>
        </is>
      </c>
      <c r="D360">
        <f>'Actress'!M47</f>
        <v/>
      </c>
      <c r="E360">
        <f>'Actress'!N47</f>
        <v/>
      </c>
      <c r="F360">
        <f>'Actress'!O47</f>
        <v/>
      </c>
      <c r="G360" t="n">
        <v>4</v>
      </c>
      <c r="I360" t="inlineStr">
        <is>
          <t>Untitled Ocean's Eleven prequel (Jun 25)</t>
        </is>
      </c>
      <c r="J360" t="inlineStr">
        <is>
          <t>C</t>
        </is>
      </c>
      <c r="K360" t="inlineStr">
        <is>
          <t>Wikipedia 'List of American films of 2027' casts (Actions-runner pull 2026-10-08) x comp-based box office/RT estimates; cast lists are billed leads only (cameos not captured)</t>
        </is>
      </c>
      <c r="L360" t="inlineStr">
        <is>
          <t>2026-10-08</t>
        </is>
      </c>
    </row>
    <row r="361">
      <c r="A361" t="n">
        <v>360</v>
      </c>
      <c r="B361" t="inlineStr">
        <is>
          <t>Actress</t>
        </is>
      </c>
      <c r="C361" t="inlineStr">
        <is>
          <t>Lauren Ridloff</t>
        </is>
      </c>
      <c r="D361">
        <f>'Actress'!M48</f>
        <v/>
      </c>
      <c r="E361">
        <f>'Actress'!N48</f>
        <v/>
      </c>
      <c r="F361">
        <f>'Actress'!O48</f>
        <v/>
      </c>
      <c r="G361" t="n">
        <v>4</v>
      </c>
      <c r="I361" t="inlineStr">
        <is>
          <t>Untitled Ocean's Eleven prequel (Jun 25)</t>
        </is>
      </c>
      <c r="J361" t="inlineStr">
        <is>
          <t>C</t>
        </is>
      </c>
      <c r="K361" t="inlineStr">
        <is>
          <t>Wikipedia 'List of American films of 2027' casts (Actions-runner pull 2026-10-08) x comp-based box office/RT estimates; cast lists are billed leads only (cameos not captured)</t>
        </is>
      </c>
      <c r="L361" t="inlineStr">
        <is>
          <t>2026-10-08</t>
        </is>
      </c>
    </row>
    <row r="362">
      <c r="A362" t="n">
        <v>361</v>
      </c>
      <c r="B362" t="inlineStr">
        <is>
          <t>Actress</t>
        </is>
      </c>
      <c r="C362" t="inlineStr">
        <is>
          <t>Monica Barbaro</t>
        </is>
      </c>
      <c r="D362">
        <f>'Actress'!M49</f>
        <v/>
      </c>
      <c r="E362">
        <f>'Actress'!N49</f>
        <v/>
      </c>
      <c r="F362">
        <f>'Actress'!O49</f>
        <v/>
      </c>
      <c r="G362" t="n">
        <v>4</v>
      </c>
      <c r="I362" t="inlineStr">
        <is>
          <t>Untitled Ocean's Eleven prequel (Jun 25)</t>
        </is>
      </c>
      <c r="J362" t="inlineStr">
        <is>
          <t>C</t>
        </is>
      </c>
      <c r="K362" t="inlineStr">
        <is>
          <t>Wikipedia 'List of American films of 2027' casts (Actions-runner pull 2026-10-08) x comp-based box office/RT estimates; cast lists are billed leads only (cameos not captured)</t>
        </is>
      </c>
      <c r="L362" t="inlineStr">
        <is>
          <t>2026-10-08</t>
        </is>
      </c>
    </row>
    <row r="363">
      <c r="A363" t="n">
        <v>362</v>
      </c>
      <c r="B363" t="inlineStr">
        <is>
          <t>Golf</t>
        </is>
      </c>
      <c r="C363" t="inlineStr">
        <is>
          <t>Justin Rose</t>
        </is>
      </c>
      <c r="D363">
        <f>'Golf'!M21</f>
        <v/>
      </c>
      <c r="E363">
        <f>'Golf'!N21</f>
        <v/>
      </c>
      <c r="F363">
        <f>'Golf'!O21</f>
        <v/>
      </c>
      <c r="G363" t="n">
        <v>4</v>
      </c>
      <c r="I363" t="inlineStr">
        <is>
          <t>OWGR 17 (2026-10-08)</t>
        </is>
      </c>
      <c r="J363" t="inlineStr">
        <is>
          <t>C</t>
        </is>
      </c>
      <c r="K363" t="inlineStr">
        <is>
          <t>OWGR rank from league standings pull (A); major-win probabilities = model (rank-weighted share of 4 majors)</t>
        </is>
      </c>
      <c r="L363" t="inlineStr">
        <is>
          <t>2026-10-08</t>
        </is>
      </c>
    </row>
    <row r="364">
      <c r="A364" t="n">
        <v>363</v>
      </c>
      <c r="B364" t="inlineStr">
        <is>
          <t>Country</t>
        </is>
      </c>
      <c r="C364" t="inlineStr">
        <is>
          <t>Netherlands</t>
        </is>
      </c>
      <c r="D364">
        <f>'Country'!M37</f>
        <v/>
      </c>
      <c r="E364">
        <f>'Country'!N37</f>
        <v/>
      </c>
      <c r="F364">
        <f>'Country'!O37</f>
        <v/>
      </c>
      <c r="G364" t="n">
        <v>4</v>
      </c>
      <c r="I364" t="inlineStr"/>
      <c r="J364" t="inlineStr">
        <is>
          <t>C</t>
        </is>
      </c>
      <c r="K364" t="inlineStr">
        <is>
          <t>prior from IMF Jul-2026 update + regional outlooks; NO country-level 2027 table retrieved (IMF API blocked) — replace with the Oct 13 WEO</t>
        </is>
      </c>
      <c r="L364" t="inlineStr">
        <is>
          <t>2026-10-08</t>
        </is>
      </c>
    </row>
    <row r="365">
      <c r="A365" t="n">
        <v>364</v>
      </c>
      <c r="B365" t="inlineStr">
        <is>
          <t>Country</t>
        </is>
      </c>
      <c r="C365" t="inlineStr">
        <is>
          <t>Switzerland</t>
        </is>
      </c>
      <c r="D365">
        <f>'Country'!M38</f>
        <v/>
      </c>
      <c r="E365">
        <f>'Country'!N38</f>
        <v/>
      </c>
      <c r="F365">
        <f>'Country'!O38</f>
        <v/>
      </c>
      <c r="G365" t="n">
        <v>4</v>
      </c>
      <c r="I365" t="inlineStr"/>
      <c r="J365" t="inlineStr">
        <is>
          <t>C</t>
        </is>
      </c>
      <c r="K365" t="inlineStr">
        <is>
          <t>prior from IMF Jul-2026 update + regional outlooks; NO country-level 2027 table retrieved (IMF API blocked) — replace with the Oct 13 WEO</t>
        </is>
      </c>
      <c r="L365" t="inlineStr">
        <is>
          <t>2026-10-08</t>
        </is>
      </c>
    </row>
    <row r="366">
      <c r="A366" t="n">
        <v>365</v>
      </c>
      <c r="B366" t="inlineStr">
        <is>
          <t>Actress</t>
        </is>
      </c>
      <c r="C366" t="inlineStr">
        <is>
          <t>Emma Mackey</t>
        </is>
      </c>
      <c r="D366">
        <f>'Actress'!M50</f>
        <v/>
      </c>
      <c r="E366">
        <f>'Actress'!N50</f>
        <v/>
      </c>
      <c r="F366">
        <f>'Actress'!O50</f>
        <v/>
      </c>
      <c r="G366" t="n">
        <v>4</v>
      </c>
      <c r="I366" t="inlineStr">
        <is>
          <t>The Great Beyond (Oct 1); Narnia: The Magician's Nephew (Feb 12)</t>
        </is>
      </c>
      <c r="J366" t="inlineStr">
        <is>
          <t>C</t>
        </is>
      </c>
      <c r="K366" t="inlineStr">
        <is>
          <t>Wikipedia 'List of American films of 2027' casts (Actions-runner pull 2026-10-08) x comp-based box office/RT estimates; cast lists are billed leads only (cameos not captured)</t>
        </is>
      </c>
      <c r="L366" t="inlineStr">
        <is>
          <t>2026-10-08</t>
        </is>
      </c>
    </row>
    <row r="367">
      <c r="A367" t="n">
        <v>366</v>
      </c>
      <c r="B367" t="inlineStr">
        <is>
          <t>MLB</t>
        </is>
      </c>
      <c r="C367" t="inlineStr">
        <is>
          <t>Cincinnati Reds</t>
        </is>
      </c>
      <c r="D367">
        <f>'MLB'!M26</f>
        <v/>
      </c>
      <c r="E367">
        <f>'MLB'!N26</f>
        <v/>
      </c>
      <c r="F367">
        <f>'MLB'!O26</f>
        <v/>
      </c>
      <c r="G367" t="n">
        <v>4</v>
      </c>
      <c r="I367" t="inlineStr">
        <is>
          <t>2026: 75-87 (.4630)</t>
        </is>
      </c>
      <c r="J367" t="inlineStr">
        <is>
          <t>C</t>
        </is>
      </c>
      <c r="K367" t="inlineStr">
        <is>
          <t>2026 win% from league standings (A); title prob = model estimate — no 2027 World Series odds posted</t>
        </is>
      </c>
      <c r="L367" t="inlineStr">
        <is>
          <t>2026-10-08</t>
        </is>
      </c>
    </row>
    <row r="368">
      <c r="A368" t="n">
        <v>367</v>
      </c>
      <c r="B368" t="inlineStr">
        <is>
          <t>Country</t>
        </is>
      </c>
      <c r="C368" t="inlineStr">
        <is>
          <t>Euro area</t>
        </is>
      </c>
      <c r="D368">
        <f>'Country'!M39</f>
        <v/>
      </c>
      <c r="E368">
        <f>'Country'!N39</f>
        <v/>
      </c>
      <c r="F368">
        <f>'Country'!O39</f>
        <v/>
      </c>
      <c r="G368" t="n">
        <v>4</v>
      </c>
      <c r="I368" t="inlineStr">
        <is>
          <t>IMF Jul 2026: 1.2% (comparator)</t>
        </is>
      </c>
      <c r="J368" t="inlineStr">
        <is>
          <t>A</t>
        </is>
      </c>
      <c r="K368" t="inlineStr">
        <is>
          <t>prior from IMF Jul-2026 update + regional outlooks; NO country-level 2027 table retrieved (IMF API blocked) — replace with the Oct 13 WEO</t>
        </is>
      </c>
      <c r="L368" t="inlineStr">
        <is>
          <t>2026-10-08</t>
        </is>
      </c>
    </row>
    <row r="369">
      <c r="A369" t="n">
        <v>368</v>
      </c>
      <c r="B369" t="inlineStr">
        <is>
          <t>MLB</t>
        </is>
      </c>
      <c r="C369" t="inlineStr">
        <is>
          <t>Washington Nationals</t>
        </is>
      </c>
      <c r="D369">
        <f>'MLB'!M27</f>
        <v/>
      </c>
      <c r="E369">
        <f>'MLB'!N27</f>
        <v/>
      </c>
      <c r="F369">
        <f>'MLB'!O27</f>
        <v/>
      </c>
      <c r="G369" t="n">
        <v>4</v>
      </c>
      <c r="I369" t="inlineStr">
        <is>
          <t>2026: 77-85 (.4753)</t>
        </is>
      </c>
      <c r="J369" t="inlineStr">
        <is>
          <t>C</t>
        </is>
      </c>
      <c r="K369" t="inlineStr">
        <is>
          <t>2026 win% from league standings (A); title prob = model estimate — no 2027 World Series odds posted</t>
        </is>
      </c>
      <c r="L369" t="inlineStr">
        <is>
          <t>2026-10-08</t>
        </is>
      </c>
    </row>
    <row r="370">
      <c r="A370" t="n">
        <v>369</v>
      </c>
      <c r="B370" t="inlineStr">
        <is>
          <t>MLB</t>
        </is>
      </c>
      <c r="C370" t="inlineStr">
        <is>
          <t>St. Louis Cardinals</t>
        </is>
      </c>
      <c r="D370">
        <f>'MLB'!M28</f>
        <v/>
      </c>
      <c r="E370">
        <f>'MLB'!N28</f>
        <v/>
      </c>
      <c r="F370">
        <f>'MLB'!O28</f>
        <v/>
      </c>
      <c r="G370" t="n">
        <v>4</v>
      </c>
      <c r="I370" t="inlineStr">
        <is>
          <t>2026: 77-85 (.4753)</t>
        </is>
      </c>
      <c r="J370" t="inlineStr">
        <is>
          <t>C</t>
        </is>
      </c>
      <c r="K370" t="inlineStr">
        <is>
          <t>2026 win% from league standings (A); title prob = model estimate — no 2027 World Series odds posted</t>
        </is>
      </c>
      <c r="L370" t="inlineStr">
        <is>
          <t>2026-10-08</t>
        </is>
      </c>
    </row>
    <row r="371">
      <c r="A371" t="n">
        <v>370</v>
      </c>
      <c r="B371" t="inlineStr">
        <is>
          <t>Country</t>
        </is>
      </c>
      <c r="C371" t="inlineStr">
        <is>
          <t>Germany</t>
        </is>
      </c>
      <c r="D371">
        <f>'Country'!M40</f>
        <v/>
      </c>
      <c r="E371">
        <f>'Country'!N40</f>
        <v/>
      </c>
      <c r="F371">
        <f>'Country'!O40</f>
        <v/>
      </c>
      <c r="G371" t="n">
        <v>4</v>
      </c>
      <c r="I371" t="inlineStr"/>
      <c r="J371" t="inlineStr">
        <is>
          <t>C</t>
        </is>
      </c>
      <c r="K371" t="inlineStr">
        <is>
          <t>prior from IMF Jul-2026 update + regional outlooks; NO country-level 2027 table retrieved (IMF API blocked) — replace with the Oct 13 WEO</t>
        </is>
      </c>
      <c r="L371" t="inlineStr">
        <is>
          <t>2026-10-08</t>
        </is>
      </c>
    </row>
    <row r="372">
      <c r="A372" t="n">
        <v>371</v>
      </c>
      <c r="B372" t="inlineStr">
        <is>
          <t>MLB</t>
        </is>
      </c>
      <c r="C372" t="inlineStr">
        <is>
          <t>Minnesota Twins</t>
        </is>
      </c>
      <c r="D372">
        <f>'MLB'!M29</f>
        <v/>
      </c>
      <c r="E372">
        <f>'MLB'!N29</f>
        <v/>
      </c>
      <c r="F372">
        <f>'MLB'!O29</f>
        <v/>
      </c>
      <c r="G372" t="n">
        <v>4</v>
      </c>
      <c r="I372" t="inlineStr">
        <is>
          <t>2026: 77-85 (.4753)</t>
        </is>
      </c>
      <c r="J372" t="inlineStr">
        <is>
          <t>C</t>
        </is>
      </c>
      <c r="K372" t="inlineStr">
        <is>
          <t>2026 win% from league standings (A); title prob = model estimate — no 2027 World Series odds posted</t>
        </is>
      </c>
      <c r="L372" t="inlineStr">
        <is>
          <t>2026-10-08</t>
        </is>
      </c>
    </row>
    <row r="373">
      <c r="A373" t="n">
        <v>372</v>
      </c>
      <c r="B373" t="inlineStr">
        <is>
          <t>Actress</t>
        </is>
      </c>
      <c r="C373" t="inlineStr">
        <is>
          <t>Sandra Oh</t>
        </is>
      </c>
      <c r="D373">
        <f>'Actress'!M51</f>
        <v/>
      </c>
      <c r="E373">
        <f>'Actress'!N51</f>
        <v/>
      </c>
      <c r="F373">
        <f>'Actress'!O51</f>
        <v/>
      </c>
      <c r="G373" t="n">
        <v>4</v>
      </c>
      <c r="I373" t="inlineStr">
        <is>
          <t>Untitled Daniels film (Nov 19)</t>
        </is>
      </c>
      <c r="J373" t="inlineStr">
        <is>
          <t>C</t>
        </is>
      </c>
      <c r="K373" t="inlineStr">
        <is>
          <t>Wikipedia 'List of American films of 2027' casts (Actions-runner pull 2026-10-08) x comp-based box office/RT estimates; cast lists are billed leads only (cameos not captured)</t>
        </is>
      </c>
      <c r="L373" t="inlineStr">
        <is>
          <t>2026-10-08</t>
        </is>
      </c>
    </row>
    <row r="374">
      <c r="A374" t="n">
        <v>373</v>
      </c>
      <c r="B374" t="inlineStr">
        <is>
          <t>Country</t>
        </is>
      </c>
      <c r="C374" t="inlineStr">
        <is>
          <t>France</t>
        </is>
      </c>
      <c r="D374">
        <f>'Country'!M41</f>
        <v/>
      </c>
      <c r="E374">
        <f>'Country'!N41</f>
        <v/>
      </c>
      <c r="F374">
        <f>'Country'!O41</f>
        <v/>
      </c>
      <c r="G374" t="n">
        <v>4</v>
      </c>
      <c r="I374" t="inlineStr"/>
      <c r="J374" t="inlineStr">
        <is>
          <t>C</t>
        </is>
      </c>
      <c r="K374" t="inlineStr">
        <is>
          <t>prior from IMF Jul-2026 update + regional outlooks; NO country-level 2027 table retrieved (IMF API blocked) — replace with the Oct 13 WEO</t>
        </is>
      </c>
      <c r="L374" t="inlineStr">
        <is>
          <t>2026-10-08</t>
        </is>
      </c>
    </row>
    <row r="375">
      <c r="A375" t="n">
        <v>374</v>
      </c>
      <c r="B375" t="inlineStr">
        <is>
          <t>NCAAB</t>
        </is>
      </c>
      <c r="C375" t="inlineStr">
        <is>
          <t>Purdue</t>
        </is>
      </c>
      <c r="D375">
        <f>'NCAAB'!M15</f>
        <v/>
      </c>
      <c r="E375">
        <f>'NCAAB'!N15</f>
        <v/>
      </c>
      <c r="F375">
        <f>'NCAAB'!O15</f>
        <v/>
      </c>
      <c r="G375" t="n">
        <v>3</v>
      </c>
      <c r="H375" t="inlineStr">
        <is>
          <t>+6500</t>
        </is>
      </c>
      <c r="I375" t="inlineStr"/>
      <c r="J375" t="inlineStr">
        <is>
          <t>B</t>
        </is>
      </c>
      <c r="K375" t="inlineStr">
        <is>
          <t>CBS Sports title odds 2026-08-04</t>
        </is>
      </c>
      <c r="L375" t="inlineStr">
        <is>
          <t>2026-10-08</t>
        </is>
      </c>
    </row>
    <row r="376">
      <c r="A376" t="n">
        <v>375</v>
      </c>
      <c r="B376" t="inlineStr">
        <is>
          <t>NCAAF</t>
        </is>
      </c>
      <c r="C376" t="inlineStr">
        <is>
          <t>Ole Miss</t>
        </is>
      </c>
      <c r="D376">
        <f>'NCAAF'!M14</f>
        <v/>
      </c>
      <c r="E376">
        <f>'NCAAF'!N14</f>
        <v/>
      </c>
      <c r="F376">
        <f>'NCAAF'!O14</f>
        <v/>
      </c>
      <c r="G376" t="n">
        <v>3</v>
      </c>
      <c r="H376" t="inlineStr">
        <is>
          <t>Kalshi 2.5%</t>
        </is>
      </c>
      <c r="I376" t="inlineStr">
        <is>
          <t>AP #9, 3-1, SEC</t>
        </is>
      </c>
      <c r="J376" t="inlineStr">
        <is>
          <t>A</t>
        </is>
      </c>
      <c r="K376" t="inlineStr">
        <is>
          <t>KXNCAAF-27 exchange mid-price, pulled 2026-10-08</t>
        </is>
      </c>
      <c r="L376" t="inlineStr">
        <is>
          <t>2026-10-08</t>
        </is>
      </c>
    </row>
    <row r="377">
      <c r="A377" t="n">
        <v>376</v>
      </c>
      <c r="B377" t="inlineStr">
        <is>
          <t>Actress</t>
        </is>
      </c>
      <c r="C377" t="inlineStr">
        <is>
          <t>Ashley Padilla</t>
        </is>
      </c>
      <c r="D377">
        <f>'Actress'!M52</f>
        <v/>
      </c>
      <c r="E377">
        <f>'Actress'!N52</f>
        <v/>
      </c>
      <c r="F377">
        <f>'Actress'!O52</f>
        <v/>
      </c>
      <c r="G377" t="n">
        <v>4</v>
      </c>
      <c r="I377" t="inlineStr">
        <is>
          <t>The Catch (May 21)</t>
        </is>
      </c>
      <c r="J377" t="inlineStr">
        <is>
          <t>C</t>
        </is>
      </c>
      <c r="K377" t="inlineStr">
        <is>
          <t>Wikipedia 'List of American films of 2027' casts (Actions-runner pull 2026-10-08) x comp-based box office/RT estimates; cast lists are billed leads only (cameos not captured)</t>
        </is>
      </c>
      <c r="L377" t="inlineStr">
        <is>
          <t>2026-10-08</t>
        </is>
      </c>
    </row>
    <row r="378">
      <c r="A378" t="n">
        <v>377</v>
      </c>
      <c r="B378" t="inlineStr">
        <is>
          <t>Actress</t>
        </is>
      </c>
      <c r="C378" t="inlineStr">
        <is>
          <t>Sissy Spacek</t>
        </is>
      </c>
      <c r="D378">
        <f>'Actress'!M53</f>
        <v/>
      </c>
      <c r="E378">
        <f>'Actress'!N53</f>
        <v/>
      </c>
      <c r="F378">
        <f>'Actress'!O53</f>
        <v/>
      </c>
      <c r="G378" t="n">
        <v>4</v>
      </c>
      <c r="I378" t="inlineStr">
        <is>
          <t>The Catch (May 21)</t>
        </is>
      </c>
      <c r="J378" t="inlineStr">
        <is>
          <t>C</t>
        </is>
      </c>
      <c r="K378" t="inlineStr">
        <is>
          <t>Wikipedia 'List of American films of 2027' casts (Actions-runner pull 2026-10-08) x comp-based box office/RT estimates; cast lists are billed leads only (cameos not captured)</t>
        </is>
      </c>
      <c r="L378" t="inlineStr">
        <is>
          <t>2026-10-08</t>
        </is>
      </c>
    </row>
    <row r="379">
      <c r="A379" t="n">
        <v>378</v>
      </c>
      <c r="B379" t="inlineStr">
        <is>
          <t>Tennis</t>
        </is>
      </c>
      <c r="C379" t="inlineStr">
        <is>
          <t>Taylor Fritz</t>
        </is>
      </c>
      <c r="D379">
        <f>'Tennis'!M26</f>
        <v/>
      </c>
      <c r="E379">
        <f>'Tennis'!N26</f>
        <v/>
      </c>
      <c r="F379">
        <f>'Tennis'!O26</f>
        <v/>
      </c>
      <c r="G379" t="n">
        <v>4</v>
      </c>
      <c r="I379" t="inlineStr">
        <is>
          <t>ATP 12 (2026-10-08)</t>
        </is>
      </c>
      <c r="J379" t="inlineStr">
        <is>
          <t>C</t>
        </is>
      </c>
      <c r="K379" t="inlineStr">
        <is>
          <t>ATP rank from league standings pull (A) / WTA via Olympics.com Oct 5; AO odds VegasInsider/Johnnybet Oct 2026; probabilities = agent estimates</t>
        </is>
      </c>
      <c r="L379" t="inlineStr">
        <is>
          <t>2026-10-08</t>
        </is>
      </c>
    </row>
    <row r="380">
      <c r="A380" t="n">
        <v>379</v>
      </c>
      <c r="B380" t="inlineStr">
        <is>
          <t>Golf</t>
        </is>
      </c>
      <c r="C380" t="inlineStr">
        <is>
          <t>Ludvig Åberg</t>
        </is>
      </c>
      <c r="D380">
        <f>'Golf'!M22</f>
        <v/>
      </c>
      <c r="E380">
        <f>'Golf'!N22</f>
        <v/>
      </c>
      <c r="F380">
        <f>'Golf'!O22</f>
        <v/>
      </c>
      <c r="G380" t="n">
        <v>4</v>
      </c>
      <c r="I380" t="inlineStr">
        <is>
          <t>OWGR 18 (2026-10-08)</t>
        </is>
      </c>
      <c r="J380" t="inlineStr">
        <is>
          <t>C</t>
        </is>
      </c>
      <c r="K380" t="inlineStr">
        <is>
          <t>OWGR rank from league standings pull (A); major-win probabilities = model (rank-weighted share of 4 majors)</t>
        </is>
      </c>
      <c r="L380" t="inlineStr">
        <is>
          <t>2026-10-08</t>
        </is>
      </c>
    </row>
    <row r="381">
      <c r="A381" t="n">
        <v>380</v>
      </c>
      <c r="B381" t="inlineStr">
        <is>
          <t>Actress</t>
        </is>
      </c>
      <c r="C381" t="inlineStr">
        <is>
          <t>Emma Stone</t>
        </is>
      </c>
      <c r="D381">
        <f>'Actress'!M54</f>
        <v/>
      </c>
      <c r="E381">
        <f>'Actress'!N54</f>
        <v/>
      </c>
      <c r="F381">
        <f>'Actress'!O54</f>
        <v/>
      </c>
      <c r="G381" t="n">
        <v>4</v>
      </c>
      <c r="I381" t="inlineStr">
        <is>
          <t>The Catch (May 21)</t>
        </is>
      </c>
      <c r="J381" t="inlineStr">
        <is>
          <t>C</t>
        </is>
      </c>
      <c r="K381" t="inlineStr">
        <is>
          <t>Wikipedia 'List of American films of 2027' casts (Actions-runner pull 2026-10-08) x comp-based box office/RT estimates; cast lists are billed leads only (cameos not captured)</t>
        </is>
      </c>
      <c r="L381" t="inlineStr">
        <is>
          <t>2026-10-08</t>
        </is>
      </c>
    </row>
    <row r="382">
      <c r="A382" t="n">
        <v>381</v>
      </c>
      <c r="B382" t="inlineStr">
        <is>
          <t>Actress</t>
        </is>
      </c>
      <c r="C382" t="inlineStr">
        <is>
          <t>Tig Notaro</t>
        </is>
      </c>
      <c r="D382">
        <f>'Actress'!M55</f>
        <v/>
      </c>
      <c r="E382">
        <f>'Actress'!N55</f>
        <v/>
      </c>
      <c r="F382">
        <f>'Actress'!O55</f>
        <v/>
      </c>
      <c r="G382" t="n">
        <v>4</v>
      </c>
      <c r="I382" t="inlineStr">
        <is>
          <t>The Comeback King (Feb 5); Beach Read (May 7)</t>
        </is>
      </c>
      <c r="J382" t="inlineStr">
        <is>
          <t>C</t>
        </is>
      </c>
      <c r="K382" t="inlineStr">
        <is>
          <t>Wikipedia 'List of American films of 2027' casts (Actions-runner pull 2026-10-08) x comp-based box office/RT estimates; cast lists are billed leads only (cameos not captured)</t>
        </is>
      </c>
      <c r="L382" t="inlineStr">
        <is>
          <t>2026-10-08</t>
        </is>
      </c>
    </row>
    <row r="383">
      <c r="A383" t="n">
        <v>382</v>
      </c>
      <c r="B383" t="inlineStr">
        <is>
          <t>Actress</t>
        </is>
      </c>
      <c r="C383" t="inlineStr">
        <is>
          <t>Jenna Ortega</t>
        </is>
      </c>
      <c r="D383">
        <f>'Actress'!M56</f>
        <v/>
      </c>
      <c r="E383">
        <f>'Actress'!N56</f>
        <v/>
      </c>
      <c r="F383">
        <f>'Actress'!O56</f>
        <v/>
      </c>
      <c r="G383" t="n">
        <v>4</v>
      </c>
      <c r="I383" t="inlineStr">
        <is>
          <t>The Great Beyond (Oct 1)</t>
        </is>
      </c>
      <c r="J383" t="inlineStr">
        <is>
          <t>C</t>
        </is>
      </c>
      <c r="K383" t="inlineStr">
        <is>
          <t>Wikipedia 'List of American films of 2027' casts (Actions-runner pull 2026-10-08) x comp-based box office/RT estimates; cast lists are billed leads only (cameos not captured)</t>
        </is>
      </c>
      <c r="L383" t="inlineStr">
        <is>
          <t>2026-10-08</t>
        </is>
      </c>
    </row>
    <row r="384">
      <c r="A384" t="n">
        <v>383</v>
      </c>
      <c r="B384" t="inlineStr">
        <is>
          <t>Actress</t>
        </is>
      </c>
      <c r="C384" t="inlineStr">
        <is>
          <t>Madelyn Cline</t>
        </is>
      </c>
      <c r="D384">
        <f>'Actress'!M57</f>
        <v/>
      </c>
      <c r="E384">
        <f>'Actress'!N57</f>
        <v/>
      </c>
      <c r="F384">
        <f>'Actress'!O57</f>
        <v/>
      </c>
      <c r="G384" t="n">
        <v>4</v>
      </c>
      <c r="I384" t="inlineStr">
        <is>
          <t>The Comeback King (Feb 5); Day Drinker (Mar 26)</t>
        </is>
      </c>
      <c r="J384" t="inlineStr">
        <is>
          <t>C</t>
        </is>
      </c>
      <c r="K384" t="inlineStr">
        <is>
          <t>Wikipedia 'List of American films of 2027' casts (Actions-runner pull 2026-10-08) x comp-based box office/RT estimates; cast lists are billed leads only (cameos not captured)</t>
        </is>
      </c>
      <c r="L384" t="inlineStr">
        <is>
          <t>2026-10-08</t>
        </is>
      </c>
    </row>
    <row r="385">
      <c r="A385" t="n">
        <v>384</v>
      </c>
      <c r="B385" t="inlineStr">
        <is>
          <t>Actress</t>
        </is>
      </c>
      <c r="C385" t="inlineStr">
        <is>
          <t>Scarlett Johansson</t>
        </is>
      </c>
      <c r="D385">
        <f>'Actress'!M58</f>
        <v/>
      </c>
      <c r="E385">
        <f>'Actress'!N58</f>
        <v/>
      </c>
      <c r="F385">
        <f>'Actress'!O58</f>
        <v/>
      </c>
      <c r="G385" t="n">
        <v>4</v>
      </c>
      <c r="I385" t="inlineStr">
        <is>
          <t>The Exorcist: Martyrs (Mar 12)</t>
        </is>
      </c>
      <c r="J385" t="inlineStr">
        <is>
          <t>C</t>
        </is>
      </c>
      <c r="K385" t="inlineStr">
        <is>
          <t>Wikipedia 'List of American films of 2027' casts (Actions-runner pull 2026-10-08) x comp-based box office/RT estimates; cast lists are billed leads only (cameos not captured)</t>
        </is>
      </c>
      <c r="L385" t="inlineStr">
        <is>
          <t>2026-10-08</t>
        </is>
      </c>
    </row>
    <row r="386">
      <c r="A386" t="n">
        <v>385</v>
      </c>
      <c r="B386" t="inlineStr">
        <is>
          <t>Actress</t>
        </is>
      </c>
      <c r="C386" t="inlineStr">
        <is>
          <t>Sophie Okonedo</t>
        </is>
      </c>
      <c r="D386">
        <f>'Actress'!M59</f>
        <v/>
      </c>
      <c r="E386">
        <f>'Actress'!N59</f>
        <v/>
      </c>
      <c r="F386">
        <f>'Actress'!O59</f>
        <v/>
      </c>
      <c r="G386" t="n">
        <v>4</v>
      </c>
      <c r="I386" t="inlineStr">
        <is>
          <t>The Great Beyond (Oct 1)</t>
        </is>
      </c>
      <c r="J386" t="inlineStr">
        <is>
          <t>C</t>
        </is>
      </c>
      <c r="K386" t="inlineStr">
        <is>
          <t>Wikipedia 'List of American films of 2027' casts (Actions-runner pull 2026-10-08) x comp-based box office/RT estimates; cast lists are billed leads only (cameos not captured)</t>
        </is>
      </c>
      <c r="L386" t="inlineStr">
        <is>
          <t>2026-10-08</t>
        </is>
      </c>
    </row>
    <row r="387">
      <c r="A387" t="n">
        <v>386</v>
      </c>
      <c r="B387" t="inlineStr">
        <is>
          <t>Actress</t>
        </is>
      </c>
      <c r="C387" t="inlineStr">
        <is>
          <t>Sasha Calle</t>
        </is>
      </c>
      <c r="D387">
        <f>'Actress'!M60</f>
        <v/>
      </c>
      <c r="E387">
        <f>'Actress'!N60</f>
        <v/>
      </c>
      <c r="F387">
        <f>'Actress'!O60</f>
        <v/>
      </c>
      <c r="G387" t="n">
        <v>4</v>
      </c>
      <c r="I387" t="inlineStr">
        <is>
          <t>The Exorcist: Martyrs (Mar 12)</t>
        </is>
      </c>
      <c r="J387" t="inlineStr">
        <is>
          <t>C</t>
        </is>
      </c>
      <c r="K387" t="inlineStr">
        <is>
          <t>Wikipedia 'List of American films of 2027' casts (Actions-runner pull 2026-10-08) x comp-based box office/RT estimates; cast lists are billed leads only (cameos not captured)</t>
        </is>
      </c>
      <c r="L387" t="inlineStr">
        <is>
          <t>2026-10-08</t>
        </is>
      </c>
    </row>
    <row r="388">
      <c r="A388" t="n">
        <v>387</v>
      </c>
      <c r="B388" t="inlineStr">
        <is>
          <t>Actress</t>
        </is>
      </c>
      <c r="C388" t="inlineStr">
        <is>
          <t>Merritt Wever</t>
        </is>
      </c>
      <c r="D388">
        <f>'Actress'!M61</f>
        <v/>
      </c>
      <c r="E388">
        <f>'Actress'!N61</f>
        <v/>
      </c>
      <c r="F388">
        <f>'Actress'!O61</f>
        <v/>
      </c>
      <c r="G388" t="n">
        <v>4</v>
      </c>
      <c r="I388" t="inlineStr">
        <is>
          <t>The Great Beyond (Oct 1)</t>
        </is>
      </c>
      <c r="J388" t="inlineStr">
        <is>
          <t>C</t>
        </is>
      </c>
      <c r="K388" t="inlineStr">
        <is>
          <t>Wikipedia 'List of American films of 2027' casts (Actions-runner pull 2026-10-08) x comp-based box office/RT estimates; cast lists are billed leads only (cameos not captured)</t>
        </is>
      </c>
      <c r="L388" t="inlineStr">
        <is>
          <t>2026-10-08</t>
        </is>
      </c>
    </row>
    <row r="389">
      <c r="A389" t="n">
        <v>388</v>
      </c>
      <c r="B389" t="inlineStr">
        <is>
          <t>Actress</t>
        </is>
      </c>
      <c r="C389" t="inlineStr">
        <is>
          <t>Lily Gladstone</t>
        </is>
      </c>
      <c r="D389">
        <f>'Actress'!M62</f>
        <v/>
      </c>
      <c r="E389">
        <f>'Actress'!N62</f>
        <v/>
      </c>
      <c r="F389">
        <f>'Actress'!O62</f>
        <v/>
      </c>
      <c r="G389" t="n">
        <v>4</v>
      </c>
      <c r="I389" t="inlineStr">
        <is>
          <t>The Thomas Crown Affair (Mar 5)</t>
        </is>
      </c>
      <c r="J389" t="inlineStr">
        <is>
          <t>C</t>
        </is>
      </c>
      <c r="K389" t="inlineStr">
        <is>
          <t>Wikipedia 'List of American films of 2027' casts (Actions-runner pull 2026-10-08) x comp-based box office/RT estimates; cast lists are billed leads only (cameos not captured)</t>
        </is>
      </c>
      <c r="L389" t="inlineStr">
        <is>
          <t>2026-10-08</t>
        </is>
      </c>
    </row>
    <row r="390">
      <c r="A390" t="n">
        <v>389</v>
      </c>
      <c r="B390" t="inlineStr">
        <is>
          <t>Actress</t>
        </is>
      </c>
      <c r="C390" t="inlineStr">
        <is>
          <t>Rachel Weisz</t>
        </is>
      </c>
      <c r="D390">
        <f>'Actress'!M63</f>
        <v/>
      </c>
      <c r="E390">
        <f>'Actress'!N63</f>
        <v/>
      </c>
      <c r="F390">
        <f>'Actress'!O63</f>
        <v/>
      </c>
      <c r="G390" t="n">
        <v>4</v>
      </c>
      <c r="I390" t="inlineStr">
        <is>
          <t>Untitled The Mummy Returns sequel (Oct 15)</t>
        </is>
      </c>
      <c r="J390" t="inlineStr">
        <is>
          <t>C</t>
        </is>
      </c>
      <c r="K390" t="inlineStr">
        <is>
          <t>Wikipedia 'List of American films of 2027' casts (Actions-runner pull 2026-10-08) x comp-based box office/RT estimates; cast lists are billed leads only (cameos not captured)</t>
        </is>
      </c>
      <c r="L390" t="inlineStr">
        <is>
          <t>2026-10-08</t>
        </is>
      </c>
    </row>
    <row r="391">
      <c r="A391" t="n">
        <v>390</v>
      </c>
      <c r="B391" t="inlineStr">
        <is>
          <t>Actress</t>
        </is>
      </c>
      <c r="C391" t="inlineStr">
        <is>
          <t>Danai Gurira</t>
        </is>
      </c>
      <c r="D391">
        <f>'Actress'!M64</f>
        <v/>
      </c>
      <c r="E391">
        <f>'Actress'!N64</f>
        <v/>
      </c>
      <c r="F391">
        <f>'Actress'!O64</f>
        <v/>
      </c>
      <c r="G391" t="n">
        <v>4</v>
      </c>
      <c r="I391" t="inlineStr">
        <is>
          <t>The Thomas Crown Affair (Mar 5)</t>
        </is>
      </c>
      <c r="J391" t="inlineStr">
        <is>
          <t>C</t>
        </is>
      </c>
      <c r="K391" t="inlineStr">
        <is>
          <t>Wikipedia 'List of American films of 2027' casts (Actions-runner pull 2026-10-08) x comp-based box office/RT estimates; cast lists are billed leads only (cameos not captured)</t>
        </is>
      </c>
      <c r="L391" t="inlineStr">
        <is>
          <t>2026-10-08</t>
        </is>
      </c>
    </row>
    <row r="392">
      <c r="A392" t="n">
        <v>391</v>
      </c>
      <c r="B392" t="inlineStr">
        <is>
          <t>Actress</t>
        </is>
      </c>
      <c r="C392" t="inlineStr">
        <is>
          <t>Pom Klementieff</t>
        </is>
      </c>
      <c r="D392">
        <f>'Actress'!M65</f>
        <v/>
      </c>
      <c r="E392">
        <f>'Actress'!N65</f>
        <v/>
      </c>
      <c r="F392">
        <f>'Actress'!O65</f>
        <v/>
      </c>
      <c r="G392" t="n">
        <v>4</v>
      </c>
      <c r="I392" t="inlineStr">
        <is>
          <t>The Beekeeper 2 (Jan 15)</t>
        </is>
      </c>
      <c r="J392" t="inlineStr">
        <is>
          <t>C</t>
        </is>
      </c>
      <c r="K392" t="inlineStr">
        <is>
          <t>Wikipedia 'List of American films of 2027' casts (Actions-runner pull 2026-10-08) x comp-based box office/RT estimates; cast lists are billed leads only (cameos not captured)</t>
        </is>
      </c>
      <c r="L392" t="inlineStr">
        <is>
          <t>2026-10-08</t>
        </is>
      </c>
    </row>
    <row r="393">
      <c r="A393" t="n">
        <v>392</v>
      </c>
      <c r="B393" t="inlineStr">
        <is>
          <t>Actress</t>
        </is>
      </c>
      <c r="C393" t="inlineStr">
        <is>
          <t>Emmy Raver-Lampman</t>
        </is>
      </c>
      <c r="D393">
        <f>'Actress'!M66</f>
        <v/>
      </c>
      <c r="E393">
        <f>'Actress'!N66</f>
        <v/>
      </c>
      <c r="F393">
        <f>'Actress'!O66</f>
        <v/>
      </c>
      <c r="G393" t="n">
        <v>4</v>
      </c>
      <c r="I393" t="inlineStr">
        <is>
          <t>The Beekeeper 2 (Jan 15)</t>
        </is>
      </c>
      <c r="J393" t="inlineStr">
        <is>
          <t>C</t>
        </is>
      </c>
      <c r="K393" t="inlineStr">
        <is>
          <t>Wikipedia 'List of American films of 2027' casts (Actions-runner pull 2026-10-08) x comp-based box office/RT estimates; cast lists are billed leads only (cameos not captured)</t>
        </is>
      </c>
      <c r="L393" t="inlineStr">
        <is>
          <t>2026-10-08</t>
        </is>
      </c>
    </row>
    <row r="394">
      <c r="A394" t="n">
        <v>393</v>
      </c>
      <c r="B394" t="inlineStr">
        <is>
          <t>Actress</t>
        </is>
      </c>
      <c r="C394" t="inlineStr">
        <is>
          <t>Cristin Milioti</t>
        </is>
      </c>
      <c r="D394">
        <f>'Actress'!M67</f>
        <v/>
      </c>
      <c r="E394">
        <f>'Actress'!N67</f>
        <v/>
      </c>
      <c r="F394">
        <f>'Actress'!O67</f>
        <v/>
      </c>
      <c r="G394" t="n">
        <v>4</v>
      </c>
      <c r="I394" t="inlineStr">
        <is>
          <t>The Comeback King (Feb 5)</t>
        </is>
      </c>
      <c r="J394" t="inlineStr">
        <is>
          <t>C</t>
        </is>
      </c>
      <c r="K394" t="inlineStr">
        <is>
          <t>Wikipedia 'List of American films of 2027' casts (Actions-runner pull 2026-10-08) x comp-based box office/RT estimates; cast lists are billed leads only (cameos not captured)</t>
        </is>
      </c>
      <c r="L394" t="inlineStr">
        <is>
          <t>2026-10-08</t>
        </is>
      </c>
    </row>
    <row r="395">
      <c r="A395" t="n">
        <v>394</v>
      </c>
      <c r="B395" t="inlineStr">
        <is>
          <t>Actress</t>
        </is>
      </c>
      <c r="C395" t="inlineStr">
        <is>
          <t>Yara Shahidi</t>
        </is>
      </c>
      <c r="D395">
        <f>'Actress'!M68</f>
        <v/>
      </c>
      <c r="E395">
        <f>'Actress'!N68</f>
        <v/>
      </c>
      <c r="F395">
        <f>'Actress'!O68</f>
        <v/>
      </c>
      <c r="G395" t="n">
        <v>4</v>
      </c>
      <c r="I395" t="inlineStr">
        <is>
          <t>The Beekeeper 2 (Jan 15)</t>
        </is>
      </c>
      <c r="J395" t="inlineStr">
        <is>
          <t>C</t>
        </is>
      </c>
      <c r="K395" t="inlineStr">
        <is>
          <t>Wikipedia 'List of American films of 2027' casts (Actions-runner pull 2026-10-08) x comp-based box office/RT estimates; cast lists are billed leads only (cameos not captured)</t>
        </is>
      </c>
      <c r="L395" t="inlineStr">
        <is>
          <t>2026-10-08</t>
        </is>
      </c>
    </row>
    <row r="396">
      <c r="A396" t="n">
        <v>395</v>
      </c>
      <c r="B396" t="inlineStr">
        <is>
          <t>Actress</t>
        </is>
      </c>
      <c r="C396" t="inlineStr">
        <is>
          <t>Vanessa Bayer</t>
        </is>
      </c>
      <c r="D396">
        <f>'Actress'!M69</f>
        <v/>
      </c>
      <c r="E396">
        <f>'Actress'!N69</f>
        <v/>
      </c>
      <c r="F396">
        <f>'Actress'!O69</f>
        <v/>
      </c>
      <c r="G396" t="n">
        <v>4</v>
      </c>
      <c r="I396" t="inlineStr">
        <is>
          <t>The Comeback King (Feb 5)</t>
        </is>
      </c>
      <c r="J396" t="inlineStr">
        <is>
          <t>C</t>
        </is>
      </c>
      <c r="K396" t="inlineStr">
        <is>
          <t>Wikipedia 'List of American films of 2027' casts (Actions-runner pull 2026-10-08) x comp-based box office/RT estimates; cast lists are billed leads only (cameos not captured)</t>
        </is>
      </c>
      <c r="L396" t="inlineStr">
        <is>
          <t>2026-10-08</t>
        </is>
      </c>
    </row>
    <row r="397">
      <c r="A397" t="n">
        <v>396</v>
      </c>
      <c r="B397" t="inlineStr">
        <is>
          <t>Actress</t>
        </is>
      </c>
      <c r="C397" t="inlineStr">
        <is>
          <t>Sydney Sweeney</t>
        </is>
      </c>
      <c r="D397">
        <f>'Actress'!M70</f>
        <v/>
      </c>
      <c r="E397">
        <f>'Actress'!N70</f>
        <v/>
      </c>
      <c r="F397">
        <f>'Actress'!O70</f>
        <v/>
      </c>
      <c r="G397" t="n">
        <v>4</v>
      </c>
      <c r="I397" t="inlineStr">
        <is>
          <t>The Housemaid's Secret (Dec 17)</t>
        </is>
      </c>
      <c r="J397" t="inlineStr">
        <is>
          <t>C</t>
        </is>
      </c>
      <c r="K397" t="inlineStr">
        <is>
          <t>Wikipedia 'List of American films of 2027' casts (Actions-runner pull 2026-10-08) x comp-based box office/RT estimates; cast lists are billed leads only (cameos not captured)</t>
        </is>
      </c>
      <c r="L397" t="inlineStr">
        <is>
          <t>2026-10-08</t>
        </is>
      </c>
    </row>
    <row r="398">
      <c r="A398" t="n">
        <v>397</v>
      </c>
      <c r="B398" t="inlineStr">
        <is>
          <t>Actress</t>
        </is>
      </c>
      <c r="C398" t="inlineStr">
        <is>
          <t>Phoebe Dynevor</t>
        </is>
      </c>
      <c r="D398">
        <f>'Actress'!M71</f>
        <v/>
      </c>
      <c r="E398">
        <f>'Actress'!N71</f>
        <v/>
      </c>
      <c r="F398">
        <f>'Actress'!O71</f>
        <v/>
      </c>
      <c r="G398" t="n">
        <v>4</v>
      </c>
      <c r="I398" t="inlineStr">
        <is>
          <t>Remain (Feb 5); Beach Read (May 7); Pendulum (Jan 1)</t>
        </is>
      </c>
      <c r="J398" t="inlineStr">
        <is>
          <t>C</t>
        </is>
      </c>
      <c r="K398" t="inlineStr">
        <is>
          <t>Wikipedia 'List of American films of 2027' casts (Actions-runner pull 2026-10-08) x comp-based box office/RT estimates; cast lists are billed leads only (cameos not captured)</t>
        </is>
      </c>
      <c r="L398" t="inlineStr">
        <is>
          <t>2026-10-08</t>
        </is>
      </c>
    </row>
    <row r="399">
      <c r="A399" t="n">
        <v>398</v>
      </c>
      <c r="B399" t="inlineStr">
        <is>
          <t>Actress</t>
        </is>
      </c>
      <c r="C399" t="inlineStr">
        <is>
          <t>Brittany Snow</t>
        </is>
      </c>
      <c r="D399">
        <f>'Actress'!M72</f>
        <v/>
      </c>
      <c r="E399">
        <f>'Actress'!N72</f>
        <v/>
      </c>
      <c r="F399">
        <f>'Actress'!O72</f>
        <v/>
      </c>
      <c r="G399" t="n">
        <v>4</v>
      </c>
      <c r="I399" t="inlineStr">
        <is>
          <t>The Housemaid's Secret (Dec 17)</t>
        </is>
      </c>
      <c r="J399" t="inlineStr">
        <is>
          <t>C</t>
        </is>
      </c>
      <c r="K399" t="inlineStr">
        <is>
          <t>Wikipedia 'List of American films of 2027' casts (Actions-runner pull 2026-10-08) x comp-based box office/RT estimates; cast lists are billed leads only (cameos not captured)</t>
        </is>
      </c>
      <c r="L399" t="inlineStr">
        <is>
          <t>2026-10-08</t>
        </is>
      </c>
    </row>
    <row r="400">
      <c r="A400" t="n">
        <v>399</v>
      </c>
      <c r="B400" t="inlineStr">
        <is>
          <t>NFL</t>
        </is>
      </c>
      <c r="C400" t="inlineStr">
        <is>
          <t>Cincinnati Bengals</t>
        </is>
      </c>
      <c r="D400">
        <f>'NFL'!M20</f>
        <v/>
      </c>
      <c r="E400">
        <f>'NFL'!N20</f>
        <v/>
      </c>
      <c r="F400">
        <f>'NFL'!O20</f>
        <v/>
      </c>
      <c r="G400" t="n">
        <v>4</v>
      </c>
      <c r="H400" t="inlineStr">
        <is>
          <t>Kalshi 3.5%</t>
        </is>
      </c>
      <c r="I400" t="inlineStr">
        <is>
          <t>2-2, AFC North</t>
        </is>
      </c>
      <c r="J400" t="inlineStr">
        <is>
          <t>A</t>
        </is>
      </c>
      <c r="K400" t="inlineStr">
        <is>
          <t>KXSB-27 exchange mid-price, pulled 2026-10-08; p(final)=KXNFLAFCCHAMP/KXNFLNFCCHAMP-27 Kalshi mid</t>
        </is>
      </c>
      <c r="L400" t="inlineStr">
        <is>
          <t>2026-10-08</t>
        </is>
      </c>
    </row>
    <row r="401">
      <c r="A401" t="n">
        <v>400</v>
      </c>
      <c r="B401" t="inlineStr">
        <is>
          <t>Actress</t>
        </is>
      </c>
      <c r="C401" t="inlineStr">
        <is>
          <t>Amy Madigan</t>
        </is>
      </c>
      <c r="D401">
        <f>'Actress'!M73</f>
        <v/>
      </c>
      <c r="E401">
        <f>'Actress'!N73</f>
        <v/>
      </c>
      <c r="F401">
        <f>'Actress'!O73</f>
        <v/>
      </c>
      <c r="G401" t="n">
        <v>4</v>
      </c>
      <c r="I401" t="inlineStr">
        <is>
          <t>The Comebacker (Jul 30)</t>
        </is>
      </c>
      <c r="J401" t="inlineStr">
        <is>
          <t>C</t>
        </is>
      </c>
      <c r="K401" t="inlineStr">
        <is>
          <t>Wikipedia 'List of American films of 2027' casts (Actions-runner pull 2026-10-08) x comp-based box office/RT estimates; cast lists are billed leads only (cameos not captured)</t>
        </is>
      </c>
      <c r="L401" t="inlineStr">
        <is>
          <t>2026-10-08</t>
        </is>
      </c>
    </row>
    <row r="402">
      <c r="A402" t="n">
        <v>401</v>
      </c>
      <c r="B402" t="inlineStr">
        <is>
          <t>Actress</t>
        </is>
      </c>
      <c r="C402" t="inlineStr">
        <is>
          <t>Julia Roberts</t>
        </is>
      </c>
      <c r="D402">
        <f>'Actress'!M74</f>
        <v/>
      </c>
      <c r="E402">
        <f>'Actress'!N74</f>
        <v/>
      </c>
      <c r="F402">
        <f>'Actress'!O74</f>
        <v/>
      </c>
      <c r="G402" t="n">
        <v>4</v>
      </c>
      <c r="I402" t="inlineStr">
        <is>
          <t>Panic Carefully (Apr 9)</t>
        </is>
      </c>
      <c r="J402" t="inlineStr">
        <is>
          <t>C</t>
        </is>
      </c>
      <c r="K402" t="inlineStr">
        <is>
          <t>Wikipedia 'List of American films of 2027' casts (Actions-runner pull 2026-10-08) x comp-based box office/RT estimates; cast lists are billed leads only (cameos not captured)</t>
        </is>
      </c>
      <c r="L402" t="inlineStr">
        <is>
          <t>2026-10-08</t>
        </is>
      </c>
    </row>
    <row r="403">
      <c r="A403" t="n">
        <v>402</v>
      </c>
      <c r="B403" t="inlineStr">
        <is>
          <t>NCAAB</t>
        </is>
      </c>
      <c r="C403" t="inlineStr">
        <is>
          <t>Louisville</t>
        </is>
      </c>
      <c r="D403">
        <f>'NCAAB'!M16</f>
        <v/>
      </c>
      <c r="E403">
        <f>'NCAAB'!N16</f>
        <v/>
      </c>
      <c r="F403">
        <f>'NCAAB'!O16</f>
        <v/>
      </c>
      <c r="G403" t="n">
        <v>3</v>
      </c>
      <c r="I403" t="inlineStr"/>
      <c r="J403" t="inlineStr">
        <is>
          <t>C</t>
        </is>
      </c>
      <c r="K403" t="inlineStr">
        <is>
          <t>estimate</t>
        </is>
      </c>
      <c r="L403" t="inlineStr">
        <is>
          <t>2026-10-08</t>
        </is>
      </c>
    </row>
    <row r="404">
      <c r="A404" t="n">
        <v>403</v>
      </c>
      <c r="B404" t="inlineStr">
        <is>
          <t>NCAAB</t>
        </is>
      </c>
      <c r="C404" t="inlineStr">
        <is>
          <t>Tennessee</t>
        </is>
      </c>
      <c r="D404">
        <f>'NCAAB'!M17</f>
        <v/>
      </c>
      <c r="E404">
        <f>'NCAAB'!N17</f>
        <v/>
      </c>
      <c r="F404">
        <f>'NCAAB'!O17</f>
        <v/>
      </c>
      <c r="G404" t="n">
        <v>3</v>
      </c>
      <c r="I404" t="inlineStr"/>
      <c r="J404" t="inlineStr">
        <is>
          <t>C</t>
        </is>
      </c>
      <c r="K404" t="inlineStr">
        <is>
          <t>estimate</t>
        </is>
      </c>
      <c r="L404" t="inlineStr">
        <is>
          <t>2026-10-08</t>
        </is>
      </c>
    </row>
    <row r="405">
      <c r="A405" t="n">
        <v>404</v>
      </c>
      <c r="B405" t="inlineStr">
        <is>
          <t>NCAAB</t>
        </is>
      </c>
      <c r="C405" t="inlineStr">
        <is>
          <t>Texas Tech</t>
        </is>
      </c>
      <c r="D405">
        <f>'NCAAB'!M18</f>
        <v/>
      </c>
      <c r="E405">
        <f>'NCAAB'!N18</f>
        <v/>
      </c>
      <c r="F405">
        <f>'NCAAB'!O18</f>
        <v/>
      </c>
      <c r="G405" t="n">
        <v>4</v>
      </c>
      <c r="I405" t="inlineStr"/>
      <c r="J405" t="inlineStr">
        <is>
          <t>C</t>
        </is>
      </c>
      <c r="K405" t="inlineStr">
        <is>
          <t>estimate</t>
        </is>
      </c>
      <c r="L405" t="inlineStr">
        <is>
          <t>2026-10-08</t>
        </is>
      </c>
    </row>
    <row r="406">
      <c r="A406" t="n">
        <v>405</v>
      </c>
      <c r="B406" t="inlineStr">
        <is>
          <t>NCAAB</t>
        </is>
      </c>
      <c r="C406" t="inlineStr">
        <is>
          <t>Alabama</t>
        </is>
      </c>
      <c r="D406">
        <f>'NCAAB'!M19</f>
        <v/>
      </c>
      <c r="E406">
        <f>'NCAAB'!N19</f>
        <v/>
      </c>
      <c r="F406">
        <f>'NCAAB'!O19</f>
        <v/>
      </c>
      <c r="G406" t="n">
        <v>4</v>
      </c>
      <c r="I406" t="inlineStr"/>
      <c r="J406" t="inlineStr">
        <is>
          <t>C</t>
        </is>
      </c>
      <c r="K406" t="inlineStr">
        <is>
          <t>estimate</t>
        </is>
      </c>
      <c r="L406" t="inlineStr">
        <is>
          <t>2026-10-08</t>
        </is>
      </c>
    </row>
    <row r="407">
      <c r="A407" t="n">
        <v>406</v>
      </c>
      <c r="B407" t="inlineStr">
        <is>
          <t>NHL</t>
        </is>
      </c>
      <c r="C407" t="inlineStr">
        <is>
          <t>Los Angeles Kings</t>
        </is>
      </c>
      <c r="D407">
        <f>'NHL'!M20</f>
        <v/>
      </c>
      <c r="E407">
        <f>'NHL'!N20</f>
        <v/>
      </c>
      <c r="F407">
        <f>'NHL'!O20</f>
        <v/>
      </c>
      <c r="G407" t="n">
        <v>4</v>
      </c>
      <c r="H407" t="inlineStr">
        <is>
          <t>Kalshi +6567</t>
        </is>
      </c>
      <c r="I407" t="inlineStr">
        <is>
          <t>West</t>
        </is>
      </c>
      <c r="J407" t="inlineStr">
        <is>
          <t>C</t>
        </is>
      </c>
      <c r="K407" t="inlineStr">
        <is>
          <t>Kalshi Cup market (~1 month old) normalised; points totals SportsBettingDime; p(final)=KXNHLEAST/KXNHLWEST-27 Kalshi mid</t>
        </is>
      </c>
      <c r="L407" t="inlineStr">
        <is>
          <t>2026-10-08</t>
        </is>
      </c>
    </row>
    <row r="408">
      <c r="A408" t="n">
        <v>407</v>
      </c>
      <c r="B408" t="inlineStr">
        <is>
          <t>Golf</t>
        </is>
      </c>
      <c r="C408" t="inlineStr">
        <is>
          <t>Robert MacIntyre</t>
        </is>
      </c>
      <c r="D408">
        <f>'Golf'!M23</f>
        <v/>
      </c>
      <c r="E408">
        <f>'Golf'!N23</f>
        <v/>
      </c>
      <c r="F408">
        <f>'Golf'!O23</f>
        <v/>
      </c>
      <c r="G408" t="n">
        <v>4</v>
      </c>
      <c r="I408" t="inlineStr">
        <is>
          <t>OWGR 19 (2026-10-08)</t>
        </is>
      </c>
      <c r="J408" t="inlineStr">
        <is>
          <t>C</t>
        </is>
      </c>
      <c r="K408" t="inlineStr">
        <is>
          <t>OWGR rank from league standings pull (A); major-win probabilities = model (rank-weighted share of 4 majors)</t>
        </is>
      </c>
      <c r="L408" t="inlineStr">
        <is>
          <t>2026-10-08</t>
        </is>
      </c>
    </row>
    <row r="409">
      <c r="A409" t="n">
        <v>408</v>
      </c>
      <c r="B409" t="inlineStr">
        <is>
          <t>NCAAF</t>
        </is>
      </c>
      <c r="C409" t="inlineStr">
        <is>
          <t>BYU</t>
        </is>
      </c>
      <c r="D409">
        <f>'NCAAF'!M15</f>
        <v/>
      </c>
      <c r="E409">
        <f>'NCAAF'!N15</f>
        <v/>
      </c>
      <c r="F409">
        <f>'NCAAF'!O15</f>
        <v/>
      </c>
      <c r="G409" t="n">
        <v>3</v>
      </c>
      <c r="H409" t="inlineStr">
        <is>
          <t>+4000</t>
        </is>
      </c>
      <c r="I409" t="inlineStr">
        <is>
          <t>AP #8, 4-0, Big 12</t>
        </is>
      </c>
      <c r="J409" t="inlineStr">
        <is>
          <t>C</t>
        </is>
      </c>
      <c r="K409" t="inlineStr">
        <is>
          <t>estimate</t>
        </is>
      </c>
      <c r="L409" t="inlineStr">
        <is>
          <t>2026-10-08</t>
        </is>
      </c>
    </row>
    <row r="410">
      <c r="A410" t="n">
        <v>409</v>
      </c>
      <c r="B410" t="inlineStr">
        <is>
          <t>Tennis</t>
        </is>
      </c>
      <c r="C410" t="inlineStr">
        <is>
          <t>Amanda Anisimova</t>
        </is>
      </c>
      <c r="D410">
        <f>'Tennis'!M27</f>
        <v/>
      </c>
      <c r="E410">
        <f>'Tennis'!N27</f>
        <v/>
      </c>
      <c r="F410">
        <f>'Tennis'!O27</f>
        <v/>
      </c>
      <c r="G410" t="n">
        <v>4</v>
      </c>
      <c r="I410" t="inlineStr">
        <is>
          <t>WTA 14 (2026-10-08)</t>
        </is>
      </c>
      <c r="J410" t="inlineStr">
        <is>
          <t>C</t>
        </is>
      </c>
      <c r="K410" t="inlineStr">
        <is>
          <t>ATP rank from league standings pull (A) / WTA via Olympics.com Oct 5; AO odds VegasInsider/Johnnybet Oct 2026; probabilities = agent estimates</t>
        </is>
      </c>
      <c r="L410" t="inlineStr">
        <is>
          <t>2026-10-08</t>
        </is>
      </c>
    </row>
    <row r="411">
      <c r="A411" t="n">
        <v>410</v>
      </c>
      <c r="B411" t="inlineStr">
        <is>
          <t>Musician</t>
        </is>
      </c>
      <c r="C411" t="inlineStr">
        <is>
          <t>SZA</t>
        </is>
      </c>
      <c r="D411">
        <f>'Musician'!M23</f>
        <v/>
      </c>
      <c r="E411">
        <f>'Musician'!N23</f>
        <v/>
      </c>
      <c r="F411">
        <f>'Musician'!O23</f>
        <v/>
      </c>
      <c r="G411" t="n">
        <v>4</v>
      </c>
      <c r="H411" t="inlineStr">
        <is>
          <t>Grammy EV 0.5</t>
        </is>
      </c>
      <c r="I411" t="inlineStr">
        <is>
          <t>Voice in CoComelon: The Movie (Feb 19, 2027) — film, not chart</t>
        </is>
      </c>
      <c r="J411" t="inlineStr">
        <is>
          <t>C</t>
        </is>
      </c>
      <c r="K411" t="inlineStr">
        <is>
          <t>2027 Hot 100 baseline = my estimate; Grammy: estimate (C)</t>
        </is>
      </c>
      <c r="L411" t="inlineStr">
        <is>
          <t>2026-10-08</t>
        </is>
      </c>
    </row>
    <row r="412">
      <c r="A412" t="n">
        <v>411</v>
      </c>
      <c r="B412" t="inlineStr">
        <is>
          <t>Musician</t>
        </is>
      </c>
      <c r="C412" t="inlineStr">
        <is>
          <t>Beyoncé</t>
        </is>
      </c>
      <c r="D412">
        <f>'Musician'!M24</f>
        <v/>
      </c>
      <c r="E412">
        <f>'Musician'!N24</f>
        <v/>
      </c>
      <c r="F412">
        <f>'Musician'!O24</f>
        <v/>
      </c>
      <c r="G412" t="n">
        <v>4</v>
      </c>
      <c r="H412" t="inlineStr">
        <is>
          <t>Grammy EV 0.5</t>
        </is>
      </c>
      <c r="I412" t="inlineStr">
        <is>
          <t>No info found</t>
        </is>
      </c>
      <c r="J412" t="inlineStr">
        <is>
          <t>C</t>
        </is>
      </c>
      <c r="K412" t="inlineStr">
        <is>
          <t>2027 Hot 100 baseline = my estimate; Grammy: estimate (C)</t>
        </is>
      </c>
      <c r="L412" t="inlineStr">
        <is>
          <t>2026-10-08</t>
        </is>
      </c>
    </row>
    <row r="413">
      <c r="A413" t="n">
        <v>412</v>
      </c>
      <c r="B413" t="inlineStr">
        <is>
          <t>Musician</t>
        </is>
      </c>
      <c r="C413" t="inlineStr">
        <is>
          <t>Billie Eilish</t>
        </is>
      </c>
      <c r="D413">
        <f>'Musician'!M25</f>
        <v/>
      </c>
      <c r="E413">
        <f>'Musician'!N25</f>
        <v/>
      </c>
      <c r="F413">
        <f>'Musician'!O25</f>
        <v/>
      </c>
      <c r="G413" t="n">
        <v>4</v>
      </c>
      <c r="H413" t="inlineStr">
        <is>
          <t>Grammy EV 0.5</t>
        </is>
      </c>
      <c r="I413" t="inlineStr">
        <is>
          <t>No info found</t>
        </is>
      </c>
      <c r="J413" t="inlineStr">
        <is>
          <t>C</t>
        </is>
      </c>
      <c r="K413" t="inlineStr">
        <is>
          <t>2027 Hot 100 baseline = my estimate; Grammy: estimate (C)</t>
        </is>
      </c>
      <c r="L413" t="inlineStr">
        <is>
          <t>2026-10-08</t>
        </is>
      </c>
    </row>
    <row r="414">
      <c r="A414" t="n">
        <v>413</v>
      </c>
      <c r="B414" t="inlineStr">
        <is>
          <t>NBA</t>
        </is>
      </c>
      <c r="C414" t="inlineStr">
        <is>
          <t>Atlanta Hawks</t>
        </is>
      </c>
      <c r="D414">
        <f>'NBA'!M20</f>
        <v/>
      </c>
      <c r="E414">
        <f>'NBA'!N20</f>
        <v/>
      </c>
      <c r="F414">
        <f>'NBA'!O20</f>
        <v/>
      </c>
      <c r="G414" t="n">
        <v>4</v>
      </c>
      <c r="I414" t="inlineStr">
        <is>
          <t>East; win total 43.5</t>
        </is>
      </c>
      <c r="J414" t="inlineStr">
        <is>
          <t>C</t>
        </is>
      </c>
      <c r="K414" t="inlineStr">
        <is>
          <t>BetMGM win total; title price estimated</t>
        </is>
      </c>
      <c r="L414" t="inlineStr">
        <is>
          <t>2026-10-08</t>
        </is>
      </c>
    </row>
    <row r="415">
      <c r="A415" t="n">
        <v>414</v>
      </c>
      <c r="B415" t="inlineStr">
        <is>
          <t>NHL</t>
        </is>
      </c>
      <c r="C415" t="inlineStr">
        <is>
          <t>Ottawa Senators</t>
        </is>
      </c>
      <c r="D415">
        <f>'NHL'!M21</f>
        <v/>
      </c>
      <c r="E415">
        <f>'NHL'!N21</f>
        <v/>
      </c>
      <c r="F415">
        <f>'NHL'!O21</f>
        <v/>
      </c>
      <c r="G415" t="n">
        <v>4</v>
      </c>
      <c r="H415" t="inlineStr">
        <is>
          <t>Kalshi +3900</t>
        </is>
      </c>
      <c r="I415" t="inlineStr">
        <is>
          <t>East</t>
        </is>
      </c>
      <c r="J415" t="inlineStr">
        <is>
          <t>C</t>
        </is>
      </c>
      <c r="K415" t="inlineStr">
        <is>
          <t>Kalshi Cup market (~1 month old) normalised; points totals SportsBettingDime</t>
        </is>
      </c>
      <c r="L415" t="inlineStr">
        <is>
          <t>2026-10-08</t>
        </is>
      </c>
    </row>
    <row r="416">
      <c r="A416" t="n">
        <v>415</v>
      </c>
      <c r="B416" t="inlineStr">
        <is>
          <t>Golf</t>
        </is>
      </c>
      <c r="C416" t="inlineStr">
        <is>
          <t>Jacob Bridgeman</t>
        </is>
      </c>
      <c r="D416">
        <f>'Golf'!M24</f>
        <v/>
      </c>
      <c r="E416">
        <f>'Golf'!N24</f>
        <v/>
      </c>
      <c r="F416">
        <f>'Golf'!O24</f>
        <v/>
      </c>
      <c r="G416" t="n">
        <v>4</v>
      </c>
      <c r="I416" t="inlineStr">
        <is>
          <t>OWGR 20 (2026-10-08)</t>
        </is>
      </c>
      <c r="J416" t="inlineStr">
        <is>
          <t>C</t>
        </is>
      </c>
      <c r="K416" t="inlineStr">
        <is>
          <t>OWGR rank from league standings pull (A); major-win probabilities = model (rank-weighted share of 4 majors)</t>
        </is>
      </c>
      <c r="L416" t="inlineStr">
        <is>
          <t>2026-10-08</t>
        </is>
      </c>
    </row>
    <row r="417">
      <c r="A417" t="n">
        <v>416</v>
      </c>
      <c r="B417" t="inlineStr">
        <is>
          <t>Musician</t>
        </is>
      </c>
      <c r="C417" t="inlineStr">
        <is>
          <t>Travis Scott</t>
        </is>
      </c>
      <c r="D417">
        <f>'Musician'!M26</f>
        <v/>
      </c>
      <c r="E417">
        <f>'Musician'!N26</f>
        <v/>
      </c>
      <c r="F417">
        <f>'Musician'!O26</f>
        <v/>
      </c>
      <c r="G417" t="n">
        <v>4</v>
      </c>
      <c r="H417" t="inlineStr">
        <is>
          <t>Grammy EV 0.3</t>
        </is>
      </c>
      <c r="I417" t="inlineStr">
        <is>
          <t>No info found</t>
        </is>
      </c>
      <c r="J417" t="inlineStr">
        <is>
          <t>C</t>
        </is>
      </c>
      <c r="K417" t="inlineStr">
        <is>
          <t>2027 Hot 100 baseline = my estimate; Grammy: estimate (C)</t>
        </is>
      </c>
      <c r="L417" t="inlineStr">
        <is>
          <t>2026-10-08</t>
        </is>
      </c>
    </row>
    <row r="418">
      <c r="A418" t="n">
        <v>417</v>
      </c>
      <c r="B418" t="inlineStr">
        <is>
          <t>Musician</t>
        </is>
      </c>
      <c r="C418" t="inlineStr">
        <is>
          <t>Post Malone</t>
        </is>
      </c>
      <c r="D418">
        <f>'Musician'!M27</f>
        <v/>
      </c>
      <c r="E418">
        <f>'Musician'!N27</f>
        <v/>
      </c>
      <c r="F418">
        <f>'Musician'!O27</f>
        <v/>
      </c>
      <c r="G418" t="n">
        <v>4</v>
      </c>
      <c r="H418" t="inlineStr">
        <is>
          <t>Grammy EV 0.3</t>
        </is>
      </c>
      <c r="I418" t="inlineStr">
        <is>
          <t>Kalshi: 17% to have a #1 in 2026</t>
        </is>
      </c>
      <c r="J418" t="inlineStr">
        <is>
          <t>C</t>
        </is>
      </c>
      <c r="K418" t="inlineStr">
        <is>
          <t>2027 Hot 100 baseline = my estimate; Grammy: estimate (C)</t>
        </is>
      </c>
      <c r="L418" t="inlineStr">
        <is>
          <t>2026-10-08</t>
        </is>
      </c>
    </row>
    <row r="419">
      <c r="A419" t="n">
        <v>418</v>
      </c>
      <c r="B419" t="inlineStr">
        <is>
          <t>NCAAF</t>
        </is>
      </c>
      <c r="C419" t="inlineStr">
        <is>
          <t>Texas Tech</t>
        </is>
      </c>
      <c r="D419">
        <f>'NCAAF'!M16</f>
        <v/>
      </c>
      <c r="E419">
        <f>'NCAAF'!N16</f>
        <v/>
      </c>
      <c r="F419">
        <f>'NCAAF'!O16</f>
        <v/>
      </c>
      <c r="G419" t="n">
        <v>3</v>
      </c>
      <c r="H419" t="inlineStr">
        <is>
          <t>Kalshi 1.5%</t>
        </is>
      </c>
      <c r="I419" t="inlineStr">
        <is>
          <t>AP #11, 5-0, Big 12</t>
        </is>
      </c>
      <c r="J419" t="inlineStr">
        <is>
          <t>A</t>
        </is>
      </c>
      <c r="K419" t="inlineStr">
        <is>
          <t>KXNCAAF-27 exchange mid-price, pulled 2026-10-08</t>
        </is>
      </c>
      <c r="L419" t="inlineStr">
        <is>
          <t>2026-10-08</t>
        </is>
      </c>
    </row>
    <row r="420">
      <c r="A420" t="n">
        <v>419</v>
      </c>
      <c r="B420" t="inlineStr">
        <is>
          <t>Musician</t>
        </is>
      </c>
      <c r="C420" t="inlineStr">
        <is>
          <t>Justin Bieber</t>
        </is>
      </c>
      <c r="D420">
        <f>'Musician'!M28</f>
        <v/>
      </c>
      <c r="E420">
        <f>'Musician'!N28</f>
        <v/>
      </c>
      <c r="F420">
        <f>'Musician'!O28</f>
        <v/>
      </c>
      <c r="G420" t="n">
        <v>4</v>
      </c>
      <c r="H420" t="inlineStr">
        <is>
          <t>Grammy EV 0.3</t>
        </is>
      </c>
      <c r="I420" t="inlineStr">
        <is>
          <t>No info found</t>
        </is>
      </c>
      <c r="J420" t="inlineStr">
        <is>
          <t>C</t>
        </is>
      </c>
      <c r="K420" t="inlineStr">
        <is>
          <t>2027 Hot 100 baseline = my estimate; Grammy: estimate (C)</t>
        </is>
      </c>
      <c r="L420" t="inlineStr">
        <is>
          <t>2026-10-08</t>
        </is>
      </c>
    </row>
    <row r="421">
      <c r="A421" t="n">
        <v>420</v>
      </c>
      <c r="B421" t="inlineStr">
        <is>
          <t>Musician</t>
        </is>
      </c>
      <c r="C421" t="inlineStr">
        <is>
          <t>Tate McRae</t>
        </is>
      </c>
      <c r="D421">
        <f>'Musician'!M29</f>
        <v/>
      </c>
      <c r="E421">
        <f>'Musician'!N29</f>
        <v/>
      </c>
      <c r="F421">
        <f>'Musician'!O29</f>
        <v/>
      </c>
      <c r="G421" t="n">
        <v>4</v>
      </c>
      <c r="H421" t="inlineStr">
        <is>
          <t>Grammy EV 0.3</t>
        </is>
      </c>
      <c r="I421" t="inlineStr">
        <is>
          <t>Kalshi: 16% to have a #1 in 2026</t>
        </is>
      </c>
      <c r="J421" t="inlineStr">
        <is>
          <t>C</t>
        </is>
      </c>
      <c r="K421" t="inlineStr">
        <is>
          <t>2027 Hot 100 baseline = my estimate; Grammy: estimate (C)</t>
        </is>
      </c>
      <c r="L421" t="inlineStr">
        <is>
          <t>2026-10-08</t>
        </is>
      </c>
    </row>
    <row r="422">
      <c r="A422" t="n">
        <v>421</v>
      </c>
      <c r="B422" t="inlineStr">
        <is>
          <t>Golf</t>
        </is>
      </c>
      <c r="C422" t="inlineStr">
        <is>
          <t>Alex Noren</t>
        </is>
      </c>
      <c r="D422">
        <f>'Golf'!M25</f>
        <v/>
      </c>
      <c r="E422">
        <f>'Golf'!N25</f>
        <v/>
      </c>
      <c r="F422">
        <f>'Golf'!O25</f>
        <v/>
      </c>
      <c r="G422" t="n">
        <v>4</v>
      </c>
      <c r="I422" t="inlineStr">
        <is>
          <t>OWGR 21 (2026-10-08)</t>
        </is>
      </c>
      <c r="J422" t="inlineStr">
        <is>
          <t>C</t>
        </is>
      </c>
      <c r="K422" t="inlineStr">
        <is>
          <t>OWGR rank from league standings pull (A); major-win probabilities = model (rank-weighted share of 4 majors)</t>
        </is>
      </c>
      <c r="L422" t="inlineStr">
        <is>
          <t>2026-10-08</t>
        </is>
      </c>
    </row>
    <row r="423">
      <c r="A423" t="n">
        <v>422</v>
      </c>
      <c r="B423" t="inlineStr">
        <is>
          <t>NHL</t>
        </is>
      </c>
      <c r="C423" t="inlineStr">
        <is>
          <t>Toronto Maple Leafs</t>
        </is>
      </c>
      <c r="D423">
        <f>'NHL'!M22</f>
        <v/>
      </c>
      <c r="E423">
        <f>'NHL'!N22</f>
        <v/>
      </c>
      <c r="F423">
        <f>'NHL'!O22</f>
        <v/>
      </c>
      <c r="G423" t="n">
        <v>4</v>
      </c>
      <c r="H423" t="inlineStr">
        <is>
          <t>Kalshi +3900</t>
        </is>
      </c>
      <c r="I423" t="inlineStr">
        <is>
          <t>East</t>
        </is>
      </c>
      <c r="J423" t="inlineStr">
        <is>
          <t>C</t>
        </is>
      </c>
      <c r="K423" t="inlineStr">
        <is>
          <t>Kalshi Cup market (~1 month old) normalised; points totals SportsBettingDime; p(final)=KXNHLEAST/KXNHLWEST-27 Kalshi mid</t>
        </is>
      </c>
      <c r="L423" t="inlineStr">
        <is>
          <t>2026-10-08</t>
        </is>
      </c>
    </row>
    <row r="424">
      <c r="A424" t="n">
        <v>423</v>
      </c>
      <c r="B424" t="inlineStr">
        <is>
          <t>NCAAB</t>
        </is>
      </c>
      <c r="C424" t="inlineStr">
        <is>
          <t>BYU</t>
        </is>
      </c>
      <c r="D424">
        <f>'NCAAB'!M20</f>
        <v/>
      </c>
      <c r="E424">
        <f>'NCAAB'!N20</f>
        <v/>
      </c>
      <c r="F424">
        <f>'NCAAB'!O20</f>
        <v/>
      </c>
      <c r="G424" t="n">
        <v>4</v>
      </c>
      <c r="I424" t="inlineStr"/>
      <c r="J424" t="inlineStr">
        <is>
          <t>C</t>
        </is>
      </c>
      <c r="K424" t="inlineStr">
        <is>
          <t>estimate</t>
        </is>
      </c>
      <c r="L424" t="inlineStr">
        <is>
          <t>2026-10-08</t>
        </is>
      </c>
    </row>
    <row r="425">
      <c r="A425" t="n">
        <v>424</v>
      </c>
      <c r="B425" t="inlineStr">
        <is>
          <t>NCAAB</t>
        </is>
      </c>
      <c r="C425" t="inlineStr">
        <is>
          <t>Gonzaga</t>
        </is>
      </c>
      <c r="D425">
        <f>'NCAAB'!M21</f>
        <v/>
      </c>
      <c r="E425">
        <f>'NCAAB'!N21</f>
        <v/>
      </c>
      <c r="F425">
        <f>'NCAAB'!O21</f>
        <v/>
      </c>
      <c r="G425" t="n">
        <v>4</v>
      </c>
      <c r="I425" t="inlineStr"/>
      <c r="J425" t="inlineStr">
        <is>
          <t>C</t>
        </is>
      </c>
      <c r="K425" t="inlineStr">
        <is>
          <t>estimate</t>
        </is>
      </c>
      <c r="L425" t="inlineStr">
        <is>
          <t>2026-10-08</t>
        </is>
      </c>
    </row>
    <row r="426">
      <c r="A426" t="n">
        <v>425</v>
      </c>
      <c r="B426" t="inlineStr">
        <is>
          <t>NCAAB</t>
        </is>
      </c>
      <c r="C426" t="inlineStr">
        <is>
          <t>Iowa State</t>
        </is>
      </c>
      <c r="D426">
        <f>'NCAAB'!M22</f>
        <v/>
      </c>
      <c r="E426">
        <f>'NCAAB'!N22</f>
        <v/>
      </c>
      <c r="F426">
        <f>'NCAAB'!O22</f>
        <v/>
      </c>
      <c r="G426" t="n">
        <v>4</v>
      </c>
      <c r="I426" t="inlineStr"/>
      <c r="J426" t="inlineStr">
        <is>
          <t>C</t>
        </is>
      </c>
      <c r="K426" t="inlineStr">
        <is>
          <t>estimate</t>
        </is>
      </c>
      <c r="L426" t="inlineStr">
        <is>
          <t>2026-10-08</t>
        </is>
      </c>
    </row>
    <row r="427">
      <c r="A427" t="n">
        <v>426</v>
      </c>
      <c r="B427" t="inlineStr">
        <is>
          <t>NBA</t>
        </is>
      </c>
      <c r="C427" t="inlineStr">
        <is>
          <t>Portland Trail Blazers</t>
        </is>
      </c>
      <c r="D427">
        <f>'NBA'!M21</f>
        <v/>
      </c>
      <c r="E427">
        <f>'NBA'!N21</f>
        <v/>
      </c>
      <c r="F427">
        <f>'NBA'!O21</f>
        <v/>
      </c>
      <c r="G427" t="n">
        <v>4</v>
      </c>
      <c r="I427" t="inlineStr">
        <is>
          <t>West; win total 42.5</t>
        </is>
      </c>
      <c r="J427" t="inlineStr">
        <is>
          <t>C</t>
        </is>
      </c>
      <c r="K427" t="inlineStr">
        <is>
          <t>BetMGM win total; title price estimated; p(final)=KXNBAEAST/KXNBAWEST-27 Kalshi mid</t>
        </is>
      </c>
      <c r="L427" t="inlineStr">
        <is>
          <t>2026-10-08</t>
        </is>
      </c>
    </row>
    <row r="428">
      <c r="A428" t="n">
        <v>427</v>
      </c>
      <c r="B428" t="inlineStr">
        <is>
          <t>Golf</t>
        </is>
      </c>
      <c r="C428" t="inlineStr">
        <is>
          <t>Ryan Fox</t>
        </is>
      </c>
      <c r="D428">
        <f>'Golf'!M26</f>
        <v/>
      </c>
      <c r="E428">
        <f>'Golf'!N26</f>
        <v/>
      </c>
      <c r="F428">
        <f>'Golf'!O26</f>
        <v/>
      </c>
      <c r="G428" t="n">
        <v>4</v>
      </c>
      <c r="I428" t="inlineStr">
        <is>
          <t>OWGR 22 (2026-10-08)</t>
        </is>
      </c>
      <c r="J428" t="inlineStr">
        <is>
          <t>C</t>
        </is>
      </c>
      <c r="K428" t="inlineStr">
        <is>
          <t>OWGR rank from league standings pull (A); major-win probabilities = model (rank-weighted share of 4 majors)</t>
        </is>
      </c>
      <c r="L428" t="inlineStr">
        <is>
          <t>2026-10-08</t>
        </is>
      </c>
    </row>
    <row r="429">
      <c r="A429" t="n">
        <v>428</v>
      </c>
      <c r="B429" t="inlineStr">
        <is>
          <t>MLB</t>
        </is>
      </c>
      <c r="C429" t="inlineStr">
        <is>
          <t>Kansas City Royals</t>
        </is>
      </c>
      <c r="D429">
        <f>'MLB'!M30</f>
        <v/>
      </c>
      <c r="E429">
        <f>'MLB'!N30</f>
        <v/>
      </c>
      <c r="F429">
        <f>'MLB'!O30</f>
        <v/>
      </c>
      <c r="G429" t="n">
        <v>4</v>
      </c>
      <c r="I429" t="inlineStr">
        <is>
          <t>2026: 69-93 (.4259)</t>
        </is>
      </c>
      <c r="J429" t="inlineStr">
        <is>
          <t>C</t>
        </is>
      </c>
      <c r="K429" t="inlineStr">
        <is>
          <t>2026 win% from league standings (A); title prob = model estimate — no 2027 World Series odds posted</t>
        </is>
      </c>
      <c r="L429" t="inlineStr">
        <is>
          <t>2026-10-08</t>
        </is>
      </c>
    </row>
    <row r="430">
      <c r="A430" t="n">
        <v>429</v>
      </c>
      <c r="B430" t="inlineStr">
        <is>
          <t>NHL</t>
        </is>
      </c>
      <c r="C430" t="inlineStr">
        <is>
          <t>Philadelphia Flyers</t>
        </is>
      </c>
      <c r="D430">
        <f>'NHL'!M23</f>
        <v/>
      </c>
      <c r="E430">
        <f>'NHL'!N23</f>
        <v/>
      </c>
      <c r="F430">
        <f>'NHL'!O23</f>
        <v/>
      </c>
      <c r="G430" t="n">
        <v>4</v>
      </c>
      <c r="H430" t="inlineStr">
        <is>
          <t>Kalshi +6567</t>
        </is>
      </c>
      <c r="I430" t="inlineStr">
        <is>
          <t>East</t>
        </is>
      </c>
      <c r="J430" t="inlineStr">
        <is>
          <t>C</t>
        </is>
      </c>
      <c r="K430" t="inlineStr">
        <is>
          <t>Kalshi Cup market (~1 month old) normalised; points totals SportsBettingDime</t>
        </is>
      </c>
      <c r="L430" t="inlineStr">
        <is>
          <t>2026-10-08</t>
        </is>
      </c>
    </row>
    <row r="431">
      <c r="A431" t="n">
        <v>430</v>
      </c>
      <c r="B431" t="inlineStr">
        <is>
          <t>Musician</t>
        </is>
      </c>
      <c r="C431" t="inlineStr">
        <is>
          <t>Lady Gaga</t>
        </is>
      </c>
      <c r="D431">
        <f>'Musician'!M30</f>
        <v/>
      </c>
      <c r="E431">
        <f>'Musician'!N30</f>
        <v/>
      </c>
      <c r="F431">
        <f>'Musician'!O30</f>
        <v/>
      </c>
      <c r="G431" t="n">
        <v>4</v>
      </c>
      <c r="H431" t="inlineStr">
        <is>
          <t>Grammy EV 0.5</t>
        </is>
      </c>
      <c r="I431" t="inlineStr">
        <is>
          <t>No info found</t>
        </is>
      </c>
      <c r="J431" t="inlineStr">
        <is>
          <t>C</t>
        </is>
      </c>
      <c r="K431" t="inlineStr">
        <is>
          <t>2027 Hot 100 baseline = my estimate; Grammy: estimate (C)</t>
        </is>
      </c>
      <c r="L431" t="inlineStr">
        <is>
          <t>2026-10-08</t>
        </is>
      </c>
    </row>
    <row r="432">
      <c r="A432" t="n">
        <v>431</v>
      </c>
      <c r="B432" t="inlineStr">
        <is>
          <t>NCAAB</t>
        </is>
      </c>
      <c r="C432" t="inlineStr">
        <is>
          <t>Arkansas</t>
        </is>
      </c>
      <c r="D432">
        <f>'NCAAB'!M23</f>
        <v/>
      </c>
      <c r="E432">
        <f>'NCAAB'!N23</f>
        <v/>
      </c>
      <c r="F432">
        <f>'NCAAB'!O23</f>
        <v/>
      </c>
      <c r="G432" t="n">
        <v>4</v>
      </c>
      <c r="I432" t="inlineStr"/>
      <c r="J432" t="inlineStr">
        <is>
          <t>C</t>
        </is>
      </c>
      <c r="K432" t="inlineStr">
        <is>
          <t>estimate</t>
        </is>
      </c>
      <c r="L432" t="inlineStr">
        <is>
          <t>2026-10-08</t>
        </is>
      </c>
    </row>
    <row r="433">
      <c r="A433" t="n">
        <v>432</v>
      </c>
      <c r="B433" t="inlineStr">
        <is>
          <t>Golf</t>
        </is>
      </c>
      <c r="C433" t="inlineStr">
        <is>
          <t>Ryan Gerard</t>
        </is>
      </c>
      <c r="D433">
        <f>'Golf'!M27</f>
        <v/>
      </c>
      <c r="E433">
        <f>'Golf'!N27</f>
        <v/>
      </c>
      <c r="F433">
        <f>'Golf'!O27</f>
        <v/>
      </c>
      <c r="G433" t="n">
        <v>4</v>
      </c>
      <c r="I433" t="inlineStr">
        <is>
          <t>OWGR 23 (2026-10-08)</t>
        </is>
      </c>
      <c r="J433" t="inlineStr">
        <is>
          <t>C</t>
        </is>
      </c>
      <c r="K433" t="inlineStr">
        <is>
          <t>OWGR rank from league standings pull (A); major-win probabilities = model (rank-weighted share of 4 majors)</t>
        </is>
      </c>
      <c r="L433" t="inlineStr">
        <is>
          <t>2026-10-08</t>
        </is>
      </c>
    </row>
    <row r="434">
      <c r="A434" t="n">
        <v>433</v>
      </c>
      <c r="B434" t="inlineStr">
        <is>
          <t>Musician</t>
        </is>
      </c>
      <c r="C434" t="inlineStr">
        <is>
          <t>Zach Bryan</t>
        </is>
      </c>
      <c r="D434">
        <f>'Musician'!M31</f>
        <v/>
      </c>
      <c r="E434">
        <f>'Musician'!N31</f>
        <v/>
      </c>
      <c r="F434">
        <f>'Musician'!O31</f>
        <v/>
      </c>
      <c r="G434" t="n">
        <v>4</v>
      </c>
      <c r="H434" t="inlineStr">
        <is>
          <t>Grammy EV 0.3</t>
        </is>
      </c>
      <c r="I434" t="inlineStr">
        <is>
          <t>No info found</t>
        </is>
      </c>
      <c r="J434" t="inlineStr">
        <is>
          <t>C</t>
        </is>
      </c>
      <c r="K434" t="inlineStr">
        <is>
          <t>2027 Hot 100 baseline = my estimate; Grammy: estimate (C)</t>
        </is>
      </c>
      <c r="L434" t="inlineStr">
        <is>
          <t>2026-10-08</t>
        </is>
      </c>
    </row>
    <row r="435">
      <c r="A435" t="n">
        <v>434</v>
      </c>
      <c r="B435" t="inlineStr">
        <is>
          <t>Musician</t>
        </is>
      </c>
      <c r="C435" t="inlineStr">
        <is>
          <t>Chappell Roan</t>
        </is>
      </c>
      <c r="D435">
        <f>'Musician'!M32</f>
        <v/>
      </c>
      <c r="E435">
        <f>'Musician'!N32</f>
        <v/>
      </c>
      <c r="F435">
        <f>'Musician'!O32</f>
        <v/>
      </c>
      <c r="G435" t="n">
        <v>4</v>
      </c>
      <c r="H435" t="inlineStr">
        <is>
          <t>Grammy EV 0.3</t>
        </is>
      </c>
      <c r="I435" t="inlineStr">
        <is>
          <t>No info found</t>
        </is>
      </c>
      <c r="J435" t="inlineStr">
        <is>
          <t>C</t>
        </is>
      </c>
      <c r="K435" t="inlineStr">
        <is>
          <t>2027 Hot 100 baseline = my estimate; Grammy: estimate (C)</t>
        </is>
      </c>
      <c r="L435" t="inlineStr">
        <is>
          <t>2026-10-08</t>
        </is>
      </c>
    </row>
    <row r="436">
      <c r="A436" t="n">
        <v>435</v>
      </c>
      <c r="B436" t="inlineStr">
        <is>
          <t>Musician</t>
        </is>
      </c>
      <c r="C436" t="inlineStr">
        <is>
          <t>Doja Cat</t>
        </is>
      </c>
      <c r="D436">
        <f>'Musician'!M33</f>
        <v/>
      </c>
      <c r="E436">
        <f>'Musician'!N33</f>
        <v/>
      </c>
      <c r="F436">
        <f>'Musician'!O33</f>
        <v/>
      </c>
      <c r="G436" t="n">
        <v>4</v>
      </c>
      <c r="H436" t="inlineStr">
        <is>
          <t>Grammy EV 0.3</t>
        </is>
      </c>
      <c r="I436" t="inlineStr">
        <is>
          <t>No info found</t>
        </is>
      </c>
      <c r="J436" t="inlineStr">
        <is>
          <t>C</t>
        </is>
      </c>
      <c r="K436" t="inlineStr">
        <is>
          <t>2027 Hot 100 baseline = my estimate; Grammy: estimate (C)</t>
        </is>
      </c>
      <c r="L436" t="inlineStr">
        <is>
          <t>2026-10-08</t>
        </is>
      </c>
    </row>
    <row r="437">
      <c r="A437" t="n">
        <v>436</v>
      </c>
      <c r="B437" t="inlineStr">
        <is>
          <t>Musician</t>
        </is>
      </c>
      <c r="C437" t="inlineStr">
        <is>
          <t>Tyler, the Creator</t>
        </is>
      </c>
      <c r="D437">
        <f>'Musician'!M34</f>
        <v/>
      </c>
      <c r="E437">
        <f>'Musician'!N34</f>
        <v/>
      </c>
      <c r="F437">
        <f>'Musician'!O34</f>
        <v/>
      </c>
      <c r="G437" t="n">
        <v>4</v>
      </c>
      <c r="H437" t="inlineStr">
        <is>
          <t>Grammy EV 0.3</t>
        </is>
      </c>
      <c r="I437" t="inlineStr">
        <is>
          <t>No info found</t>
        </is>
      </c>
      <c r="J437" t="inlineStr">
        <is>
          <t>C</t>
        </is>
      </c>
      <c r="K437" t="inlineStr">
        <is>
          <t>2027 Hot 100 baseline = my estimate; Grammy: estimate (C)</t>
        </is>
      </c>
      <c r="L437" t="inlineStr">
        <is>
          <t>2026-10-08</t>
        </is>
      </c>
    </row>
    <row r="438">
      <c r="A438" t="n">
        <v>437</v>
      </c>
      <c r="B438" t="inlineStr">
        <is>
          <t>Golf</t>
        </is>
      </c>
      <c r="C438" t="inlineStr">
        <is>
          <t>Tyrrell Hatton</t>
        </is>
      </c>
      <c r="D438">
        <f>'Golf'!M28</f>
        <v/>
      </c>
      <c r="E438">
        <f>'Golf'!N28</f>
        <v/>
      </c>
      <c r="F438">
        <f>'Golf'!O28</f>
        <v/>
      </c>
      <c r="G438" t="n">
        <v>4</v>
      </c>
      <c r="I438" t="inlineStr">
        <is>
          <t>OWGR 24 (2026-10-08)</t>
        </is>
      </c>
      <c r="J438" t="inlineStr">
        <is>
          <t>C</t>
        </is>
      </c>
      <c r="K438" t="inlineStr">
        <is>
          <t>OWGR rank from league standings pull (A); major-win probabilities = model (rank-weighted share of 4 majors)</t>
        </is>
      </c>
      <c r="L438" t="inlineStr">
        <is>
          <t>2026-10-08</t>
        </is>
      </c>
    </row>
    <row r="439">
      <c r="A439" t="n">
        <v>438</v>
      </c>
      <c r="B439" t="inlineStr">
        <is>
          <t>Golf</t>
        </is>
      </c>
      <c r="C439" t="inlineStr">
        <is>
          <t>Ben Griffin</t>
        </is>
      </c>
      <c r="D439">
        <f>'Golf'!M29</f>
        <v/>
      </c>
      <c r="E439">
        <f>'Golf'!N29</f>
        <v/>
      </c>
      <c r="F439">
        <f>'Golf'!O29</f>
        <v/>
      </c>
      <c r="G439" t="n">
        <v>4</v>
      </c>
      <c r="I439" t="inlineStr">
        <is>
          <t>OWGR 25 (2026-10-08)</t>
        </is>
      </c>
      <c r="J439" t="inlineStr">
        <is>
          <t>C</t>
        </is>
      </c>
      <c r="K439" t="inlineStr">
        <is>
          <t>OWGR rank from league standings pull (A); major-win probabilities = model (rank-weighted share of 4 majors)</t>
        </is>
      </c>
      <c r="L439" t="inlineStr">
        <is>
          <t>2026-10-08</t>
        </is>
      </c>
    </row>
    <row r="440">
      <c r="A440" t="n">
        <v>439</v>
      </c>
      <c r="B440" t="inlineStr">
        <is>
          <t>NCAAB</t>
        </is>
      </c>
      <c r="C440" t="inlineStr">
        <is>
          <t>North Carolina</t>
        </is>
      </c>
      <c r="D440">
        <f>'NCAAB'!M24</f>
        <v/>
      </c>
      <c r="E440">
        <f>'NCAAB'!N24</f>
        <v/>
      </c>
      <c r="F440">
        <f>'NCAAB'!O24</f>
        <v/>
      </c>
      <c r="G440" t="n">
        <v>4</v>
      </c>
      <c r="I440" t="inlineStr"/>
      <c r="J440" t="inlineStr">
        <is>
          <t>C</t>
        </is>
      </c>
      <c r="K440" t="inlineStr">
        <is>
          <t>estimate</t>
        </is>
      </c>
      <c r="L440" t="inlineStr">
        <is>
          <t>2026-10-08</t>
        </is>
      </c>
    </row>
    <row r="441">
      <c r="A441" t="n">
        <v>440</v>
      </c>
      <c r="B441" t="inlineStr">
        <is>
          <t>NBA</t>
        </is>
      </c>
      <c r="C441" t="inlineStr">
        <is>
          <t>Golden State Warriors</t>
        </is>
      </c>
      <c r="D441">
        <f>'NBA'!M22</f>
        <v/>
      </c>
      <c r="E441">
        <f>'NBA'!N22</f>
        <v/>
      </c>
      <c r="F441">
        <f>'NBA'!O22</f>
        <v/>
      </c>
      <c r="G441" t="n">
        <v>4</v>
      </c>
      <c r="I441" t="inlineStr">
        <is>
          <t>West; win total 40.5</t>
        </is>
      </c>
      <c r="J441" t="inlineStr">
        <is>
          <t>C</t>
        </is>
      </c>
      <c r="K441" t="inlineStr">
        <is>
          <t>BetMGM win total; title price estimated; p(final)=KXNBAEAST/KXNBAWEST-27 Kalshi mid</t>
        </is>
      </c>
      <c r="L441" t="inlineStr">
        <is>
          <t>2026-10-08</t>
        </is>
      </c>
    </row>
    <row r="442">
      <c r="A442" t="n">
        <v>441</v>
      </c>
      <c r="B442" t="inlineStr">
        <is>
          <t>NCAAB</t>
        </is>
      </c>
      <c r="C442" t="inlineStr">
        <is>
          <t>Auburn</t>
        </is>
      </c>
      <c r="D442">
        <f>'NCAAB'!M25</f>
        <v/>
      </c>
      <c r="E442">
        <f>'NCAAB'!N25</f>
        <v/>
      </c>
      <c r="F442">
        <f>'NCAAB'!O25</f>
        <v/>
      </c>
      <c r="G442" t="n">
        <v>4</v>
      </c>
      <c r="I442" t="inlineStr"/>
      <c r="J442" t="inlineStr">
        <is>
          <t>C</t>
        </is>
      </c>
      <c r="K442" t="inlineStr">
        <is>
          <t>estimate</t>
        </is>
      </c>
      <c r="L442" t="inlineStr">
        <is>
          <t>2026-10-08</t>
        </is>
      </c>
    </row>
    <row r="443">
      <c r="A443" t="n">
        <v>442</v>
      </c>
      <c r="B443" t="inlineStr">
        <is>
          <t>Golf</t>
        </is>
      </c>
      <c r="C443" t="inlineStr">
        <is>
          <t>Hideki Matsuyama</t>
        </is>
      </c>
      <c r="D443">
        <f>'Golf'!M30</f>
        <v/>
      </c>
      <c r="E443">
        <f>'Golf'!N30</f>
        <v/>
      </c>
      <c r="F443">
        <f>'Golf'!O30</f>
        <v/>
      </c>
      <c r="G443" t="n">
        <v>4</v>
      </c>
      <c r="I443" t="inlineStr">
        <is>
          <t>OWGR 26 (2026-10-08)</t>
        </is>
      </c>
      <c r="J443" t="inlineStr">
        <is>
          <t>C</t>
        </is>
      </c>
      <c r="K443" t="inlineStr">
        <is>
          <t>OWGR rank from league standings pull (A); major-win probabilities = model (rank-weighted share of 4 majors)</t>
        </is>
      </c>
      <c r="L443" t="inlineStr">
        <is>
          <t>2026-10-08</t>
        </is>
      </c>
    </row>
    <row r="444">
      <c r="A444" t="n">
        <v>443</v>
      </c>
      <c r="B444" t="inlineStr">
        <is>
          <t>MLB</t>
        </is>
      </c>
      <c r="C444" t="inlineStr">
        <is>
          <t>Athletics</t>
        </is>
      </c>
      <c r="D444">
        <f>'MLB'!M31</f>
        <v/>
      </c>
      <c r="E444">
        <f>'MLB'!N31</f>
        <v/>
      </c>
      <c r="F444">
        <f>'MLB'!O31</f>
        <v/>
      </c>
      <c r="G444" t="n">
        <v>4</v>
      </c>
      <c r="I444" t="inlineStr">
        <is>
          <t>2026: 64-98 (.3951)</t>
        </is>
      </c>
      <c r="J444" t="inlineStr">
        <is>
          <t>C</t>
        </is>
      </c>
      <c r="K444" t="inlineStr">
        <is>
          <t>2026 win% from league standings (A); title prob = model estimate — no 2027 World Series odds posted</t>
        </is>
      </c>
      <c r="L444" t="inlineStr">
        <is>
          <t>2026-10-08</t>
        </is>
      </c>
    </row>
    <row r="445">
      <c r="A445" t="n">
        <v>444</v>
      </c>
      <c r="B445" t="inlineStr">
        <is>
          <t>NCAAB</t>
        </is>
      </c>
      <c r="C445" t="inlineStr">
        <is>
          <t>St. John's</t>
        </is>
      </c>
      <c r="D445">
        <f>'NCAAB'!M26</f>
        <v/>
      </c>
      <c r="E445">
        <f>'NCAAB'!N26</f>
        <v/>
      </c>
      <c r="F445">
        <f>'NCAAB'!O26</f>
        <v/>
      </c>
      <c r="G445" t="n">
        <v>4</v>
      </c>
      <c r="I445" t="inlineStr"/>
      <c r="J445" t="inlineStr">
        <is>
          <t>C</t>
        </is>
      </c>
      <c r="K445" t="inlineStr">
        <is>
          <t>estimate</t>
        </is>
      </c>
      <c r="L445" t="inlineStr">
        <is>
          <t>2026-10-08</t>
        </is>
      </c>
    </row>
    <row r="446">
      <c r="A446" t="n">
        <v>445</v>
      </c>
      <c r="B446" t="inlineStr">
        <is>
          <t>Golf</t>
        </is>
      </c>
      <c r="C446" t="inlineStr">
        <is>
          <t>Justin Thomas</t>
        </is>
      </c>
      <c r="D446">
        <f>'Golf'!M31</f>
        <v/>
      </c>
      <c r="E446">
        <f>'Golf'!N31</f>
        <v/>
      </c>
      <c r="F446">
        <f>'Golf'!O31</f>
        <v/>
      </c>
      <c r="G446" t="n">
        <v>4</v>
      </c>
      <c r="I446" t="inlineStr">
        <is>
          <t>OWGR 27 (2026-10-08)</t>
        </is>
      </c>
      <c r="J446" t="inlineStr">
        <is>
          <t>C</t>
        </is>
      </c>
      <c r="K446" t="inlineStr">
        <is>
          <t>OWGR rank from league standings pull (A); major-win probabilities = model (rank-weighted share of 4 majors)</t>
        </is>
      </c>
      <c r="L446" t="inlineStr">
        <is>
          <t>2026-10-08</t>
        </is>
      </c>
    </row>
    <row r="447">
      <c r="A447" t="n">
        <v>446</v>
      </c>
      <c r="B447" t="inlineStr">
        <is>
          <t>Musician</t>
        </is>
      </c>
      <c r="C447" t="inlineStr">
        <is>
          <t>Doechii</t>
        </is>
      </c>
      <c r="D447">
        <f>'Musician'!M35</f>
        <v/>
      </c>
      <c r="E447">
        <f>'Musician'!N35</f>
        <v/>
      </c>
      <c r="F447">
        <f>'Musician'!O35</f>
        <v/>
      </c>
      <c r="G447" t="n">
        <v>4</v>
      </c>
      <c r="H447" t="inlineStr">
        <is>
          <t>Grammy EV 0.3</t>
        </is>
      </c>
      <c r="I447" t="inlineStr">
        <is>
          <t>No info found</t>
        </is>
      </c>
      <c r="J447" t="inlineStr">
        <is>
          <t>C</t>
        </is>
      </c>
      <c r="K447" t="inlineStr">
        <is>
          <t>2027 Hot 100 baseline = my estimate; Grammy: estimate (C)</t>
        </is>
      </c>
      <c r="L447" t="inlineStr">
        <is>
          <t>2026-10-08</t>
        </is>
      </c>
    </row>
    <row r="448">
      <c r="A448" t="n">
        <v>447</v>
      </c>
      <c r="B448" t="inlineStr">
        <is>
          <t>NBA</t>
        </is>
      </c>
      <c r="C448" t="inlineStr">
        <is>
          <t>Phoenix Suns</t>
        </is>
      </c>
      <c r="D448">
        <f>'NBA'!M23</f>
        <v/>
      </c>
      <c r="E448">
        <f>'NBA'!N23</f>
        <v/>
      </c>
      <c r="F448">
        <f>'NBA'!O23</f>
        <v/>
      </c>
      <c r="G448" t="n">
        <v>4</v>
      </c>
      <c r="I448" t="inlineStr">
        <is>
          <t>West; win total 40.5</t>
        </is>
      </c>
      <c r="J448" t="inlineStr">
        <is>
          <t>C</t>
        </is>
      </c>
      <c r="K448" t="inlineStr">
        <is>
          <t>BetMGM win total; title price estimated</t>
        </is>
      </c>
      <c r="L448" t="inlineStr">
        <is>
          <t>2026-10-08</t>
        </is>
      </c>
    </row>
    <row r="449">
      <c r="A449" t="n">
        <v>448</v>
      </c>
      <c r="B449" t="inlineStr">
        <is>
          <t>NHL</t>
        </is>
      </c>
      <c r="C449" t="inlineStr">
        <is>
          <t>Columbus Blue Jackets</t>
        </is>
      </c>
      <c r="D449">
        <f>'NHL'!M24</f>
        <v/>
      </c>
      <c r="E449">
        <f>'NHL'!N24</f>
        <v/>
      </c>
      <c r="F449">
        <f>'NHL'!O24</f>
        <v/>
      </c>
      <c r="G449" t="n">
        <v>4</v>
      </c>
      <c r="H449" t="inlineStr">
        <is>
          <t>Kalshi +6567</t>
        </is>
      </c>
      <c r="I449" t="inlineStr">
        <is>
          <t>East</t>
        </is>
      </c>
      <c r="J449" t="inlineStr">
        <is>
          <t>C</t>
        </is>
      </c>
      <c r="K449" t="inlineStr">
        <is>
          <t>Kalshi Cup market (~1 month old) normalised; points totals SportsBettingDime</t>
        </is>
      </c>
      <c r="L449" t="inlineStr">
        <is>
          <t>2026-10-08</t>
        </is>
      </c>
    </row>
    <row r="450">
      <c r="A450" t="n">
        <v>449</v>
      </c>
      <c r="B450" t="inlineStr">
        <is>
          <t>MLB</t>
        </is>
      </c>
      <c r="C450" t="inlineStr">
        <is>
          <t>San Francisco Giants</t>
        </is>
      </c>
      <c r="D450">
        <f>'MLB'!M32</f>
        <v/>
      </c>
      <c r="E450">
        <f>'MLB'!N32</f>
        <v/>
      </c>
      <c r="F450">
        <f>'MLB'!O32</f>
        <v/>
      </c>
      <c r="G450" t="n">
        <v>4</v>
      </c>
      <c r="I450" t="inlineStr">
        <is>
          <t>2026: 65-97 (.4012)</t>
        </is>
      </c>
      <c r="J450" t="inlineStr">
        <is>
          <t>C</t>
        </is>
      </c>
      <c r="K450" t="inlineStr">
        <is>
          <t>2026 win% from league standings (A); title prob = model estimate — no 2027 World Series odds posted</t>
        </is>
      </c>
      <c r="L450" t="inlineStr">
        <is>
          <t>2026-10-08</t>
        </is>
      </c>
    </row>
    <row r="451">
      <c r="A451" t="n">
        <v>450</v>
      </c>
      <c r="B451" t="inlineStr">
        <is>
          <t>Golf</t>
        </is>
      </c>
      <c r="C451" t="inlineStr">
        <is>
          <t>Patrick Cantlay</t>
        </is>
      </c>
      <c r="D451">
        <f>'Golf'!M32</f>
        <v/>
      </c>
      <c r="E451">
        <f>'Golf'!N32</f>
        <v/>
      </c>
      <c r="F451">
        <f>'Golf'!O32</f>
        <v/>
      </c>
      <c r="G451" t="n">
        <v>4</v>
      </c>
      <c r="I451" t="inlineStr">
        <is>
          <t>OWGR 28 (2026-10-08)</t>
        </is>
      </c>
      <c r="J451" t="inlineStr">
        <is>
          <t>C</t>
        </is>
      </c>
      <c r="K451" t="inlineStr">
        <is>
          <t>OWGR rank from league standings pull (A); major-win probabilities = model (rank-weighted share of 4 majors)</t>
        </is>
      </c>
      <c r="L451" t="inlineStr">
        <is>
          <t>2026-10-08</t>
        </is>
      </c>
    </row>
    <row r="452">
      <c r="A452" t="n">
        <v>451</v>
      </c>
      <c r="B452" t="inlineStr">
        <is>
          <t>NCAAB</t>
        </is>
      </c>
      <c r="C452" t="inlineStr">
        <is>
          <t>Vanderbilt</t>
        </is>
      </c>
      <c r="D452">
        <f>'NCAAB'!M27</f>
        <v/>
      </c>
      <c r="E452">
        <f>'NCAAB'!N27</f>
        <v/>
      </c>
      <c r="F452">
        <f>'NCAAB'!O27</f>
        <v/>
      </c>
      <c r="G452" t="n">
        <v>4</v>
      </c>
      <c r="I452" t="inlineStr"/>
      <c r="J452" t="inlineStr">
        <is>
          <t>C</t>
        </is>
      </c>
      <c r="K452" t="inlineStr">
        <is>
          <t>estimate</t>
        </is>
      </c>
      <c r="L452" t="inlineStr">
        <is>
          <t>2026-10-08</t>
        </is>
      </c>
    </row>
    <row r="453">
      <c r="A453" t="n">
        <v>452</v>
      </c>
      <c r="B453" t="inlineStr">
        <is>
          <t>Golf</t>
        </is>
      </c>
      <c r="C453" t="inlineStr">
        <is>
          <t>Patrick Reed</t>
        </is>
      </c>
      <c r="D453">
        <f>'Golf'!M33</f>
        <v/>
      </c>
      <c r="E453">
        <f>'Golf'!N33</f>
        <v/>
      </c>
      <c r="F453">
        <f>'Golf'!O33</f>
        <v/>
      </c>
      <c r="G453" t="n">
        <v>4</v>
      </c>
      <c r="I453" t="inlineStr">
        <is>
          <t>OWGR 29 (2026-10-08)</t>
        </is>
      </c>
      <c r="J453" t="inlineStr">
        <is>
          <t>C</t>
        </is>
      </c>
      <c r="K453" t="inlineStr">
        <is>
          <t>OWGR rank from league standings pull (A); major-win probabilities = model (rank-weighted share of 4 majors)</t>
        </is>
      </c>
      <c r="L453" t="inlineStr">
        <is>
          <t>2026-10-08</t>
        </is>
      </c>
    </row>
    <row r="454">
      <c r="A454" t="n">
        <v>453</v>
      </c>
      <c r="B454" t="inlineStr">
        <is>
          <t>NFL</t>
        </is>
      </c>
      <c r="C454" t="inlineStr">
        <is>
          <t>Pittsburgh Steelers</t>
        </is>
      </c>
      <c r="D454">
        <f>'NFL'!M21</f>
        <v/>
      </c>
      <c r="E454">
        <f>'NFL'!N21</f>
        <v/>
      </c>
      <c r="F454">
        <f>'NFL'!O21</f>
        <v/>
      </c>
      <c r="G454" t="n">
        <v>4</v>
      </c>
      <c r="H454" t="inlineStr">
        <is>
          <t>+6500</t>
        </is>
      </c>
      <c r="I454" t="inlineStr">
        <is>
          <t>2-2, AFC North</t>
        </is>
      </c>
      <c r="J454" t="inlineStr">
        <is>
          <t>C</t>
        </is>
      </c>
      <c r="K454" t="inlineStr">
        <is>
          <t>estimate</t>
        </is>
      </c>
      <c r="L454" t="inlineStr">
        <is>
          <t>2026-10-08</t>
        </is>
      </c>
    </row>
    <row r="455">
      <c r="A455" t="n">
        <v>454</v>
      </c>
      <c r="B455" t="inlineStr">
        <is>
          <t>NBA</t>
        </is>
      </c>
      <c r="C455" t="inlineStr">
        <is>
          <t>Charlotte Hornets</t>
        </is>
      </c>
      <c r="D455">
        <f>'NBA'!M24</f>
        <v/>
      </c>
      <c r="E455">
        <f>'NBA'!N24</f>
        <v/>
      </c>
      <c r="F455">
        <f>'NBA'!O24</f>
        <v/>
      </c>
      <c r="G455" t="n">
        <v>4</v>
      </c>
      <c r="I455" t="inlineStr">
        <is>
          <t>East; win total 39.5</t>
        </is>
      </c>
      <c r="J455" t="inlineStr">
        <is>
          <t>C</t>
        </is>
      </c>
      <c r="K455" t="inlineStr">
        <is>
          <t>BetMGM win total; title price estimated</t>
        </is>
      </c>
      <c r="L455" t="inlineStr">
        <is>
          <t>2026-10-08</t>
        </is>
      </c>
    </row>
    <row r="456">
      <c r="A456" t="n">
        <v>455</v>
      </c>
      <c r="B456" t="inlineStr">
        <is>
          <t>Golf</t>
        </is>
      </c>
      <c r="C456" t="inlineStr">
        <is>
          <t>Kristoffer Reitan</t>
        </is>
      </c>
      <c r="D456">
        <f>'Golf'!M34</f>
        <v/>
      </c>
      <c r="E456">
        <f>'Golf'!N34</f>
        <v/>
      </c>
      <c r="F456">
        <f>'Golf'!O34</f>
        <v/>
      </c>
      <c r="G456" t="n">
        <v>4</v>
      </c>
      <c r="I456" t="inlineStr">
        <is>
          <t>OWGR 30 (2026-10-08)</t>
        </is>
      </c>
      <c r="J456" t="inlineStr">
        <is>
          <t>C</t>
        </is>
      </c>
      <c r="K456" t="inlineStr">
        <is>
          <t>OWGR rank from league standings pull (A); major-win probabilities = model (rank-weighted share of 4 majors)</t>
        </is>
      </c>
      <c r="L456" t="inlineStr">
        <is>
          <t>2026-10-08</t>
        </is>
      </c>
    </row>
    <row r="457">
      <c r="A457" t="n">
        <v>456</v>
      </c>
      <c r="B457" t="inlineStr">
        <is>
          <t>Golf</t>
        </is>
      </c>
      <c r="C457" t="inlineStr">
        <is>
          <t>Min Woo Lee</t>
        </is>
      </c>
      <c r="D457">
        <f>'Golf'!M35</f>
        <v/>
      </c>
      <c r="E457">
        <f>'Golf'!N35</f>
        <v/>
      </c>
      <c r="F457">
        <f>'Golf'!O35</f>
        <v/>
      </c>
      <c r="G457" t="n">
        <v>4</v>
      </c>
      <c r="I457" t="inlineStr">
        <is>
          <t>OWGR 31 (2026-10-08)</t>
        </is>
      </c>
      <c r="J457" t="inlineStr">
        <is>
          <t>C</t>
        </is>
      </c>
      <c r="K457" t="inlineStr">
        <is>
          <t>OWGR rank from league standings pull (A); major-win probabilities = model (rank-weighted share of 4 majors)</t>
        </is>
      </c>
      <c r="L457" t="inlineStr">
        <is>
          <t>2026-10-08</t>
        </is>
      </c>
    </row>
    <row r="458">
      <c r="A458" t="n">
        <v>457</v>
      </c>
      <c r="B458" t="inlineStr">
        <is>
          <t>Golf</t>
        </is>
      </c>
      <c r="C458" t="inlineStr">
        <is>
          <t>Tom Kim</t>
        </is>
      </c>
      <c r="D458">
        <f>'Golf'!M36</f>
        <v/>
      </c>
      <c r="E458">
        <f>'Golf'!N36</f>
        <v/>
      </c>
      <c r="F458">
        <f>'Golf'!O36</f>
        <v/>
      </c>
      <c r="G458" t="n">
        <v>4</v>
      </c>
      <c r="I458" t="inlineStr">
        <is>
          <t>OWGR 32 (2026-10-08)</t>
        </is>
      </c>
      <c r="J458" t="inlineStr">
        <is>
          <t>C</t>
        </is>
      </c>
      <c r="K458" t="inlineStr">
        <is>
          <t>OWGR rank from league standings pull (A); major-win probabilities = model (rank-weighted share of 4 majors)</t>
        </is>
      </c>
      <c r="L458" t="inlineStr">
        <is>
          <t>2026-10-08</t>
        </is>
      </c>
    </row>
    <row r="459">
      <c r="A459" t="n">
        <v>458</v>
      </c>
      <c r="B459" t="inlineStr">
        <is>
          <t>Golf</t>
        </is>
      </c>
      <c r="C459" t="inlineStr">
        <is>
          <t>Michael Brennan</t>
        </is>
      </c>
      <c r="D459">
        <f>'Golf'!M37</f>
        <v/>
      </c>
      <c r="E459">
        <f>'Golf'!N37</f>
        <v/>
      </c>
      <c r="F459">
        <f>'Golf'!O37</f>
        <v/>
      </c>
      <c r="G459" t="n">
        <v>4</v>
      </c>
      <c r="I459" t="inlineStr">
        <is>
          <t>OWGR 33 (2026-10-08)</t>
        </is>
      </c>
      <c r="J459" t="inlineStr">
        <is>
          <t>C</t>
        </is>
      </c>
      <c r="K459" t="inlineStr">
        <is>
          <t>OWGR rank from league standings pull (A); major-win probabilities = model (rank-weighted share of 4 majors)</t>
        </is>
      </c>
      <c r="L459" t="inlineStr">
        <is>
          <t>2026-10-08</t>
        </is>
      </c>
    </row>
    <row r="460">
      <c r="A460" t="n">
        <v>459</v>
      </c>
      <c r="B460" t="inlineStr">
        <is>
          <t>NHL</t>
        </is>
      </c>
      <c r="C460" t="inlineStr">
        <is>
          <t>Pittsburgh Penguins</t>
        </is>
      </c>
      <c r="D460">
        <f>'NHL'!M25</f>
        <v/>
      </c>
      <c r="E460">
        <f>'NHL'!N25</f>
        <v/>
      </c>
      <c r="F460">
        <f>'NHL'!O25</f>
        <v/>
      </c>
      <c r="G460" t="n">
        <v>4</v>
      </c>
      <c r="H460" t="inlineStr">
        <is>
          <t>Kalshi +4900</t>
        </is>
      </c>
      <c r="I460" t="inlineStr">
        <is>
          <t>East</t>
        </is>
      </c>
      <c r="J460" t="inlineStr">
        <is>
          <t>C</t>
        </is>
      </c>
      <c r="K460" t="inlineStr">
        <is>
          <t>Kalshi Cup market (~1 month old) normalised; points totals SportsBettingDime</t>
        </is>
      </c>
      <c r="L460" t="inlineStr">
        <is>
          <t>2026-10-08</t>
        </is>
      </c>
    </row>
    <row r="461">
      <c r="A461" t="n">
        <v>460</v>
      </c>
      <c r="B461" t="inlineStr">
        <is>
          <t>NCAAB</t>
        </is>
      </c>
      <c r="C461" t="inlineStr">
        <is>
          <t>Texas</t>
        </is>
      </c>
      <c r="D461">
        <f>'NCAAB'!M28</f>
        <v/>
      </c>
      <c r="E461">
        <f>'NCAAB'!N28</f>
        <v/>
      </c>
      <c r="F461">
        <f>'NCAAB'!O28</f>
        <v/>
      </c>
      <c r="G461" t="n">
        <v>4</v>
      </c>
      <c r="I461" t="inlineStr"/>
      <c r="J461" t="inlineStr">
        <is>
          <t>C</t>
        </is>
      </c>
      <c r="K461" t="inlineStr">
        <is>
          <t>estimate</t>
        </is>
      </c>
      <c r="L461" t="inlineStr">
        <is>
          <t>2026-10-08</t>
        </is>
      </c>
    </row>
    <row r="462">
      <c r="A462" t="n">
        <v>461</v>
      </c>
      <c r="B462" t="inlineStr">
        <is>
          <t>Golf</t>
        </is>
      </c>
      <c r="C462" t="inlineStr">
        <is>
          <t>Akshay Bhatia</t>
        </is>
      </c>
      <c r="D462">
        <f>'Golf'!M38</f>
        <v/>
      </c>
      <c r="E462">
        <f>'Golf'!N38</f>
        <v/>
      </c>
      <c r="F462">
        <f>'Golf'!O38</f>
        <v/>
      </c>
      <c r="G462" t="n">
        <v>4</v>
      </c>
      <c r="I462" t="inlineStr">
        <is>
          <t>OWGR 34 (2026-10-08)</t>
        </is>
      </c>
      <c r="J462" t="inlineStr">
        <is>
          <t>C</t>
        </is>
      </c>
      <c r="K462" t="inlineStr">
        <is>
          <t>OWGR rank from league standings pull (A); major-win probabilities = model (rank-weighted share of 4 majors)</t>
        </is>
      </c>
      <c r="L462" t="inlineStr">
        <is>
          <t>2026-10-08</t>
        </is>
      </c>
    </row>
    <row r="463">
      <c r="A463" t="n">
        <v>462</v>
      </c>
      <c r="B463" t="inlineStr">
        <is>
          <t>NCAAB</t>
        </is>
      </c>
      <c r="C463" t="inlineStr">
        <is>
          <t>Wisconsin</t>
        </is>
      </c>
      <c r="D463">
        <f>'NCAAB'!M29</f>
        <v/>
      </c>
      <c r="E463">
        <f>'NCAAB'!N29</f>
        <v/>
      </c>
      <c r="F463">
        <f>'NCAAB'!O29</f>
        <v/>
      </c>
      <c r="G463" t="n">
        <v>4</v>
      </c>
      <c r="I463" t="inlineStr"/>
      <c r="J463" t="inlineStr">
        <is>
          <t>C</t>
        </is>
      </c>
      <c r="K463" t="inlineStr">
        <is>
          <t>estimate</t>
        </is>
      </c>
      <c r="L463" t="inlineStr">
        <is>
          <t>2026-10-08</t>
        </is>
      </c>
    </row>
    <row r="464">
      <c r="A464" t="n">
        <v>463</v>
      </c>
      <c r="B464" t="inlineStr">
        <is>
          <t>Golf</t>
        </is>
      </c>
      <c r="C464" t="inlineStr">
        <is>
          <t>Joaquin Niemann</t>
        </is>
      </c>
      <c r="D464">
        <f>'Golf'!M39</f>
        <v/>
      </c>
      <c r="E464">
        <f>'Golf'!N39</f>
        <v/>
      </c>
      <c r="F464">
        <f>'Golf'!O39</f>
        <v/>
      </c>
      <c r="G464" t="n">
        <v>4</v>
      </c>
      <c r="I464" t="inlineStr">
        <is>
          <t>OWGR 35 (2026-10-08)</t>
        </is>
      </c>
      <c r="J464" t="inlineStr">
        <is>
          <t>C</t>
        </is>
      </c>
      <c r="K464" t="inlineStr">
        <is>
          <t>OWGR rank from league standings pull (A); major-win probabilities = model (rank-weighted share of 4 majors)</t>
        </is>
      </c>
      <c r="L464" t="inlineStr">
        <is>
          <t>2026-10-08</t>
        </is>
      </c>
    </row>
    <row r="465">
      <c r="A465" t="n">
        <v>464</v>
      </c>
      <c r="B465" t="inlineStr">
        <is>
          <t>MLB</t>
        </is>
      </c>
      <c r="C465" t="inlineStr">
        <is>
          <t>Los Angeles Angels</t>
        </is>
      </c>
      <c r="D465">
        <f>'MLB'!M33</f>
        <v/>
      </c>
      <c r="E465">
        <f>'MLB'!N33</f>
        <v/>
      </c>
      <c r="F465">
        <f>'MLB'!O33</f>
        <v/>
      </c>
      <c r="G465" t="n">
        <v>4</v>
      </c>
      <c r="I465" t="inlineStr">
        <is>
          <t>2026: 62-100 (.3827)</t>
        </is>
      </c>
      <c r="J465" t="inlineStr">
        <is>
          <t>C</t>
        </is>
      </c>
      <c r="K465" t="inlineStr">
        <is>
          <t>2026 win% from league standings (A); title prob = model estimate — no 2027 World Series odds posted</t>
        </is>
      </c>
      <c r="L465" t="inlineStr">
        <is>
          <t>2026-10-08</t>
        </is>
      </c>
    </row>
    <row r="466">
      <c r="A466" t="n">
        <v>465</v>
      </c>
      <c r="B466" t="inlineStr">
        <is>
          <t>NCAAB</t>
        </is>
      </c>
      <c r="C466" t="inlineStr">
        <is>
          <t>Creighton</t>
        </is>
      </c>
      <c r="D466">
        <f>'NCAAB'!M30</f>
        <v/>
      </c>
      <c r="E466">
        <f>'NCAAB'!N30</f>
        <v/>
      </c>
      <c r="F466">
        <f>'NCAAB'!O30</f>
        <v/>
      </c>
      <c r="G466" t="n">
        <v>4</v>
      </c>
      <c r="I466" t="inlineStr"/>
      <c r="J466" t="inlineStr">
        <is>
          <t>C</t>
        </is>
      </c>
      <c r="K466" t="inlineStr">
        <is>
          <t>estimate</t>
        </is>
      </c>
      <c r="L466" t="inlineStr">
        <is>
          <t>2026-10-08</t>
        </is>
      </c>
    </row>
    <row r="467">
      <c r="A467" t="n">
        <v>466</v>
      </c>
      <c r="B467" t="inlineStr">
        <is>
          <t>Golf</t>
        </is>
      </c>
      <c r="C467" t="inlineStr">
        <is>
          <t>Sepp Straka</t>
        </is>
      </c>
      <c r="D467">
        <f>'Golf'!M40</f>
        <v/>
      </c>
      <c r="E467">
        <f>'Golf'!N40</f>
        <v/>
      </c>
      <c r="F467">
        <f>'Golf'!O40</f>
        <v/>
      </c>
      <c r="G467" t="n">
        <v>4</v>
      </c>
      <c r="I467" t="inlineStr">
        <is>
          <t>OWGR 36 (2026-10-08)</t>
        </is>
      </c>
      <c r="J467" t="inlineStr">
        <is>
          <t>C</t>
        </is>
      </c>
      <c r="K467" t="inlineStr">
        <is>
          <t>OWGR rank from league standings pull (A); major-win probabilities = model (rank-weighted share of 4 majors)</t>
        </is>
      </c>
      <c r="L467" t="inlineStr">
        <is>
          <t>2026-10-08</t>
        </is>
      </c>
    </row>
    <row r="468">
      <c r="A468" t="n">
        <v>467</v>
      </c>
      <c r="B468" t="inlineStr">
        <is>
          <t>Golf</t>
        </is>
      </c>
      <c r="C468" t="inlineStr">
        <is>
          <t>Bryson DeChambeau</t>
        </is>
      </c>
      <c r="D468">
        <f>'Golf'!M41</f>
        <v/>
      </c>
      <c r="E468">
        <f>'Golf'!N41</f>
        <v/>
      </c>
      <c r="F468">
        <f>'Golf'!O41</f>
        <v/>
      </c>
      <c r="G468" t="n">
        <v>4</v>
      </c>
      <c r="I468" t="inlineStr">
        <is>
          <t>OWGR 37 (2026-10-08)</t>
        </is>
      </c>
      <c r="J468" t="inlineStr">
        <is>
          <t>C</t>
        </is>
      </c>
      <c r="K468" t="inlineStr">
        <is>
          <t>OWGR rank from league standings pull (A); major-win probabilities = model (rank-weighted share of 4 majors)</t>
        </is>
      </c>
      <c r="L468" t="inlineStr">
        <is>
          <t>2026-10-08</t>
        </is>
      </c>
    </row>
    <row r="469">
      <c r="A469" t="n">
        <v>468</v>
      </c>
      <c r="B469" t="inlineStr">
        <is>
          <t>Golf</t>
        </is>
      </c>
      <c r="C469" t="inlineStr">
        <is>
          <t>J.T. Poston</t>
        </is>
      </c>
      <c r="D469">
        <f>'Golf'!M42</f>
        <v/>
      </c>
      <c r="E469">
        <f>'Golf'!N42</f>
        <v/>
      </c>
      <c r="F469">
        <f>'Golf'!O42</f>
        <v/>
      </c>
      <c r="G469" t="n">
        <v>4</v>
      </c>
      <c r="I469" t="inlineStr">
        <is>
          <t>OWGR 38 (2026-10-08)</t>
        </is>
      </c>
      <c r="J469" t="inlineStr">
        <is>
          <t>C</t>
        </is>
      </c>
      <c r="K469" t="inlineStr">
        <is>
          <t>OWGR rank from league standings pull (A); major-win probabilities = model (rank-weighted share of 4 majors)</t>
        </is>
      </c>
      <c r="L469" t="inlineStr">
        <is>
          <t>2026-10-08</t>
        </is>
      </c>
    </row>
    <row r="470">
      <c r="A470" t="n">
        <v>469</v>
      </c>
      <c r="B470" t="inlineStr">
        <is>
          <t>Golf</t>
        </is>
      </c>
      <c r="C470" t="inlineStr">
        <is>
          <t>Shane Lowry</t>
        </is>
      </c>
      <c r="D470">
        <f>'Golf'!M43</f>
        <v/>
      </c>
      <c r="E470">
        <f>'Golf'!N43</f>
        <v/>
      </c>
      <c r="F470">
        <f>'Golf'!O43</f>
        <v/>
      </c>
      <c r="G470" t="n">
        <v>4</v>
      </c>
      <c r="I470" t="inlineStr">
        <is>
          <t>OWGR 39 (2026-10-08)</t>
        </is>
      </c>
      <c r="J470" t="inlineStr">
        <is>
          <t>C</t>
        </is>
      </c>
      <c r="K470" t="inlineStr">
        <is>
          <t>OWGR rank from league standings pull (A); major-win probabilities = model (rank-weighted share of 4 majors)</t>
        </is>
      </c>
      <c r="L470" t="inlineStr">
        <is>
          <t>2026-10-08</t>
        </is>
      </c>
    </row>
    <row r="471">
      <c r="A471" t="n">
        <v>470</v>
      </c>
      <c r="B471" t="inlineStr">
        <is>
          <t>Golf</t>
        </is>
      </c>
      <c r="C471" t="inlineStr">
        <is>
          <t>Michael Thorbjornsen</t>
        </is>
      </c>
      <c r="D471">
        <f>'Golf'!M44</f>
        <v/>
      </c>
      <c r="E471">
        <f>'Golf'!N44</f>
        <v/>
      </c>
      <c r="F471">
        <f>'Golf'!O44</f>
        <v/>
      </c>
      <c r="G471" t="n">
        <v>4</v>
      </c>
      <c r="I471" t="inlineStr">
        <is>
          <t>OWGR 40 (2026-10-08)</t>
        </is>
      </c>
      <c r="J471" t="inlineStr">
        <is>
          <t>C</t>
        </is>
      </c>
      <c r="K471" t="inlineStr">
        <is>
          <t>OWGR rank from league standings pull (A); major-win probabilities = model (rank-weighted share of 4 majors)</t>
        </is>
      </c>
      <c r="L471" t="inlineStr">
        <is>
          <t>2026-10-08</t>
        </is>
      </c>
    </row>
    <row r="472">
      <c r="A472" t="n">
        <v>471</v>
      </c>
      <c r="B472" t="inlineStr">
        <is>
          <t>NCAAB</t>
        </is>
      </c>
      <c r="C472" t="inlineStr">
        <is>
          <t>Baylor</t>
        </is>
      </c>
      <c r="D472">
        <f>'NCAAB'!M31</f>
        <v/>
      </c>
      <c r="E472">
        <f>'NCAAB'!N31</f>
        <v/>
      </c>
      <c r="F472">
        <f>'NCAAB'!O31</f>
        <v/>
      </c>
      <c r="G472" t="n">
        <v>4</v>
      </c>
      <c r="I472" t="inlineStr"/>
      <c r="J472" t="inlineStr">
        <is>
          <t>C</t>
        </is>
      </c>
      <c r="K472" t="inlineStr">
        <is>
          <t>estimate</t>
        </is>
      </c>
      <c r="L472" t="inlineStr">
        <is>
          <t>2026-10-08</t>
        </is>
      </c>
    </row>
    <row r="473">
      <c r="A473" t="n">
        <v>472</v>
      </c>
      <c r="B473" t="inlineStr">
        <is>
          <t>NCAAF</t>
        </is>
      </c>
      <c r="C473" t="inlineStr">
        <is>
          <t>Utah</t>
        </is>
      </c>
      <c r="D473">
        <f>'NCAAF'!M17</f>
        <v/>
      </c>
      <c r="E473">
        <f>'NCAAF'!N17</f>
        <v/>
      </c>
      <c r="F473">
        <f>'NCAAF'!O17</f>
        <v/>
      </c>
      <c r="G473" t="n">
        <v>3</v>
      </c>
      <c r="H473" t="inlineStr">
        <is>
          <t>+8000</t>
        </is>
      </c>
      <c r="I473" t="inlineStr">
        <is>
          <t>AP #12, 4-0, Big 12</t>
        </is>
      </c>
      <c r="J473" t="inlineStr">
        <is>
          <t>C</t>
        </is>
      </c>
      <c r="K473" t="inlineStr">
        <is>
          <t>estimate</t>
        </is>
      </c>
      <c r="L473" t="inlineStr">
        <is>
          <t>2026-10-08</t>
        </is>
      </c>
    </row>
    <row r="474">
      <c r="A474" t="n">
        <v>473</v>
      </c>
      <c r="B474" t="inlineStr">
        <is>
          <t>NCAAB</t>
        </is>
      </c>
      <c r="C474" t="inlineStr">
        <is>
          <t>Virginia</t>
        </is>
      </c>
      <c r="D474">
        <f>'NCAAB'!M32</f>
        <v/>
      </c>
      <c r="E474">
        <f>'NCAAB'!N32</f>
        <v/>
      </c>
      <c r="F474">
        <f>'NCAAB'!O32</f>
        <v/>
      </c>
      <c r="G474" t="n">
        <v>4</v>
      </c>
      <c r="I474" t="inlineStr"/>
      <c r="J474" t="inlineStr">
        <is>
          <t>C</t>
        </is>
      </c>
      <c r="K474" t="inlineStr">
        <is>
          <t>estimate</t>
        </is>
      </c>
      <c r="L474" t="inlineStr">
        <is>
          <t>2026-10-08</t>
        </is>
      </c>
    </row>
    <row r="475">
      <c r="A475" t="n">
        <v>474</v>
      </c>
      <c r="B475" t="inlineStr">
        <is>
          <t>NBA</t>
        </is>
      </c>
      <c r="C475" t="inlineStr">
        <is>
          <t>Utah Jazz</t>
        </is>
      </c>
      <c r="D475">
        <f>'NBA'!M25</f>
        <v/>
      </c>
      <c r="E475">
        <f>'NBA'!N25</f>
        <v/>
      </c>
      <c r="F475">
        <f>'NBA'!O25</f>
        <v/>
      </c>
      <c r="G475" t="n">
        <v>4</v>
      </c>
      <c r="I475" t="inlineStr">
        <is>
          <t>West; win total 37.5</t>
        </is>
      </c>
      <c r="J475" t="inlineStr">
        <is>
          <t>C</t>
        </is>
      </c>
      <c r="K475" t="inlineStr">
        <is>
          <t>BetMGM win total; title price estimated; p(final)=KXNBAEAST/KXNBAWEST-27 Kalshi mid</t>
        </is>
      </c>
      <c r="L475" t="inlineStr">
        <is>
          <t>2026-10-08</t>
        </is>
      </c>
    </row>
    <row r="476">
      <c r="A476" t="n">
        <v>475</v>
      </c>
      <c r="B476" t="inlineStr">
        <is>
          <t>NFL</t>
        </is>
      </c>
      <c r="C476" t="inlineStr">
        <is>
          <t>Indianapolis Colts</t>
        </is>
      </c>
      <c r="D476">
        <f>'NFL'!M22</f>
        <v/>
      </c>
      <c r="E476">
        <f>'NFL'!N22</f>
        <v/>
      </c>
      <c r="F476">
        <f>'NFL'!O22</f>
        <v/>
      </c>
      <c r="G476" t="n">
        <v>4</v>
      </c>
      <c r="H476" t="inlineStr">
        <is>
          <t>+6500</t>
        </is>
      </c>
      <c r="I476" t="inlineStr">
        <is>
          <t>2-2, AFC South</t>
        </is>
      </c>
      <c r="J476" t="inlineStr">
        <is>
          <t>C</t>
        </is>
      </c>
      <c r="K476" t="inlineStr">
        <is>
          <t>estimate</t>
        </is>
      </c>
      <c r="L476" t="inlineStr">
        <is>
          <t>2026-10-08</t>
        </is>
      </c>
    </row>
    <row r="477">
      <c r="A477" t="n">
        <v>476</v>
      </c>
      <c r="B477" t="inlineStr">
        <is>
          <t>NFL</t>
        </is>
      </c>
      <c r="C477" t="inlineStr">
        <is>
          <t>Cleveland Browns</t>
        </is>
      </c>
      <c r="D477">
        <f>'NFL'!M23</f>
        <v/>
      </c>
      <c r="E477">
        <f>'NFL'!N23</f>
        <v/>
      </c>
      <c r="F477">
        <f>'NFL'!O23</f>
        <v/>
      </c>
      <c r="G477" t="n">
        <v>4</v>
      </c>
      <c r="H477" t="inlineStr">
        <is>
          <t>+7500</t>
        </is>
      </c>
      <c r="I477" t="inlineStr">
        <is>
          <t>3-1, AFC North</t>
        </is>
      </c>
      <c r="J477" t="inlineStr">
        <is>
          <t>C</t>
        </is>
      </c>
      <c r="K477" t="inlineStr">
        <is>
          <t>estimate; p(final)=KXNFLAFCCHAMP/KXNFLNFCCHAMP-27 Kalshi mid</t>
        </is>
      </c>
      <c r="L477" t="inlineStr">
        <is>
          <t>2026-10-08</t>
        </is>
      </c>
    </row>
    <row r="478">
      <c r="A478" t="n">
        <v>477</v>
      </c>
      <c r="B478" t="inlineStr">
        <is>
          <t>NCAAB</t>
        </is>
      </c>
      <c r="C478" t="inlineStr">
        <is>
          <t>Missouri</t>
        </is>
      </c>
      <c r="D478">
        <f>'NCAAB'!M33</f>
        <v/>
      </c>
      <c r="E478">
        <f>'NCAAB'!N33</f>
        <v/>
      </c>
      <c r="F478">
        <f>'NCAAB'!O33</f>
        <v/>
      </c>
      <c r="G478" t="n">
        <v>4</v>
      </c>
      <c r="I478" t="inlineStr"/>
      <c r="J478" t="inlineStr">
        <is>
          <t>C</t>
        </is>
      </c>
      <c r="K478" t="inlineStr">
        <is>
          <t>estimate</t>
        </is>
      </c>
      <c r="L478" t="inlineStr">
        <is>
          <t>2026-10-08</t>
        </is>
      </c>
    </row>
    <row r="479">
      <c r="A479" t="n">
        <v>478</v>
      </c>
      <c r="B479" t="inlineStr">
        <is>
          <t>NHL</t>
        </is>
      </c>
      <c r="C479" t="inlineStr">
        <is>
          <t>Boston Bruins</t>
        </is>
      </c>
      <c r="D479">
        <f>'NHL'!M26</f>
        <v/>
      </c>
      <c r="E479">
        <f>'NHL'!N26</f>
        <v/>
      </c>
      <c r="F479">
        <f>'NHL'!O26</f>
        <v/>
      </c>
      <c r="G479" t="n">
        <v>4</v>
      </c>
      <c r="H479" t="inlineStr">
        <is>
          <t>Kalshi +9900</t>
        </is>
      </c>
      <c r="I479" t="inlineStr">
        <is>
          <t>East</t>
        </is>
      </c>
      <c r="J479" t="inlineStr">
        <is>
          <t>C</t>
        </is>
      </c>
      <c r="K479" t="inlineStr">
        <is>
          <t>Kalshi Cup market (~1 month old) normalised; points totals SportsBettingDime</t>
        </is>
      </c>
      <c r="L479" t="inlineStr">
        <is>
          <t>2026-10-08</t>
        </is>
      </c>
    </row>
    <row r="480">
      <c r="A480" t="n">
        <v>479</v>
      </c>
      <c r="B480" t="inlineStr">
        <is>
          <t>NHL</t>
        </is>
      </c>
      <c r="C480" t="inlineStr">
        <is>
          <t>Winnipeg Jets</t>
        </is>
      </c>
      <c r="D480">
        <f>'NHL'!M27</f>
        <v/>
      </c>
      <c r="E480">
        <f>'NHL'!N27</f>
        <v/>
      </c>
      <c r="F480">
        <f>'NHL'!O27</f>
        <v/>
      </c>
      <c r="G480" t="n">
        <v>4</v>
      </c>
      <c r="H480" t="inlineStr">
        <is>
          <t>Kalshi +9900</t>
        </is>
      </c>
      <c r="I480" t="inlineStr">
        <is>
          <t>West</t>
        </is>
      </c>
      <c r="J480" t="inlineStr">
        <is>
          <t>C</t>
        </is>
      </c>
      <c r="K480" t="inlineStr">
        <is>
          <t>Kalshi Cup market (~1 month old) normalised; points totals SportsBettingDime</t>
        </is>
      </c>
      <c r="L480" t="inlineStr">
        <is>
          <t>2026-10-08</t>
        </is>
      </c>
    </row>
    <row r="481">
      <c r="A481" t="n">
        <v>480</v>
      </c>
      <c r="B481" t="inlineStr">
        <is>
          <t>NHL</t>
        </is>
      </c>
      <c r="C481" t="inlineStr">
        <is>
          <t>New York Islanders</t>
        </is>
      </c>
      <c r="D481">
        <f>'NHL'!M28</f>
        <v/>
      </c>
      <c r="E481">
        <f>'NHL'!N28</f>
        <v/>
      </c>
      <c r="F481">
        <f>'NHL'!O28</f>
        <v/>
      </c>
      <c r="G481" t="n">
        <v>4</v>
      </c>
      <c r="H481" t="inlineStr">
        <is>
          <t>Kalshi +9900</t>
        </is>
      </c>
      <c r="I481" t="inlineStr">
        <is>
          <t>East</t>
        </is>
      </c>
      <c r="J481" t="inlineStr">
        <is>
          <t>C</t>
        </is>
      </c>
      <c r="K481" t="inlineStr">
        <is>
          <t>Kalshi Cup market (~1 month old) normalised; points totals SportsBettingDime</t>
        </is>
      </c>
      <c r="L481" t="inlineStr">
        <is>
          <t>2026-10-08</t>
        </is>
      </c>
    </row>
    <row r="482">
      <c r="A482" t="n">
        <v>481</v>
      </c>
      <c r="B482" t="inlineStr">
        <is>
          <t>NBA</t>
        </is>
      </c>
      <c r="C482" t="inlineStr">
        <is>
          <t>Dallas Mavericks</t>
        </is>
      </c>
      <c r="D482">
        <f>'NBA'!M26</f>
        <v/>
      </c>
      <c r="E482">
        <f>'NBA'!N26</f>
        <v/>
      </c>
      <c r="F482">
        <f>'NBA'!O26</f>
        <v/>
      </c>
      <c r="G482" t="n">
        <v>4</v>
      </c>
      <c r="I482" t="inlineStr">
        <is>
          <t>West; win total 34.5</t>
        </is>
      </c>
      <c r="J482" t="inlineStr">
        <is>
          <t>C</t>
        </is>
      </c>
      <c r="K482" t="inlineStr">
        <is>
          <t>BetMGM win total; title price estimated</t>
        </is>
      </c>
      <c r="L482" t="inlineStr">
        <is>
          <t>2026-10-08</t>
        </is>
      </c>
    </row>
    <row r="483">
      <c r="A483" t="n">
        <v>482</v>
      </c>
      <c r="B483" t="inlineStr">
        <is>
          <t>MLB</t>
        </is>
      </c>
      <c r="C483" t="inlineStr">
        <is>
          <t>Colorado Rockies</t>
        </is>
      </c>
      <c r="D483">
        <f>'MLB'!M34</f>
        <v/>
      </c>
      <c r="E483">
        <f>'MLB'!N34</f>
        <v/>
      </c>
      <c r="F483">
        <f>'MLB'!O34</f>
        <v/>
      </c>
      <c r="G483" t="n">
        <v>4</v>
      </c>
      <c r="I483" t="inlineStr">
        <is>
          <t>2026: 58-104 (.3580)</t>
        </is>
      </c>
      <c r="J483" t="inlineStr">
        <is>
          <t>C</t>
        </is>
      </c>
      <c r="K483" t="inlineStr">
        <is>
          <t>2026 win% from league standings (A); title prob = model estimate — no 2027 World Series odds posted</t>
        </is>
      </c>
      <c r="L483" t="inlineStr">
        <is>
          <t>2026-10-08</t>
        </is>
      </c>
    </row>
    <row r="484">
      <c r="A484" t="n">
        <v>483</v>
      </c>
      <c r="B484" t="inlineStr">
        <is>
          <t>NBA</t>
        </is>
      </c>
      <c r="C484" t="inlineStr">
        <is>
          <t>Washington Wizards</t>
        </is>
      </c>
      <c r="D484">
        <f>'NBA'!M27</f>
        <v/>
      </c>
      <c r="E484">
        <f>'NBA'!N27</f>
        <v/>
      </c>
      <c r="F484">
        <f>'NBA'!O27</f>
        <v/>
      </c>
      <c r="G484" t="n">
        <v>4</v>
      </c>
      <c r="I484" t="inlineStr">
        <is>
          <t>East; win total 34.5</t>
        </is>
      </c>
      <c r="J484" t="inlineStr">
        <is>
          <t>C</t>
        </is>
      </c>
      <c r="K484" t="inlineStr">
        <is>
          <t>BetMGM win total; title price estimated</t>
        </is>
      </c>
      <c r="L484" t="inlineStr">
        <is>
          <t>2026-10-08</t>
        </is>
      </c>
    </row>
    <row r="485">
      <c r="A485" t="n">
        <v>484</v>
      </c>
      <c r="B485" t="inlineStr">
        <is>
          <t>NHL</t>
        </is>
      </c>
      <c r="C485" t="inlineStr">
        <is>
          <t>New York Rangers</t>
        </is>
      </c>
      <c r="D485">
        <f>'NHL'!M29</f>
        <v/>
      </c>
      <c r="E485">
        <f>'NHL'!N29</f>
        <v/>
      </c>
      <c r="F485">
        <f>'NHL'!O29</f>
        <v/>
      </c>
      <c r="G485" t="n">
        <v>4</v>
      </c>
      <c r="H485" t="inlineStr">
        <is>
          <t>Kalshi +6567</t>
        </is>
      </c>
      <c r="I485" t="inlineStr">
        <is>
          <t>East</t>
        </is>
      </c>
      <c r="J485" t="inlineStr">
        <is>
          <t>C</t>
        </is>
      </c>
      <c r="K485" t="inlineStr">
        <is>
          <t>Kalshi Cup market (~1 month old) normalised; points totals SportsBettingDime; p(final)=KXNHLEAST/KXNHLWEST-27 Kalshi mid</t>
        </is>
      </c>
      <c r="L485" t="inlineStr">
        <is>
          <t>2026-10-08</t>
        </is>
      </c>
    </row>
    <row r="486">
      <c r="A486" t="n">
        <v>485</v>
      </c>
      <c r="B486" t="inlineStr">
        <is>
          <t>NFL</t>
        </is>
      </c>
      <c r="C486" t="inlineStr">
        <is>
          <t>Las Vegas Raiders</t>
        </is>
      </c>
      <c r="D486">
        <f>'NFL'!M24</f>
        <v/>
      </c>
      <c r="E486">
        <f>'NFL'!N24</f>
        <v/>
      </c>
      <c r="F486">
        <f>'NFL'!O24</f>
        <v/>
      </c>
      <c r="G486" t="n">
        <v>4</v>
      </c>
      <c r="H486" t="inlineStr">
        <is>
          <t>+6500</t>
        </is>
      </c>
      <c r="I486" t="inlineStr">
        <is>
          <t>3-1, AFC West</t>
        </is>
      </c>
      <c r="J486" t="inlineStr">
        <is>
          <t>C</t>
        </is>
      </c>
      <c r="K486" t="inlineStr">
        <is>
          <t>estimate</t>
        </is>
      </c>
      <c r="L486" t="inlineStr">
        <is>
          <t>2026-10-08</t>
        </is>
      </c>
    </row>
    <row r="487">
      <c r="A487" t="n">
        <v>486</v>
      </c>
      <c r="B487" t="inlineStr">
        <is>
          <t>NCAAF</t>
        </is>
      </c>
      <c r="C487" t="inlineStr">
        <is>
          <t>Florida</t>
        </is>
      </c>
      <c r="D487">
        <f>'NCAAF'!M18</f>
        <v/>
      </c>
      <c r="E487">
        <f>'NCAAF'!N18</f>
        <v/>
      </c>
      <c r="F487">
        <f>'NCAAF'!O18</f>
        <v/>
      </c>
      <c r="G487" t="n">
        <v>4</v>
      </c>
      <c r="H487" t="inlineStr">
        <is>
          <t>Kalshi 1.5%</t>
        </is>
      </c>
      <c r="I487" t="inlineStr">
        <is>
          <t>AP #16, 4-1, SEC</t>
        </is>
      </c>
      <c r="J487" t="inlineStr">
        <is>
          <t>A</t>
        </is>
      </c>
      <c r="K487" t="inlineStr">
        <is>
          <t>KXNCAAF-27 exchange mid-price, pulled 2026-10-08</t>
        </is>
      </c>
      <c r="L487" t="inlineStr">
        <is>
          <t>2026-10-08</t>
        </is>
      </c>
    </row>
    <row r="488">
      <c r="A488" t="n">
        <v>487</v>
      </c>
      <c r="B488" t="inlineStr">
        <is>
          <t>NBA</t>
        </is>
      </c>
      <c r="C488" t="inlineStr">
        <is>
          <t>Los Angeles Clippers</t>
        </is>
      </c>
      <c r="D488">
        <f>'NBA'!M28</f>
        <v/>
      </c>
      <c r="E488">
        <f>'NBA'!N28</f>
        <v/>
      </c>
      <c r="F488">
        <f>'NBA'!O28</f>
        <v/>
      </c>
      <c r="G488" t="n">
        <v>4</v>
      </c>
      <c r="I488" t="inlineStr">
        <is>
          <t>West; win total 30.5</t>
        </is>
      </c>
      <c r="J488" t="inlineStr">
        <is>
          <t>C</t>
        </is>
      </c>
      <c r="K488" t="inlineStr">
        <is>
          <t>BetMGM win total; title price estimated</t>
        </is>
      </c>
      <c r="L488" t="inlineStr">
        <is>
          <t>2026-10-08</t>
        </is>
      </c>
    </row>
    <row r="489">
      <c r="A489" t="n">
        <v>488</v>
      </c>
      <c r="B489" t="inlineStr">
        <is>
          <t>NBA</t>
        </is>
      </c>
      <c r="C489" t="inlineStr">
        <is>
          <t>Memphis Grizzlies</t>
        </is>
      </c>
      <c r="D489">
        <f>'NBA'!M29</f>
        <v/>
      </c>
      <c r="E489">
        <f>'NBA'!N29</f>
        <v/>
      </c>
      <c r="F489">
        <f>'NBA'!O29</f>
        <v/>
      </c>
      <c r="G489" t="n">
        <v>4</v>
      </c>
      <c r="I489" t="inlineStr">
        <is>
          <t>West; win total 29.5</t>
        </is>
      </c>
      <c r="J489" t="inlineStr">
        <is>
          <t>C</t>
        </is>
      </c>
      <c r="K489" t="inlineStr">
        <is>
          <t>BetMGM win total; title price estimated</t>
        </is>
      </c>
      <c r="L489" t="inlineStr">
        <is>
          <t>2026-10-08</t>
        </is>
      </c>
    </row>
    <row r="490">
      <c r="A490" t="n">
        <v>489</v>
      </c>
      <c r="B490" t="inlineStr">
        <is>
          <t>NBA</t>
        </is>
      </c>
      <c r="C490" t="inlineStr">
        <is>
          <t>Chicago Bulls</t>
        </is>
      </c>
      <c r="D490">
        <f>'NBA'!M30</f>
        <v/>
      </c>
      <c r="E490">
        <f>'NBA'!N30</f>
        <v/>
      </c>
      <c r="F490">
        <f>'NBA'!O30</f>
        <v/>
      </c>
      <c r="G490" t="n">
        <v>4</v>
      </c>
      <c r="I490" t="inlineStr">
        <is>
          <t>East; win total 29.5</t>
        </is>
      </c>
      <c r="J490" t="inlineStr">
        <is>
          <t>C</t>
        </is>
      </c>
      <c r="K490" t="inlineStr">
        <is>
          <t>BetMGM win total; title price estimated</t>
        </is>
      </c>
      <c r="L490" t="inlineStr">
        <is>
          <t>2026-10-08</t>
        </is>
      </c>
    </row>
    <row r="491">
      <c r="A491" t="n">
        <v>490</v>
      </c>
      <c r="B491" t="inlineStr">
        <is>
          <t>NBA</t>
        </is>
      </c>
      <c r="C491" t="inlineStr">
        <is>
          <t>Milwaukee Bucks</t>
        </is>
      </c>
      <c r="D491">
        <f>'NBA'!M31</f>
        <v/>
      </c>
      <c r="E491">
        <f>'NBA'!N31</f>
        <v/>
      </c>
      <c r="F491">
        <f>'NBA'!O31</f>
        <v/>
      </c>
      <c r="G491" t="n">
        <v>4</v>
      </c>
      <c r="I491" t="inlineStr">
        <is>
          <t>East; win total 25.5</t>
        </is>
      </c>
      <c r="J491" t="inlineStr">
        <is>
          <t>C</t>
        </is>
      </c>
      <c r="K491" t="inlineStr">
        <is>
          <t>BetMGM win total; title price estimated</t>
        </is>
      </c>
      <c r="L491" t="inlineStr">
        <is>
          <t>2026-10-08</t>
        </is>
      </c>
    </row>
    <row r="492">
      <c r="A492" t="n">
        <v>491</v>
      </c>
      <c r="B492" t="inlineStr">
        <is>
          <t>NBA</t>
        </is>
      </c>
      <c r="C492" t="inlineStr">
        <is>
          <t>New Orleans Pelicans</t>
        </is>
      </c>
      <c r="D492">
        <f>'NBA'!M32</f>
        <v/>
      </c>
      <c r="E492">
        <f>'NBA'!N32</f>
        <v/>
      </c>
      <c r="F492">
        <f>'NBA'!O32</f>
        <v/>
      </c>
      <c r="G492" t="n">
        <v>4</v>
      </c>
      <c r="I492" t="inlineStr">
        <is>
          <t>West; win total 27.5</t>
        </is>
      </c>
      <c r="J492" t="inlineStr">
        <is>
          <t>C</t>
        </is>
      </c>
      <c r="K492" t="inlineStr">
        <is>
          <t>BetMGM win total; title price estimated</t>
        </is>
      </c>
      <c r="L492" t="inlineStr">
        <is>
          <t>2026-10-08</t>
        </is>
      </c>
    </row>
    <row r="493">
      <c r="A493" t="n">
        <v>492</v>
      </c>
      <c r="B493" t="inlineStr">
        <is>
          <t>NBA</t>
        </is>
      </c>
      <c r="C493" t="inlineStr">
        <is>
          <t>Brooklyn Nets</t>
        </is>
      </c>
      <c r="D493">
        <f>'NBA'!M33</f>
        <v/>
      </c>
      <c r="E493">
        <f>'NBA'!N33</f>
        <v/>
      </c>
      <c r="F493">
        <f>'NBA'!O33</f>
        <v/>
      </c>
      <c r="G493" t="n">
        <v>4</v>
      </c>
      <c r="I493" t="inlineStr">
        <is>
          <t>East; win total 24.5</t>
        </is>
      </c>
      <c r="J493" t="inlineStr">
        <is>
          <t>C</t>
        </is>
      </c>
      <c r="K493" t="inlineStr">
        <is>
          <t>BetMGM win total; title price estimated</t>
        </is>
      </c>
      <c r="L493" t="inlineStr">
        <is>
          <t>2026-10-08</t>
        </is>
      </c>
    </row>
    <row r="494">
      <c r="A494" t="n">
        <v>493</v>
      </c>
      <c r="B494" t="inlineStr">
        <is>
          <t>NBA</t>
        </is>
      </c>
      <c r="C494" t="inlineStr">
        <is>
          <t>Sacramento Kings</t>
        </is>
      </c>
      <c r="D494">
        <f>'NBA'!M34</f>
        <v/>
      </c>
      <c r="E494">
        <f>'NBA'!N34</f>
        <v/>
      </c>
      <c r="F494">
        <f>'NBA'!O34</f>
        <v/>
      </c>
      <c r="G494" t="n">
        <v>4</v>
      </c>
      <c r="I494" t="inlineStr">
        <is>
          <t>West; win total 21.5</t>
        </is>
      </c>
      <c r="J494" t="inlineStr">
        <is>
          <t>C</t>
        </is>
      </c>
      <c r="K494" t="inlineStr">
        <is>
          <t>BetMGM win total; title price estimated</t>
        </is>
      </c>
      <c r="L494" t="inlineStr">
        <is>
          <t>2026-10-08</t>
        </is>
      </c>
    </row>
    <row r="495">
      <c r="A495" t="n">
        <v>494</v>
      </c>
      <c r="B495" t="inlineStr">
        <is>
          <t>NHL</t>
        </is>
      </c>
      <c r="C495" t="inlineStr">
        <is>
          <t>Detroit Red Wings</t>
        </is>
      </c>
      <c r="D495">
        <f>'NHL'!M30</f>
        <v/>
      </c>
      <c r="E495">
        <f>'NHL'!N30</f>
        <v/>
      </c>
      <c r="F495">
        <f>'NHL'!O30</f>
        <v/>
      </c>
      <c r="G495" t="n">
        <v>4</v>
      </c>
      <c r="H495" t="inlineStr">
        <is>
          <t>Kalshi +9900</t>
        </is>
      </c>
      <c r="I495" t="inlineStr">
        <is>
          <t>East</t>
        </is>
      </c>
      <c r="J495" t="inlineStr">
        <is>
          <t>C</t>
        </is>
      </c>
      <c r="K495" t="inlineStr">
        <is>
          <t>Kalshi Cup market (~1 month old) normalised; points totals SportsBettingDime</t>
        </is>
      </c>
      <c r="L495" t="inlineStr">
        <is>
          <t>2026-10-08</t>
        </is>
      </c>
    </row>
    <row r="496">
      <c r="A496" t="n">
        <v>495</v>
      </c>
      <c r="B496" t="inlineStr">
        <is>
          <t>NCAAF</t>
        </is>
      </c>
      <c r="C496" t="inlineStr">
        <is>
          <t>Missouri</t>
        </is>
      </c>
      <c r="D496">
        <f>'NCAAF'!M19</f>
        <v/>
      </c>
      <c r="E496">
        <f>'NCAAF'!N19</f>
        <v/>
      </c>
      <c r="F496">
        <f>'NCAAF'!O19</f>
        <v/>
      </c>
      <c r="G496" t="n">
        <v>4</v>
      </c>
      <c r="H496" t="inlineStr">
        <is>
          <t>+10000</t>
        </is>
      </c>
      <c r="I496" t="inlineStr">
        <is>
          <t>AP #14, 4-1, SEC</t>
        </is>
      </c>
      <c r="J496" t="inlineStr">
        <is>
          <t>C</t>
        </is>
      </c>
      <c r="K496" t="inlineStr">
        <is>
          <t>estimate</t>
        </is>
      </c>
      <c r="L496" t="inlineStr">
        <is>
          <t>2026-10-08</t>
        </is>
      </c>
    </row>
    <row r="497">
      <c r="A497" t="n">
        <v>496</v>
      </c>
      <c r="B497" t="inlineStr">
        <is>
          <t>NHL</t>
        </is>
      </c>
      <c r="C497" t="inlineStr">
        <is>
          <t>Nashville Predators</t>
        </is>
      </c>
      <c r="D497">
        <f>'NHL'!M31</f>
        <v/>
      </c>
      <c r="E497">
        <f>'NHL'!N31</f>
        <v/>
      </c>
      <c r="F497">
        <f>'NHL'!O31</f>
        <v/>
      </c>
      <c r="G497" t="n">
        <v>4</v>
      </c>
      <c r="H497" t="inlineStr">
        <is>
          <t>Kalshi +9900</t>
        </is>
      </c>
      <c r="I497" t="inlineStr">
        <is>
          <t>West</t>
        </is>
      </c>
      <c r="J497" t="inlineStr">
        <is>
          <t>C</t>
        </is>
      </c>
      <c r="K497" t="inlineStr">
        <is>
          <t>Kalshi Cup market (~1 month old) normalised; points totals SportsBettingDime</t>
        </is>
      </c>
      <c r="L497" t="inlineStr">
        <is>
          <t>2026-10-08</t>
        </is>
      </c>
    </row>
    <row r="498">
      <c r="A498" t="n">
        <v>497</v>
      </c>
      <c r="B498" t="inlineStr">
        <is>
          <t>NFL</t>
        </is>
      </c>
      <c r="C498" t="inlineStr">
        <is>
          <t>New York Giants</t>
        </is>
      </c>
      <c r="D498">
        <f>'NFL'!M25</f>
        <v/>
      </c>
      <c r="E498">
        <f>'NFL'!N25</f>
        <v/>
      </c>
      <c r="F498">
        <f>'NFL'!O25</f>
        <v/>
      </c>
      <c r="G498" t="n">
        <v>4</v>
      </c>
      <c r="H498" t="inlineStr">
        <is>
          <t>+15000 (stale?)</t>
        </is>
      </c>
      <c r="I498" t="inlineStr">
        <is>
          <t>3-1, NFC East</t>
        </is>
      </c>
      <c r="J498" t="inlineStr">
        <is>
          <t>C</t>
        </is>
      </c>
      <c r="K498" t="inlineStr">
        <is>
          <t>Fox Sports ~10-06</t>
        </is>
      </c>
      <c r="L498" t="inlineStr">
        <is>
          <t>2026-10-08</t>
        </is>
      </c>
    </row>
    <row r="499">
      <c r="A499" t="n">
        <v>498</v>
      </c>
      <c r="B499" t="inlineStr">
        <is>
          <t>NHL</t>
        </is>
      </c>
      <c r="C499" t="inlineStr">
        <is>
          <t>St. Louis Blues</t>
        </is>
      </c>
      <c r="D499">
        <f>'NHL'!M32</f>
        <v/>
      </c>
      <c r="E499">
        <f>'NHL'!N32</f>
        <v/>
      </c>
      <c r="F499">
        <f>'NHL'!O32</f>
        <v/>
      </c>
      <c r="G499" t="n">
        <v>4</v>
      </c>
      <c r="H499" t="inlineStr">
        <is>
          <t>Kalshi +9900</t>
        </is>
      </c>
      <c r="I499" t="inlineStr">
        <is>
          <t>West</t>
        </is>
      </c>
      <c r="J499" t="inlineStr">
        <is>
          <t>C</t>
        </is>
      </c>
      <c r="K499" t="inlineStr">
        <is>
          <t>Kalshi Cup market (~1 month old) normalised; points totals SportsBettingDime</t>
        </is>
      </c>
      <c r="L499" t="inlineStr">
        <is>
          <t>2026-10-08</t>
        </is>
      </c>
    </row>
    <row r="500">
      <c r="A500" t="n">
        <v>499</v>
      </c>
      <c r="B500" t="inlineStr">
        <is>
          <t>NFL</t>
        </is>
      </c>
      <c r="C500" t="inlineStr">
        <is>
          <t>Atlanta Falcons</t>
        </is>
      </c>
      <c r="D500">
        <f>'NFL'!M26</f>
        <v/>
      </c>
      <c r="E500">
        <f>'NFL'!N26</f>
        <v/>
      </c>
      <c r="F500">
        <f>'NFL'!O26</f>
        <v/>
      </c>
      <c r="G500" t="n">
        <v>4</v>
      </c>
      <c r="H500" t="inlineStr">
        <is>
          <t>+10000</t>
        </is>
      </c>
      <c r="I500" t="inlineStr">
        <is>
          <t>2-2, NFC South</t>
        </is>
      </c>
      <c r="J500" t="inlineStr">
        <is>
          <t>C</t>
        </is>
      </c>
      <c r="K500" t="inlineStr">
        <is>
          <t>estimate; p(final)=KXNFLAFCCHAMP/KXNFLNFCCHAMP-27 Kalshi mid</t>
        </is>
      </c>
      <c r="L500" t="inlineStr">
        <is>
          <t>2026-10-08</t>
        </is>
      </c>
    </row>
    <row r="501">
      <c r="A501" t="n">
        <v>500</v>
      </c>
      <c r="B501" t="inlineStr">
        <is>
          <t>NHL</t>
        </is>
      </c>
      <c r="C501" t="inlineStr">
        <is>
          <t>Seattle Kraken</t>
        </is>
      </c>
      <c r="D501">
        <f>'NHL'!M33</f>
        <v/>
      </c>
      <c r="E501">
        <f>'NHL'!N33</f>
        <v/>
      </c>
      <c r="F501">
        <f>'NHL'!O33</f>
        <v/>
      </c>
      <c r="G501" t="n">
        <v>4</v>
      </c>
      <c r="H501" t="inlineStr">
        <is>
          <t>Kalshi +9900</t>
        </is>
      </c>
      <c r="I501" t="inlineStr">
        <is>
          <t>West</t>
        </is>
      </c>
      <c r="J501" t="inlineStr">
        <is>
          <t>C</t>
        </is>
      </c>
      <c r="K501" t="inlineStr">
        <is>
          <t>Kalshi Cup market (~1 month old) normalised; points totals SportsBettingDime</t>
        </is>
      </c>
      <c r="L501" t="inlineStr">
        <is>
          <t>2026-10-08</t>
        </is>
      </c>
    </row>
    <row r="502">
      <c r="A502" t="n">
        <v>501</v>
      </c>
      <c r="B502" t="inlineStr">
        <is>
          <t>NFL</t>
        </is>
      </c>
      <c r="C502" t="inlineStr">
        <is>
          <t>Carolina Panthers</t>
        </is>
      </c>
      <c r="D502">
        <f>'NFL'!M27</f>
        <v/>
      </c>
      <c r="E502">
        <f>'NFL'!N27</f>
        <v/>
      </c>
      <c r="F502">
        <f>'NFL'!O27</f>
        <v/>
      </c>
      <c r="G502" t="n">
        <v>4</v>
      </c>
      <c r="H502" t="inlineStr">
        <is>
          <t>+10000</t>
        </is>
      </c>
      <c r="I502" t="inlineStr">
        <is>
          <t>2-2, NFC South</t>
        </is>
      </c>
      <c r="J502" t="inlineStr">
        <is>
          <t>C</t>
        </is>
      </c>
      <c r="K502" t="inlineStr">
        <is>
          <t>estimate</t>
        </is>
      </c>
      <c r="L502" t="inlineStr">
        <is>
          <t>2026-10-08</t>
        </is>
      </c>
    </row>
    <row r="503">
      <c r="A503" t="n">
        <v>502</v>
      </c>
      <c r="B503" t="inlineStr">
        <is>
          <t>NCAAF</t>
        </is>
      </c>
      <c r="C503" t="inlineStr">
        <is>
          <t>Tennessee</t>
        </is>
      </c>
      <c r="D503">
        <f>'NCAAF'!M20</f>
        <v/>
      </c>
      <c r="E503">
        <f>'NCAAF'!N20</f>
        <v/>
      </c>
      <c r="F503">
        <f>'NCAAF'!O20</f>
        <v/>
      </c>
      <c r="G503" t="n">
        <v>4</v>
      </c>
      <c r="H503" t="inlineStr">
        <is>
          <t>+12000</t>
        </is>
      </c>
      <c r="I503" t="inlineStr">
        <is>
          <t>AP #15, 4-1, SEC</t>
        </is>
      </c>
      <c r="J503" t="inlineStr">
        <is>
          <t>C</t>
        </is>
      </c>
      <c r="K503" t="inlineStr">
        <is>
          <t>estimate</t>
        </is>
      </c>
      <c r="L503" t="inlineStr">
        <is>
          <t>2026-10-08</t>
        </is>
      </c>
    </row>
    <row r="504">
      <c r="A504" t="n">
        <v>503</v>
      </c>
      <c r="B504" t="inlineStr">
        <is>
          <t>NFL</t>
        </is>
      </c>
      <c r="C504" t="inlineStr">
        <is>
          <t>Houston Texans</t>
        </is>
      </c>
      <c r="D504">
        <f>'NFL'!M28</f>
        <v/>
      </c>
      <c r="E504">
        <f>'NFL'!N28</f>
        <v/>
      </c>
      <c r="F504">
        <f>'NFL'!O28</f>
        <v/>
      </c>
      <c r="G504" t="n">
        <v>4</v>
      </c>
      <c r="H504" t="inlineStr">
        <is>
          <t>+4500</t>
        </is>
      </c>
      <c r="I504" t="inlineStr">
        <is>
          <t>0-4, AFC South</t>
        </is>
      </c>
      <c r="J504" t="inlineStr">
        <is>
          <t>C</t>
        </is>
      </c>
      <c r="K504" t="inlineStr">
        <is>
          <t>ESPN/ABC7 Super Bowl LXI board ~2026-10-05; prediction-market avg 2026-10-07 (defirate); p(final)=KXNFLAFCCHAMP/KXNFLNFCCHAMP-27 Kalshi mid</t>
        </is>
      </c>
      <c r="L504" t="inlineStr">
        <is>
          <t>2026-10-08</t>
        </is>
      </c>
    </row>
    <row r="505">
      <c r="A505" t="n">
        <v>504</v>
      </c>
      <c r="B505" t="inlineStr">
        <is>
          <t>NCAAF</t>
        </is>
      </c>
      <c r="C505" t="inlineStr">
        <is>
          <t>Mississippi State</t>
        </is>
      </c>
      <c r="D505">
        <f>'NCAAF'!M21</f>
        <v/>
      </c>
      <c r="E505">
        <f>'NCAAF'!N21</f>
        <v/>
      </c>
      <c r="F505">
        <f>'NCAAF'!O21</f>
        <v/>
      </c>
      <c r="G505" t="n">
        <v>4</v>
      </c>
      <c r="H505" t="inlineStr">
        <is>
          <t>Kalshi 0.5%</t>
        </is>
      </c>
      <c r="I505" t="inlineStr">
        <is>
          <t>AP #17, 4-1, SEC</t>
        </is>
      </c>
      <c r="J505" t="inlineStr">
        <is>
          <t>A</t>
        </is>
      </c>
      <c r="K505" t="inlineStr">
        <is>
          <t>KXNCAAF-27 exchange mid-price, pulled 2026-10-08</t>
        </is>
      </c>
      <c r="L505" t="inlineStr">
        <is>
          <t>2026-10-08</t>
        </is>
      </c>
    </row>
    <row r="506">
      <c r="A506" t="n">
        <v>505</v>
      </c>
      <c r="B506" t="inlineStr">
        <is>
          <t>NHL</t>
        </is>
      </c>
      <c r="C506" t="inlineStr">
        <is>
          <t>Chicago Blackhawks</t>
        </is>
      </c>
      <c r="D506">
        <f>'NHL'!M34</f>
        <v/>
      </c>
      <c r="E506">
        <f>'NHL'!N34</f>
        <v/>
      </c>
      <c r="F506">
        <f>'NHL'!O34</f>
        <v/>
      </c>
      <c r="G506" t="n">
        <v>4</v>
      </c>
      <c r="H506" t="inlineStr">
        <is>
          <t>Kalshi +9900</t>
        </is>
      </c>
      <c r="I506" t="inlineStr">
        <is>
          <t>West</t>
        </is>
      </c>
      <c r="J506" t="inlineStr">
        <is>
          <t>C</t>
        </is>
      </c>
      <c r="K506" t="inlineStr">
        <is>
          <t>Kalshi Cup market (~1 month old) normalised; points totals SportsBettingDime</t>
        </is>
      </c>
      <c r="L506" t="inlineStr">
        <is>
          <t>2026-10-08</t>
        </is>
      </c>
    </row>
    <row r="507">
      <c r="A507" t="n">
        <v>506</v>
      </c>
      <c r="B507" t="inlineStr">
        <is>
          <t>NFL</t>
        </is>
      </c>
      <c r="C507" t="inlineStr">
        <is>
          <t>Washington Commanders</t>
        </is>
      </c>
      <c r="D507">
        <f>'NFL'!M29</f>
        <v/>
      </c>
      <c r="E507">
        <f>'NFL'!N29</f>
        <v/>
      </c>
      <c r="F507">
        <f>'NFL'!O29</f>
        <v/>
      </c>
      <c r="G507" t="n">
        <v>4</v>
      </c>
      <c r="H507" t="inlineStr">
        <is>
          <t>+15000</t>
        </is>
      </c>
      <c r="I507" t="inlineStr">
        <is>
          <t>1-3, NFC East</t>
        </is>
      </c>
      <c r="J507" t="inlineStr">
        <is>
          <t>C</t>
        </is>
      </c>
      <c r="K507" t="inlineStr">
        <is>
          <t>estimate</t>
        </is>
      </c>
      <c r="L507" t="inlineStr">
        <is>
          <t>2026-10-08</t>
        </is>
      </c>
    </row>
    <row r="508">
      <c r="A508" t="n">
        <v>507</v>
      </c>
      <c r="B508" t="inlineStr">
        <is>
          <t>NHL</t>
        </is>
      </c>
      <c r="C508" t="inlineStr">
        <is>
          <t>Calgary Flames</t>
        </is>
      </c>
      <c r="D508">
        <f>'NHL'!M35</f>
        <v/>
      </c>
      <c r="E508">
        <f>'NHL'!N35</f>
        <v/>
      </c>
      <c r="F508">
        <f>'NHL'!O35</f>
        <v/>
      </c>
      <c r="G508" t="n">
        <v>4</v>
      </c>
      <c r="H508" t="inlineStr">
        <is>
          <t>Kalshi +9900</t>
        </is>
      </c>
      <c r="I508" t="inlineStr">
        <is>
          <t>West</t>
        </is>
      </c>
      <c r="J508" t="inlineStr">
        <is>
          <t>C</t>
        </is>
      </c>
      <c r="K508" t="inlineStr">
        <is>
          <t>Kalshi Cup market (~1 month old) normalised; points totals SportsBettingDime</t>
        </is>
      </c>
      <c r="L508" t="inlineStr">
        <is>
          <t>2026-10-08</t>
        </is>
      </c>
    </row>
    <row r="509">
      <c r="A509" t="n">
        <v>508</v>
      </c>
      <c r="B509" t="inlineStr">
        <is>
          <t>NFL</t>
        </is>
      </c>
      <c r="C509" t="inlineStr">
        <is>
          <t>Arizona Cardinals</t>
        </is>
      </c>
      <c r="D509">
        <f>'NFL'!M30</f>
        <v/>
      </c>
      <c r="E509">
        <f>'NFL'!N30</f>
        <v/>
      </c>
      <c r="F509">
        <f>'NFL'!O30</f>
        <v/>
      </c>
      <c r="G509" t="n">
        <v>4</v>
      </c>
      <c r="H509" t="inlineStr">
        <is>
          <t>+15000</t>
        </is>
      </c>
      <c r="I509" t="inlineStr">
        <is>
          <t>1-3, NFC West</t>
        </is>
      </c>
      <c r="J509" t="inlineStr">
        <is>
          <t>C</t>
        </is>
      </c>
      <c r="K509" t="inlineStr">
        <is>
          <t>estimate</t>
        </is>
      </c>
      <c r="L509" t="inlineStr">
        <is>
          <t>2026-10-08</t>
        </is>
      </c>
    </row>
    <row r="510">
      <c r="A510" t="n">
        <v>509</v>
      </c>
      <c r="B510" t="inlineStr">
        <is>
          <t>NFL</t>
        </is>
      </c>
      <c r="C510" t="inlineStr">
        <is>
          <t>Los Angeles Chargers</t>
        </is>
      </c>
      <c r="D510">
        <f>'NFL'!M31</f>
        <v/>
      </c>
      <c r="E510">
        <f>'NFL'!N31</f>
        <v/>
      </c>
      <c r="F510">
        <f>'NFL'!O31</f>
        <v/>
      </c>
      <c r="G510" t="n">
        <v>4</v>
      </c>
      <c r="H510" t="inlineStr">
        <is>
          <t>+10000</t>
        </is>
      </c>
      <c r="I510" t="inlineStr">
        <is>
          <t>0-4, AFC West</t>
        </is>
      </c>
      <c r="J510" t="inlineStr">
        <is>
          <t>C</t>
        </is>
      </c>
      <c r="K510" t="inlineStr">
        <is>
          <t>ESPN/ABC7 Super Bowl LXI board ~2026-10-05; prediction-market avg 2026-10-07 (defirate)</t>
        </is>
      </c>
      <c r="L510" t="inlineStr">
        <is>
          <t>2026-10-08</t>
        </is>
      </c>
    </row>
    <row r="511">
      <c r="A511" t="n">
        <v>510</v>
      </c>
      <c r="B511" t="inlineStr">
        <is>
          <t>NHL</t>
        </is>
      </c>
      <c r="C511" t="inlineStr">
        <is>
          <t>Vancouver Canucks</t>
        </is>
      </c>
      <c r="D511">
        <f>'NHL'!M36</f>
        <v/>
      </c>
      <c r="E511">
        <f>'NHL'!N36</f>
        <v/>
      </c>
      <c r="F511">
        <f>'NHL'!O36</f>
        <v/>
      </c>
      <c r="G511" t="n">
        <v>4</v>
      </c>
      <c r="H511" t="inlineStr">
        <is>
          <t>Kalshi +9900</t>
        </is>
      </c>
      <c r="I511" t="inlineStr">
        <is>
          <t>West</t>
        </is>
      </c>
      <c r="J511" t="inlineStr">
        <is>
          <t>C</t>
        </is>
      </c>
      <c r="K511" t="inlineStr">
        <is>
          <t>Kalshi Cup market (~1 month old) normalised; points totals SportsBettingDime</t>
        </is>
      </c>
      <c r="L511" t="inlineStr">
        <is>
          <t>2026-10-08</t>
        </is>
      </c>
    </row>
    <row r="512">
      <c r="A512" t="n">
        <v>511</v>
      </c>
      <c r="B512" t="inlineStr">
        <is>
          <t>NFL</t>
        </is>
      </c>
      <c r="C512" t="inlineStr">
        <is>
          <t>Tampa Bay Buccaneers</t>
        </is>
      </c>
      <c r="D512">
        <f>'NFL'!M32</f>
        <v/>
      </c>
      <c r="E512">
        <f>'NFL'!N32</f>
        <v/>
      </c>
      <c r="F512">
        <f>'NFL'!O32</f>
        <v/>
      </c>
      <c r="G512" t="n">
        <v>4</v>
      </c>
      <c r="H512" t="inlineStr">
        <is>
          <t>+20000</t>
        </is>
      </c>
      <c r="I512" t="inlineStr">
        <is>
          <t>0-4, NFC South</t>
        </is>
      </c>
      <c r="J512" t="inlineStr">
        <is>
          <t>C</t>
        </is>
      </c>
      <c r="K512" t="inlineStr">
        <is>
          <t>estimate</t>
        </is>
      </c>
      <c r="L512" t="inlineStr">
        <is>
          <t>2026-10-08</t>
        </is>
      </c>
    </row>
    <row r="513">
      <c r="A513" t="n">
        <v>512</v>
      </c>
      <c r="B513" t="inlineStr">
        <is>
          <t>NCAAF</t>
        </is>
      </c>
      <c r="C513" t="inlineStr">
        <is>
          <t>Oklahoma State</t>
        </is>
      </c>
      <c r="D513">
        <f>'NCAAF'!M22</f>
        <v/>
      </c>
      <c r="E513">
        <f>'NCAAF'!N22</f>
        <v/>
      </c>
      <c r="F513">
        <f>'NCAAF'!O22</f>
        <v/>
      </c>
      <c r="G513" t="n">
        <v>4</v>
      </c>
      <c r="H513" t="inlineStr">
        <is>
          <t>+30000</t>
        </is>
      </c>
      <c r="I513" t="inlineStr">
        <is>
          <t>AP #18, 3-1, Big 12</t>
        </is>
      </c>
      <c r="J513" t="inlineStr">
        <is>
          <t>C</t>
        </is>
      </c>
      <c r="K513" t="inlineStr">
        <is>
          <t>estimate</t>
        </is>
      </c>
      <c r="L513" t="inlineStr">
        <is>
          <t>2026-10-08</t>
        </is>
      </c>
    </row>
    <row r="514">
      <c r="A514" t="n">
        <v>513</v>
      </c>
      <c r="B514" t="inlineStr">
        <is>
          <t>NCAAF</t>
        </is>
      </c>
      <c r="C514" t="inlineStr">
        <is>
          <t>USC</t>
        </is>
      </c>
      <c r="D514">
        <f>'NCAAF'!M23</f>
        <v/>
      </c>
      <c r="E514">
        <f>'NCAAF'!N23</f>
        <v/>
      </c>
      <c r="F514">
        <f>'NCAAF'!O23</f>
        <v/>
      </c>
      <c r="G514" t="n">
        <v>4</v>
      </c>
      <c r="H514" t="inlineStr">
        <is>
          <t>+20000</t>
        </is>
      </c>
      <c r="I514" t="inlineStr">
        <is>
          <t>AP #19, 5-1, Big Ten</t>
        </is>
      </c>
      <c r="J514" t="inlineStr">
        <is>
          <t>C</t>
        </is>
      </c>
      <c r="K514" t="inlineStr">
        <is>
          <t>estimate</t>
        </is>
      </c>
      <c r="L514" t="inlineStr">
        <is>
          <t>2026-10-08</t>
        </is>
      </c>
    </row>
    <row r="515">
      <c r="A515" t="n">
        <v>514</v>
      </c>
      <c r="B515" t="inlineStr">
        <is>
          <t>NFL</t>
        </is>
      </c>
      <c r="C515" t="inlineStr">
        <is>
          <t>New Orleans Saints</t>
        </is>
      </c>
      <c r="D515">
        <f>'NFL'!M33</f>
        <v/>
      </c>
      <c r="E515">
        <f>'NFL'!N33</f>
        <v/>
      </c>
      <c r="F515">
        <f>'NFL'!O33</f>
        <v/>
      </c>
      <c r="G515" t="n">
        <v>4</v>
      </c>
      <c r="H515" t="inlineStr">
        <is>
          <t>+25000</t>
        </is>
      </c>
      <c r="I515" t="inlineStr">
        <is>
          <t>1-3, NFC South</t>
        </is>
      </c>
      <c r="J515" t="inlineStr">
        <is>
          <t>C</t>
        </is>
      </c>
      <c r="K515" t="inlineStr">
        <is>
          <t>estimate</t>
        </is>
      </c>
      <c r="L515" t="inlineStr">
        <is>
          <t>2026-10-08</t>
        </is>
      </c>
    </row>
    <row r="516">
      <c r="A516" t="n">
        <v>515</v>
      </c>
      <c r="B516" t="inlineStr">
        <is>
          <t>NFL</t>
        </is>
      </c>
      <c r="C516" t="inlineStr">
        <is>
          <t>New York Jets</t>
        </is>
      </c>
      <c r="D516">
        <f>'NFL'!M34</f>
        <v/>
      </c>
      <c r="E516">
        <f>'NFL'!N34</f>
        <v/>
      </c>
      <c r="F516">
        <f>'NFL'!O34</f>
        <v/>
      </c>
      <c r="G516" t="n">
        <v>4</v>
      </c>
      <c r="H516" t="inlineStr">
        <is>
          <t>+25000</t>
        </is>
      </c>
      <c r="I516" t="inlineStr">
        <is>
          <t>1-3, AFC East</t>
        </is>
      </c>
      <c r="J516" t="inlineStr">
        <is>
          <t>C</t>
        </is>
      </c>
      <c r="K516" t="inlineStr">
        <is>
          <t>estimate</t>
        </is>
      </c>
      <c r="L516" t="inlineStr">
        <is>
          <t>2026-10-08</t>
        </is>
      </c>
    </row>
    <row r="517">
      <c r="A517" t="n">
        <v>516</v>
      </c>
      <c r="B517" t="inlineStr">
        <is>
          <t>NCAAF</t>
        </is>
      </c>
      <c r="C517" t="inlineStr">
        <is>
          <t>Iowa</t>
        </is>
      </c>
      <c r="D517">
        <f>'NCAAF'!M24</f>
        <v/>
      </c>
      <c r="E517">
        <f>'NCAAF'!N24</f>
        <v/>
      </c>
      <c r="F517">
        <f>'NCAAF'!O24</f>
        <v/>
      </c>
      <c r="G517" t="n">
        <v>4</v>
      </c>
      <c r="H517" t="inlineStr">
        <is>
          <t>+30000</t>
        </is>
      </c>
      <c r="I517" t="inlineStr">
        <is>
          <t>AP #20, 4-1, Big Ten</t>
        </is>
      </c>
      <c r="J517" t="inlineStr">
        <is>
          <t>C</t>
        </is>
      </c>
      <c r="K517" t="inlineStr">
        <is>
          <t>estimate</t>
        </is>
      </c>
      <c r="L517" t="inlineStr">
        <is>
          <t>2026-10-08</t>
        </is>
      </c>
    </row>
    <row r="518">
      <c r="A518" t="n">
        <v>517</v>
      </c>
      <c r="B518" t="inlineStr">
        <is>
          <t>NFL</t>
        </is>
      </c>
      <c r="C518" t="inlineStr">
        <is>
          <t>Miami Dolphins</t>
        </is>
      </c>
      <c r="D518">
        <f>'NFL'!M35</f>
        <v/>
      </c>
      <c r="E518">
        <f>'NFL'!N35</f>
        <v/>
      </c>
      <c r="F518">
        <f>'NFL'!O35</f>
        <v/>
      </c>
      <c r="G518" t="n">
        <v>4</v>
      </c>
      <c r="H518" t="inlineStr">
        <is>
          <t>+50000</t>
        </is>
      </c>
      <c r="I518" t="inlineStr">
        <is>
          <t>0-4, AFC East</t>
        </is>
      </c>
      <c r="J518" t="inlineStr">
        <is>
          <t>C</t>
        </is>
      </c>
      <c r="K518" t="inlineStr">
        <is>
          <t>estimate</t>
        </is>
      </c>
      <c r="L518" t="inlineStr">
        <is>
          <t>2026-10-08</t>
        </is>
      </c>
    </row>
    <row r="519">
      <c r="A519" t="n">
        <v>518</v>
      </c>
      <c r="B519" t="inlineStr">
        <is>
          <t>NFL</t>
        </is>
      </c>
      <c r="C519" t="inlineStr">
        <is>
          <t>Tennessee Titans</t>
        </is>
      </c>
      <c r="D519">
        <f>'NFL'!M36</f>
        <v/>
      </c>
      <c r="E519">
        <f>'NFL'!N36</f>
        <v/>
      </c>
      <c r="F519">
        <f>'NFL'!O36</f>
        <v/>
      </c>
      <c r="G519" t="n">
        <v>4</v>
      </c>
      <c r="H519" t="inlineStr">
        <is>
          <t>+50000</t>
        </is>
      </c>
      <c r="I519" t="inlineStr">
        <is>
          <t>0-4, AFC South</t>
        </is>
      </c>
      <c r="J519" t="inlineStr">
        <is>
          <t>C</t>
        </is>
      </c>
      <c r="K519" t="inlineStr">
        <is>
          <t>estimate</t>
        </is>
      </c>
      <c r="L519" t="inlineStr">
        <is>
          <t>2026-10-08</t>
        </is>
      </c>
    </row>
    <row r="520">
      <c r="A520" t="n">
        <v>519</v>
      </c>
      <c r="B520" t="inlineStr">
        <is>
          <t>NCAAF</t>
        </is>
      </c>
      <c r="C520" t="inlineStr">
        <is>
          <t>UCLA</t>
        </is>
      </c>
      <c r="D520">
        <f>'NCAAF'!M25</f>
        <v/>
      </c>
      <c r="E520">
        <f>'NCAAF'!N25</f>
        <v/>
      </c>
      <c r="F520">
        <f>'NCAAF'!O25</f>
        <v/>
      </c>
      <c r="G520" t="n">
        <v>4</v>
      </c>
      <c r="H520" t="inlineStr">
        <is>
          <t>+50000</t>
        </is>
      </c>
      <c r="I520" t="inlineStr">
        <is>
          <t>AP #21, 4-0, Big Ten</t>
        </is>
      </c>
      <c r="J520" t="inlineStr">
        <is>
          <t>C</t>
        </is>
      </c>
      <c r="K520" t="inlineStr">
        <is>
          <t>estimate</t>
        </is>
      </c>
      <c r="L520" t="inlineStr">
        <is>
          <t>2026-10-08</t>
        </is>
      </c>
    </row>
    <row r="521">
      <c r="A521" t="n">
        <v>520</v>
      </c>
      <c r="B521" t="inlineStr">
        <is>
          <t>NCAAF</t>
        </is>
      </c>
      <c r="C521" t="inlineStr">
        <is>
          <t>Houston</t>
        </is>
      </c>
      <c r="D521">
        <f>'NCAAF'!M26</f>
        <v/>
      </c>
      <c r="E521">
        <f>'NCAAF'!N26</f>
        <v/>
      </c>
      <c r="F521">
        <f>'NCAAF'!O26</f>
        <v/>
      </c>
      <c r="G521" t="n">
        <v>4</v>
      </c>
      <c r="H521" t="inlineStr">
        <is>
          <t>+50000</t>
        </is>
      </c>
      <c r="I521" t="inlineStr">
        <is>
          <t>AP #22, 4-1, Big 12</t>
        </is>
      </c>
      <c r="J521" t="inlineStr">
        <is>
          <t>C</t>
        </is>
      </c>
      <c r="K521" t="inlineStr">
        <is>
          <t>estimate</t>
        </is>
      </c>
      <c r="L521" t="inlineStr">
        <is>
          <t>2026-10-08</t>
        </is>
      </c>
    </row>
    <row r="522">
      <c r="A522" t="n">
        <v>521</v>
      </c>
      <c r="B522" t="inlineStr">
        <is>
          <t>NCAAF</t>
        </is>
      </c>
      <c r="C522" t="inlineStr">
        <is>
          <t>Boise State</t>
        </is>
      </c>
      <c r="D522">
        <f>'NCAAF'!M27</f>
        <v/>
      </c>
      <c r="E522">
        <f>'NCAAF'!N27</f>
        <v/>
      </c>
      <c r="F522">
        <f>'NCAAF'!O27</f>
        <v/>
      </c>
      <c r="G522" t="n">
        <v>4</v>
      </c>
      <c r="H522" t="inlineStr">
        <is>
          <t>+50000</t>
        </is>
      </c>
      <c r="I522" t="inlineStr">
        <is>
          <t>AP #23, 4-1, MWC</t>
        </is>
      </c>
      <c r="J522" t="inlineStr">
        <is>
          <t>C</t>
        </is>
      </c>
      <c r="K522" t="inlineStr">
        <is>
          <t>estimate</t>
        </is>
      </c>
      <c r="L522" t="inlineStr">
        <is>
          <t>2026-10-08</t>
        </is>
      </c>
    </row>
    <row r="523">
      <c r="A523" t="n">
        <v>522</v>
      </c>
      <c r="B523" t="inlineStr">
        <is>
          <t>NCAAF</t>
        </is>
      </c>
      <c r="C523" t="inlineStr">
        <is>
          <t>Pittsburgh</t>
        </is>
      </c>
      <c r="D523">
        <f>'NCAAF'!M28</f>
        <v/>
      </c>
      <c r="E523">
        <f>'NCAAF'!N28</f>
        <v/>
      </c>
      <c r="F523">
        <f>'NCAAF'!O28</f>
        <v/>
      </c>
      <c r="G523" t="n">
        <v>4</v>
      </c>
      <c r="H523" t="inlineStr">
        <is>
          <t>+50000</t>
        </is>
      </c>
      <c r="I523" t="inlineStr">
        <is>
          <t>AP #25, 5-0, ACC</t>
        </is>
      </c>
      <c r="J523" t="inlineStr">
        <is>
          <t>C</t>
        </is>
      </c>
      <c r="K523" t="inlineStr">
        <is>
          <t>estimate</t>
        </is>
      </c>
      <c r="L523" t="inlineStr">
        <is>
          <t>2026-10-08</t>
        </is>
      </c>
    </row>
    <row r="524">
      <c r="A524" t="n">
        <v>523</v>
      </c>
      <c r="B524" t="inlineStr">
        <is>
          <t>NCAAF</t>
        </is>
      </c>
      <c r="C524" t="inlineStr">
        <is>
          <t>SMU</t>
        </is>
      </c>
      <c r="D524">
        <f>'NCAAF'!M29</f>
        <v/>
      </c>
      <c r="E524">
        <f>'NCAAF'!N29</f>
        <v/>
      </c>
      <c r="F524">
        <f>'NCAAF'!O29</f>
        <v/>
      </c>
      <c r="G524" t="n">
        <v>4</v>
      </c>
      <c r="H524" t="inlineStr">
        <is>
          <t>+50000</t>
        </is>
      </c>
      <c r="I524" t="inlineStr">
        <is>
          <t>AP #24, 4-1, ACC</t>
        </is>
      </c>
      <c r="J524" t="inlineStr">
        <is>
          <t>C</t>
        </is>
      </c>
      <c r="K524" t="inlineStr">
        <is>
          <t>estimate</t>
        </is>
      </c>
      <c r="L524" t="inlineStr">
        <is>
          <t>2026-10-08</t>
        </is>
      </c>
    </row>
  </sheetData>
  <autoFilter ref="A1:L5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best)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LARGE('NCAAF'!$M$5:$M$29,MIN(G6,COUNT('NCAAF'!$M$5:$M$29)))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LARGE('NCAAB'!$M$5:$M$33,MIN(G7,COUNT('NCAAB'!$M$5:$M$33)))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LARGE('Tennis'!$M$5:$M$27,MIN(G8,COUNT('Tennis'!$M$5:$M$27)))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LARGE('Actor'!$M$5:$M$74,MIN(G12,COUNT('Actor'!$M$5:$M$74)))</f>
        <v/>
      </c>
    </row>
    <row r="13">
      <c r="A13" t="inlineStr">
        <is>
          <t>Actress</t>
        </is>
      </c>
      <c r="G13" t="n">
        <v>7</v>
      </c>
      <c r="H13" t="n">
        <v>13</v>
      </c>
      <c r="I13">
        <f>LARGE('Actress'!$M$5:$M$74,MIN(G13,COUNT('Actress'!$M$5:$M$74)))</f>
        <v/>
      </c>
    </row>
    <row r="14">
      <c r="A14" t="inlineStr">
        <is>
          <t>Musician</t>
        </is>
      </c>
      <c r="G14" t="n">
        <v>7</v>
      </c>
      <c r="H14" t="n">
        <v>13</v>
      </c>
      <c r="I14">
        <f>LARGE('Musician'!$M$5:$M$35,MIN(G14,COUNT('Musician'!$M$5:$M$35)))</f>
        <v/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LARGE('Country'!$M$5:$M$41,MIN(G15,COUNT('Country'!$M$5:$M$41)))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LARGE('Stock'!$M$5:$M$24,MIN(G16,COUNT('Stock'!$M$5:$M$24)))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7" t="inlineStr">
        <is>
          <t>A</t>
        </is>
      </c>
      <c r="U5" t="inlineStr"/>
    </row>
    <row r="6">
      <c r="A6" s="7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7" t="inlineStr">
        <is>
          <t>A</t>
        </is>
      </c>
      <c r="U6" t="inlineStr">
        <is>
          <t>lost to Patriots wk4</t>
        </is>
      </c>
    </row>
    <row r="7">
      <c r="A7" s="7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7" t="inlineStr">
        <is>
          <t>A</t>
        </is>
      </c>
      <c r="U7" t="inlineStr"/>
    </row>
    <row r="8">
      <c r="A8" s="11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7" t="inlineStr">
        <is>
          <t>A</t>
        </is>
      </c>
      <c r="U8" t="inlineStr"/>
    </row>
    <row r="9">
      <c r="A9" s="11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7" t="inlineStr">
        <is>
          <t>A</t>
        </is>
      </c>
      <c r="U10" t="inlineStr">
        <is>
          <t>defending Super Bowl champion</t>
        </is>
      </c>
    </row>
    <row r="11">
      <c r="A11" s="11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7" t="inlineStr">
        <is>
          <t>A</t>
        </is>
      </c>
      <c r="U11" t="inlineStr">
        <is>
          <t>books disagree (+1100 to +2200)</t>
        </is>
      </c>
    </row>
    <row r="12">
      <c r="A12" s="12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7" t="inlineStr">
        <is>
          <t>A</t>
        </is>
      </c>
      <c r="U13" t="inlineStr"/>
    </row>
    <row r="14">
      <c r="A14" s="12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7" t="inlineStr">
        <is>
          <t>A</t>
        </is>
      </c>
      <c r="U15" t="inlineStr"/>
    </row>
    <row r="16">
      <c r="A16" s="12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7" t="inlineStr">
        <is>
          <t>A</t>
        </is>
      </c>
      <c r="U17" t="inlineStr">
        <is>
          <t>beat Bills wk4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7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7" t="inlineStr">
        <is>
          <t>A</t>
        </is>
      </c>
      <c r="U5" t="inlineStr"/>
    </row>
    <row r="6">
      <c r="A6" s="7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7" t="inlineStr">
        <is>
          <t>A</t>
        </is>
      </c>
      <c r="U6" t="inlineStr"/>
    </row>
    <row r="7">
      <c r="A7" s="7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7" t="inlineStr">
        <is>
          <t>A</t>
        </is>
      </c>
      <c r="U7" t="inlineStr">
        <is>
          <t>2026 champion in this league's data</t>
        </is>
      </c>
    </row>
    <row r="8">
      <c r="A8" s="11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7" t="inlineStr">
        <is>
          <t>A</t>
        </is>
      </c>
      <c r="U8" t="inlineStr">
        <is>
          <t>ESPN reports LeBron signing (unverified)</t>
        </is>
      </c>
    </row>
    <row r="9">
      <c r="A9" s="11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7" t="inlineStr">
        <is>
          <t>A</t>
        </is>
      </c>
      <c r="U10" t="inlineStr"/>
    </row>
    <row r="11">
      <c r="A11" s="11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7" t="inlineStr">
        <is>
          <t>A</t>
        </is>
      </c>
      <c r="U11" t="inlineStr"/>
    </row>
    <row r="12">
      <c r="A12" s="12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 xml:space="preserve"> | price superseded by Kalshi field; p rescaled</t>
        </is>
      </c>
    </row>
    <row r="14">
      <c r="A14" s="12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7" t="inlineStr">
        <is>
          <t>A</t>
        </is>
      </c>
      <c r="U15" t="inlineStr"/>
    </row>
    <row r="16">
      <c r="A16" s="12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7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7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7" t="inlineStr">
        <is>
          <t>A</t>
        </is>
      </c>
      <c r="U19" t="inlineStr"/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Los Angeles Dodgers</t>
        </is>
      </c>
      <c r="B5" t="inlineStr">
        <is>
          <t>2026: 100-62 (.6173)</t>
        </is>
      </c>
      <c r="D5" t="n">
        <v>0.1471</v>
      </c>
      <c r="E5" t="n">
        <v>0.2942</v>
      </c>
      <c r="F5" t="n">
        <v>0.5884</v>
      </c>
      <c r="G5" t="n">
        <v>0.97</v>
      </c>
      <c r="H5" t="n">
        <v>0.97</v>
      </c>
      <c r="I5" t="n">
        <v>0.5528</v>
      </c>
      <c r="J5" t="n">
        <v>0.05</v>
      </c>
      <c r="K5" t="n">
        <v>8.856999999999999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3.39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7" t="inlineStr">
        <is>
          <t>C</t>
        </is>
      </c>
      <c r="U5" t="inlineStr">
        <is>
          <t>2026 playoffs still in progress</t>
        </is>
      </c>
    </row>
    <row r="6">
      <c r="A6" s="7" t="inlineStr">
        <is>
          <t>Milwaukee Brewers</t>
        </is>
      </c>
      <c r="B6" t="inlineStr">
        <is>
          <t>2026: 103-59 (.6358)</t>
        </is>
      </c>
      <c r="D6" t="n">
        <v>0.0784</v>
      </c>
      <c r="E6" t="n">
        <v>0.1568</v>
      </c>
      <c r="F6" t="n">
        <v>0.3136</v>
      </c>
      <c r="G6" t="n">
        <v>0.6272</v>
      </c>
      <c r="H6" t="n">
        <v>0.97</v>
      </c>
      <c r="I6" t="n">
        <v>0.5611</v>
      </c>
      <c r="J6" t="n">
        <v>0.05</v>
      </c>
      <c r="K6" t="n">
        <v>9.324999999999999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3.311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7" t="inlineStr">
        <is>
          <t>C</t>
        </is>
      </c>
      <c r="U6" t="inlineStr">
        <is>
          <t>2026 playoffs still in progress</t>
        </is>
      </c>
    </row>
    <row r="7">
      <c r="A7" s="7" t="inlineStr">
        <is>
          <t>New York Yankees</t>
        </is>
      </c>
      <c r="B7" t="inlineStr">
        <is>
          <t>2026: 94-68 (.5776)</t>
        </is>
      </c>
      <c r="D7" t="n">
        <v>0.0784</v>
      </c>
      <c r="E7" t="n">
        <v>0.1568</v>
      </c>
      <c r="F7" t="n">
        <v>0.3136</v>
      </c>
      <c r="G7" t="n">
        <v>0.6272</v>
      </c>
      <c r="H7" t="n">
        <v>0.97</v>
      </c>
      <c r="I7" t="n">
        <v>0.5349</v>
      </c>
      <c r="J7" t="n">
        <v>0.05</v>
      </c>
      <c r="K7" t="n">
        <v>7.588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3.629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7" t="inlineStr">
        <is>
          <t>C</t>
        </is>
      </c>
      <c r="U7" t="inlineStr">
        <is>
          <t>2026 playoffs still in progress</t>
        </is>
      </c>
    </row>
    <row r="8">
      <c r="A8" s="11" t="inlineStr">
        <is>
          <t>Tampa Bay Rays</t>
        </is>
      </c>
      <c r="B8" t="inlineStr">
        <is>
          <t>2026: 98-64 (.6049)</t>
        </is>
      </c>
      <c r="D8" t="n">
        <v>0.0539</v>
      </c>
      <c r="E8" t="n">
        <v>0.1078</v>
      </c>
      <c r="F8" t="n">
        <v>0.2156</v>
      </c>
      <c r="G8" t="n">
        <v>0.4312</v>
      </c>
      <c r="H8" t="n">
        <v>0.8624000000000001</v>
      </c>
      <c r="I8" t="n">
        <v>0.5472</v>
      </c>
      <c r="J8" t="n">
        <v>0.05</v>
      </c>
      <c r="K8" t="n">
        <v>8.372999999999999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3.498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7" t="inlineStr">
        <is>
          <t>C</t>
        </is>
      </c>
      <c r="U8" t="inlineStr">
        <is>
          <t>2026 playoffs still in progress</t>
        </is>
      </c>
    </row>
    <row r="9">
      <c r="A9" s="11" t="inlineStr">
        <is>
          <t>Atlanta Braves</t>
        </is>
      </c>
      <c r="B9" t="inlineStr">
        <is>
          <t>2026: 94-68 (.5802)</t>
        </is>
      </c>
      <c r="D9" t="n">
        <v>0.06370000000000001</v>
      </c>
      <c r="E9" t="n">
        <v>0.1274</v>
      </c>
      <c r="F9" t="n">
        <v>0.2548</v>
      </c>
      <c r="G9" t="n">
        <v>0.5096000000000001</v>
      </c>
      <c r="H9" t="n">
        <v>0.97</v>
      </c>
      <c r="I9" t="n">
        <v>0.5361</v>
      </c>
      <c r="J9" t="n">
        <v>0.05</v>
      </c>
      <c r="K9" t="n">
        <v>7.576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3.619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7" t="inlineStr">
        <is>
          <t>C</t>
        </is>
      </c>
      <c r="U9" t="inlineStr">
        <is>
          <t>2026 playoffs still in progress</t>
        </is>
      </c>
    </row>
    <row r="10">
      <c r="A10" s="11" t="inlineStr">
        <is>
          <t>San Diego Padres</t>
        </is>
      </c>
      <c r="B10" t="inlineStr">
        <is>
          <t>2026: 91-71 (.5617)</t>
        </is>
      </c>
      <c r="D10" t="n">
        <v>0.049</v>
      </c>
      <c r="E10" t="n">
        <v>0.098</v>
      </c>
      <c r="F10" t="n">
        <v>0.196</v>
      </c>
      <c r="G10" t="n">
        <v>0.392</v>
      </c>
      <c r="H10" t="n">
        <v>0.784</v>
      </c>
      <c r="I10" t="n">
        <v>0.5278</v>
      </c>
      <c r="J10" t="n">
        <v>0.05</v>
      </c>
      <c r="K10" t="n">
        <v>7.019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3.642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2026 playoffs still in progress</t>
        </is>
      </c>
    </row>
    <row r="11">
      <c r="A11" s="11" t="inlineStr">
        <is>
          <t>Chicago Cubs</t>
        </is>
      </c>
      <c r="B11" t="inlineStr">
        <is>
          <t>2026: 89-73 (.5494)</t>
        </is>
      </c>
      <c r="D11" t="n">
        <v>0.049</v>
      </c>
      <c r="E11" t="n">
        <v>0.098</v>
      </c>
      <c r="F11" t="n">
        <v>0.196</v>
      </c>
      <c r="G11" t="n">
        <v>0.392</v>
      </c>
      <c r="H11" t="n">
        <v>0.784</v>
      </c>
      <c r="I11" t="n">
        <v>0.5222</v>
      </c>
      <c r="J11" t="n">
        <v>0.05</v>
      </c>
      <c r="K11" t="n">
        <v>6.712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3.623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2026 playoffs still in progress</t>
        </is>
      </c>
    </row>
    <row r="12">
      <c r="A12" s="12" t="inlineStr">
        <is>
          <t>Philadelphia Phillies</t>
        </is>
      </c>
      <c r="B12" t="inlineStr">
        <is>
          <t>2026: 88-74 (.5432)</t>
        </is>
      </c>
      <c r="D12" t="n">
        <v>0.049</v>
      </c>
      <c r="E12" t="n">
        <v>0.098</v>
      </c>
      <c r="F12" t="n">
        <v>0.196</v>
      </c>
      <c r="G12" t="n">
        <v>0.392</v>
      </c>
      <c r="H12" t="n">
        <v>0.784</v>
      </c>
      <c r="I12" t="n">
        <v>0.5194</v>
      </c>
      <c r="J12" t="n">
        <v>0.05</v>
      </c>
      <c r="K12" t="n">
        <v>6.508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3.639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2026 playoffs still in progress</t>
        </is>
      </c>
    </row>
    <row r="13">
      <c r="A13" s="12" t="inlineStr">
        <is>
          <t>Boston Red Sox</t>
        </is>
      </c>
      <c r="B13" t="inlineStr">
        <is>
          <t>2026: 87-75 (.5370)</t>
        </is>
      </c>
      <c r="D13" t="n">
        <v>0.0441</v>
      </c>
      <c r="E13" t="n">
        <v>0.0882</v>
      </c>
      <c r="F13" t="n">
        <v>0.1764</v>
      </c>
      <c r="G13" t="n">
        <v>0.3528</v>
      </c>
      <c r="H13" t="n">
        <v>0.7056</v>
      </c>
      <c r="I13" t="n">
        <v>0.5167</v>
      </c>
      <c r="J13" t="n">
        <v>0.05</v>
      </c>
      <c r="K13" t="n">
        <v>6.286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3.613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2026 playoffs still in progress</t>
        </is>
      </c>
    </row>
    <row r="14">
      <c r="A14" s="12" t="inlineStr">
        <is>
          <t>Arizona Diamondbacks</t>
        </is>
      </c>
      <c r="B14" t="inlineStr">
        <is>
          <t>2026: 86-76 (.5309)</t>
        </is>
      </c>
      <c r="D14" t="n">
        <v>0.0294</v>
      </c>
      <c r="E14" t="n">
        <v>0.0588</v>
      </c>
      <c r="F14" t="n">
        <v>0.1176</v>
      </c>
      <c r="G14" t="n">
        <v>0.2352</v>
      </c>
      <c r="H14" t="n">
        <v>0.4704</v>
      </c>
      <c r="I14" t="n">
        <v>0.5139</v>
      </c>
      <c r="J14" t="n">
        <v>0.05</v>
      </c>
      <c r="K14" t="n">
        <v>6.069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3.569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2026 playoffs still in progress</t>
        </is>
      </c>
    </row>
    <row r="15">
      <c r="A15" s="12" t="inlineStr">
        <is>
          <t>Cleveland Guardians</t>
        </is>
      </c>
      <c r="B15" t="inlineStr">
        <is>
          <t>2026: 85-77 (.5247)</t>
        </is>
      </c>
      <c r="D15" t="n">
        <v>0.0245</v>
      </c>
      <c r="E15" t="n">
        <v>0.049</v>
      </c>
      <c r="F15" t="n">
        <v>0.098</v>
      </c>
      <c r="G15" t="n">
        <v>0.196</v>
      </c>
      <c r="H15" t="n">
        <v>0.392</v>
      </c>
      <c r="I15" t="n">
        <v>0.5111</v>
      </c>
      <c r="J15" t="n">
        <v>0.05</v>
      </c>
      <c r="K15" t="n">
        <v>5.885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3.564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2026 playoffs still in progress</t>
        </is>
      </c>
    </row>
    <row r="16">
      <c r="A16" s="12" t="inlineStr">
        <is>
          <t>Pittsburgh Pirates</t>
        </is>
      </c>
      <c r="B16" t="inlineStr">
        <is>
          <t>2026: 82-80 (.5062)</t>
        </is>
      </c>
      <c r="D16" t="n">
        <v>0.0294</v>
      </c>
      <c r="E16" t="n">
        <v>0.0588</v>
      </c>
      <c r="F16" t="n">
        <v>0.1176</v>
      </c>
      <c r="G16" t="n">
        <v>0.2352</v>
      </c>
      <c r="H16" t="n">
        <v>0.4704</v>
      </c>
      <c r="I16" t="n">
        <v>0.5028</v>
      </c>
      <c r="J16" t="n">
        <v>0.05</v>
      </c>
      <c r="K16" t="n">
        <v>5.277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3.435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2026 playoffs still in progress</t>
        </is>
      </c>
    </row>
    <row r="17">
      <c r="A17" s="12" t="inlineStr">
        <is>
          <t>Chicago White Sox</t>
        </is>
      </c>
      <c r="B17" t="inlineStr">
        <is>
          <t>2026: 84-78 (.5185)</t>
        </is>
      </c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0.5083</v>
      </c>
      <c r="J17" t="n">
        <v>0.05</v>
      </c>
      <c r="K17" t="n">
        <v>5.686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3.553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2026 playoffs still in progress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0.0294</v>
      </c>
      <c r="E18" t="n">
        <v>0.0588</v>
      </c>
      <c r="F18" t="n">
        <v>0.1176</v>
      </c>
      <c r="G18" t="n">
        <v>0.2352</v>
      </c>
      <c r="H18" t="n">
        <v>0.4704</v>
      </c>
      <c r="I18" t="n">
        <v>0.4958</v>
      </c>
      <c r="J18" t="n">
        <v>0.05</v>
      </c>
      <c r="K18" t="n">
        <v>4.847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3.366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2026 playoffs still in progress</t>
        </is>
      </c>
    </row>
    <row r="19">
      <c r="A19" t="inlineStr">
        <is>
          <t>Toronto Blue Jays</t>
        </is>
      </c>
      <c r="B19" t="inlineStr">
        <is>
          <t>2026: 79-83 (.4877)</t>
        </is>
      </c>
      <c r="D19" t="n">
        <v>0.0294</v>
      </c>
      <c r="E19" t="n">
        <v>0.0588</v>
      </c>
      <c r="F19" t="n">
        <v>0.1176</v>
      </c>
      <c r="G19" t="n">
        <v>0.2352</v>
      </c>
      <c r="H19" t="n">
        <v>0.4704</v>
      </c>
      <c r="I19" t="n">
        <v>0.4945</v>
      </c>
      <c r="J19" t="n">
        <v>0.05</v>
      </c>
      <c r="K19" t="n">
        <v>4.838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3.352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2026 playoffs still in progress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0.0245</v>
      </c>
      <c r="E20" t="n">
        <v>0.049</v>
      </c>
      <c r="F20" t="n">
        <v>0.098</v>
      </c>
      <c r="G20" t="n">
        <v>0.196</v>
      </c>
      <c r="H20" t="n">
        <v>0.392</v>
      </c>
      <c r="I20" t="n">
        <v>0.5</v>
      </c>
      <c r="J20" t="n">
        <v>0.05</v>
      </c>
      <c r="K20" t="n">
        <v>5.09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3.389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2026 playoffs still in progress</t>
        </is>
      </c>
    </row>
    <row r="21">
      <c r="A21" t="inlineStr">
        <is>
          <t>Texas Rangers</t>
        </is>
      </c>
      <c r="B21" t="inlineStr">
        <is>
          <t>2026: 80-82 (.4938)</t>
        </is>
      </c>
      <c r="D21" t="n">
        <v>0.0245</v>
      </c>
      <c r="E21" t="n">
        <v>0.049</v>
      </c>
      <c r="F21" t="n">
        <v>0.098</v>
      </c>
      <c r="G21" t="n">
        <v>0.196</v>
      </c>
      <c r="H21" t="n">
        <v>0.392</v>
      </c>
      <c r="I21" t="n">
        <v>0.4972</v>
      </c>
      <c r="J21" t="n">
        <v>0.05</v>
      </c>
      <c r="K21" t="n">
        <v>4.945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3.392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2026 playoffs still in progress</t>
        </is>
      </c>
    </row>
    <row r="22">
      <c r="A22" t="inlineStr">
        <is>
          <t>New York Mets</t>
        </is>
      </c>
      <c r="B22" t="inlineStr">
        <is>
          <t>2026: 74-88 (.4568)</t>
        </is>
      </c>
      <c r="D22" t="n">
        <v>0.0343</v>
      </c>
      <c r="E22" t="n">
        <v>0.06859999999999999</v>
      </c>
      <c r="F22" t="n">
        <v>0.1372</v>
      </c>
      <c r="G22" t="n">
        <v>0.2744</v>
      </c>
      <c r="H22" t="n">
        <v>0.5488</v>
      </c>
      <c r="I22" t="n">
        <v>0.4806</v>
      </c>
      <c r="J22" t="n">
        <v>0.05</v>
      </c>
      <c r="K22" t="n">
        <v>4.068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3.112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2026 playoffs still in progress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0.0294</v>
      </c>
      <c r="E23" t="n">
        <v>0.0588</v>
      </c>
      <c r="F23" t="n">
        <v>0.1176</v>
      </c>
      <c r="G23" t="n">
        <v>0.2352</v>
      </c>
      <c r="H23" t="n">
        <v>0.4704</v>
      </c>
      <c r="I23" t="n">
        <v>0.4861</v>
      </c>
      <c r="J23" t="n">
        <v>0.05</v>
      </c>
      <c r="K23" t="n">
        <v>4.293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3.164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2026 playoffs still in progress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0.0245</v>
      </c>
      <c r="E24" t="n">
        <v>0.049</v>
      </c>
      <c r="F24" t="n">
        <v>0.098</v>
      </c>
      <c r="G24" t="n">
        <v>0.196</v>
      </c>
      <c r="H24" t="n">
        <v>0.392</v>
      </c>
      <c r="I24" t="n">
        <v>0.4861</v>
      </c>
      <c r="J24" t="n">
        <v>0.05</v>
      </c>
      <c r="K24" t="n">
        <v>4.306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3.166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2026 playoffs still in progress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0.0118</v>
      </c>
      <c r="E25" t="n">
        <v>0.0236</v>
      </c>
      <c r="F25" t="n">
        <v>0.0472</v>
      </c>
      <c r="G25" t="n">
        <v>0.0944</v>
      </c>
      <c r="H25" t="n">
        <v>0.1888</v>
      </c>
      <c r="I25" t="n">
        <v>0.4972</v>
      </c>
      <c r="J25" t="n">
        <v>0.05</v>
      </c>
      <c r="K25" t="n">
        <v>4.92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3.395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2026 playoffs still in progress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0.0147</v>
      </c>
      <c r="E26" t="n">
        <v>0.0294</v>
      </c>
      <c r="F26" t="n">
        <v>0.0588</v>
      </c>
      <c r="G26" t="n">
        <v>0.1176</v>
      </c>
      <c r="H26" t="n">
        <v>0.2352</v>
      </c>
      <c r="I26" t="n">
        <v>0.4834</v>
      </c>
      <c r="J26" t="n">
        <v>0.05</v>
      </c>
      <c r="K26" t="n">
        <v>4.155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3.11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2026 playoffs still in progress</t>
        </is>
      </c>
    </row>
    <row r="27">
      <c r="A27" t="inlineStr">
        <is>
          <t>Washington Nationals</t>
        </is>
      </c>
      <c r="B27" t="inlineStr">
        <is>
          <t>2026: 77-85 (.4753)</t>
        </is>
      </c>
      <c r="D27" t="n">
        <v>0.0098</v>
      </c>
      <c r="E27" t="n">
        <v>0.0196</v>
      </c>
      <c r="F27" t="n">
        <v>0.0392</v>
      </c>
      <c r="G27" t="n">
        <v>0.0784</v>
      </c>
      <c r="H27" t="n">
        <v>0.1568</v>
      </c>
      <c r="I27" t="n">
        <v>0.4889</v>
      </c>
      <c r="J27" t="n">
        <v>0.05</v>
      </c>
      <c r="K27" t="n">
        <v>4.462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3.234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2026 playoffs still in progress</t>
        </is>
      </c>
    </row>
    <row r="28">
      <c r="A28" t="inlineStr">
        <is>
          <t>St. Louis Cardinals</t>
        </is>
      </c>
      <c r="B28" t="inlineStr">
        <is>
          <t>2026: 77-85 (.4753)</t>
        </is>
      </c>
      <c r="D28" t="n">
        <v>0.0098</v>
      </c>
      <c r="E28" t="n">
        <v>0.0196</v>
      </c>
      <c r="F28" t="n">
        <v>0.0392</v>
      </c>
      <c r="G28" t="n">
        <v>0.0784</v>
      </c>
      <c r="H28" t="n">
        <v>0.1568</v>
      </c>
      <c r="I28" t="n">
        <v>0.4889</v>
      </c>
      <c r="J28" t="n">
        <v>0.05</v>
      </c>
      <c r="K28" t="n">
        <v>4.444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3.215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2026 playoffs still in progress</t>
        </is>
      </c>
    </row>
    <row r="29">
      <c r="A29" t="inlineStr">
        <is>
          <t>Minnesota Twins</t>
        </is>
      </c>
      <c r="B29" t="inlineStr">
        <is>
          <t>2026: 77-85 (.4753)</t>
        </is>
      </c>
      <c r="D29" t="n">
        <v>0.0098</v>
      </c>
      <c r="E29" t="n">
        <v>0.0196</v>
      </c>
      <c r="F29" t="n">
        <v>0.0392</v>
      </c>
      <c r="G29" t="n">
        <v>0.0784</v>
      </c>
      <c r="H29" t="n">
        <v>0.1568</v>
      </c>
      <c r="I29" t="n">
        <v>0.4889</v>
      </c>
      <c r="J29" t="n">
        <v>0.05</v>
      </c>
      <c r="K29" t="n">
        <v>4.431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3.2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2026 playoffs still in progress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0.0098</v>
      </c>
      <c r="E30" t="n">
        <v>0.0196</v>
      </c>
      <c r="F30" t="n">
        <v>0.0392</v>
      </c>
      <c r="G30" t="n">
        <v>0.0784</v>
      </c>
      <c r="H30" t="n">
        <v>0.1568</v>
      </c>
      <c r="I30" t="n">
        <v>0.4667</v>
      </c>
      <c r="J30" t="n">
        <v>0.05</v>
      </c>
      <c r="K30" t="n">
        <v>3.284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2.709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2026 playoffs still in progress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0.0098</v>
      </c>
      <c r="E31" t="n">
        <v>0.0196</v>
      </c>
      <c r="F31" t="n">
        <v>0.0392</v>
      </c>
      <c r="G31" t="n">
        <v>0.0784</v>
      </c>
      <c r="H31" t="n">
        <v>0.1568</v>
      </c>
      <c r="I31" t="n">
        <v>0.4528</v>
      </c>
      <c r="J31" t="n">
        <v>0.05</v>
      </c>
      <c r="K31" t="n">
        <v>2.748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2.377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2026 playoffs still in progress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0.0059</v>
      </c>
      <c r="E32" t="n">
        <v>0.0118</v>
      </c>
      <c r="F32" t="n">
        <v>0.0236</v>
      </c>
      <c r="G32" t="n">
        <v>0.0472</v>
      </c>
      <c r="H32" t="n">
        <v>0.0944</v>
      </c>
      <c r="I32" t="n">
        <v>0.4555</v>
      </c>
      <c r="J32" t="n">
        <v>0.05</v>
      </c>
      <c r="K32" t="n">
        <v>2.905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2.511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2026 playoffs still in progress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0.0049</v>
      </c>
      <c r="E33" t="n">
        <v>0.0098</v>
      </c>
      <c r="F33" t="n">
        <v>0.0196</v>
      </c>
      <c r="G33" t="n">
        <v>0.0392</v>
      </c>
      <c r="H33" t="n">
        <v>0.0784</v>
      </c>
      <c r="I33" t="n">
        <v>0.4472</v>
      </c>
      <c r="J33" t="n">
        <v>0.05</v>
      </c>
      <c r="K33" t="n">
        <v>2.58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2.226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2026 playoffs still in progress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0.002</v>
      </c>
      <c r="E34" t="n">
        <v>0.004</v>
      </c>
      <c r="F34" t="n">
        <v>0.008</v>
      </c>
      <c r="G34" t="n">
        <v>0.016</v>
      </c>
      <c r="H34" t="n">
        <v>0.032</v>
      </c>
      <c r="I34" t="n">
        <v>0.4361</v>
      </c>
      <c r="J34" t="n">
        <v>0.05</v>
      </c>
      <c r="K34" t="n">
        <v>2.197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1.911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2026 playoffs still in progress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7" t="inlineStr">
        <is>
          <t>A</t>
        </is>
      </c>
      <c r="U5" t="inlineStr">
        <is>
          <t>pts 107.5</t>
        </is>
      </c>
    </row>
    <row r="6">
      <c r="A6" s="7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7" t="inlineStr">
        <is>
          <t>A</t>
        </is>
      </c>
      <c r="U6" t="inlineStr">
        <is>
          <t>pts 108.5, dated; 2026 champion</t>
        </is>
      </c>
    </row>
    <row r="7">
      <c r="A7" s="7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7" t="inlineStr">
        <is>
          <t>A</t>
        </is>
      </c>
      <c r="U7" t="inlineStr">
        <is>
          <t>pts 107.5</t>
        </is>
      </c>
    </row>
    <row r="8">
      <c r="A8" s="11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7" t="inlineStr">
        <is>
          <t>A</t>
        </is>
      </c>
      <c r="U8" t="inlineStr">
        <is>
          <t>pts 104.5</t>
        </is>
      </c>
    </row>
    <row r="9">
      <c r="A9" s="11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7" t="inlineStr">
        <is>
          <t>A</t>
        </is>
      </c>
      <c r="U9" t="inlineStr">
        <is>
          <t>pts 100.5</t>
        </is>
      </c>
    </row>
    <row r="10">
      <c r="A10" s="11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7" t="inlineStr">
        <is>
          <t>A</t>
        </is>
      </c>
      <c r="U10" t="inlineStr">
        <is>
          <t>pts 100.5</t>
        </is>
      </c>
    </row>
    <row r="11">
      <c r="A11" s="11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7" t="inlineStr">
        <is>
          <t>A</t>
        </is>
      </c>
      <c r="U11" t="inlineStr">
        <is>
          <t>est.</t>
        </is>
      </c>
    </row>
    <row r="12">
      <c r="A12" s="12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7" t="inlineStr">
        <is>
          <t>A</t>
        </is>
      </c>
      <c r="U12" t="inlineStr">
        <is>
          <t>est.</t>
        </is>
      </c>
    </row>
    <row r="13">
      <c r="A13" s="12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7" t="inlineStr">
        <is>
          <t>A</t>
        </is>
      </c>
      <c r="U13" t="inlineStr">
        <is>
          <t>pts 98.5</t>
        </is>
      </c>
    </row>
    <row r="14">
      <c r="A14" s="12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7" t="inlineStr">
        <is>
          <t>A</t>
        </is>
      </c>
      <c r="U14" t="inlineStr">
        <is>
          <t>pts 94.5</t>
        </is>
      </c>
    </row>
    <row r="15">
      <c r="A15" s="12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7" t="inlineStr">
        <is>
          <t>A</t>
        </is>
      </c>
      <c r="U15" t="inlineStr">
        <is>
          <t>est.</t>
        </is>
      </c>
    </row>
    <row r="16">
      <c r="A16" s="12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7" t="inlineStr">
        <is>
          <t>A</t>
        </is>
      </c>
      <c r="U16" t="inlineStr">
        <is>
          <t>pts 95.5</t>
        </is>
      </c>
    </row>
    <row r="17">
      <c r="A17" s="12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7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7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est.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pts 88.5 | price superseded by Kalshi field; p rescaled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pts 86.5 | price superseded by Kalshi field; p rescaled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pts 86.5 | price superseded by Kalshi field; p rescaled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7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7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7" t="inlineStr">
        <is>
          <t>A</t>
        </is>
      </c>
      <c r="U5" t="inlineStr">
        <is>
          <t>at Alabama Oct 10</t>
        </is>
      </c>
    </row>
    <row r="6">
      <c r="A6" s="7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7" t="inlineStr">
        <is>
          <t>A</t>
        </is>
      </c>
      <c r="U6" t="inlineStr"/>
    </row>
    <row r="7">
      <c r="A7" s="7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7" t="inlineStr">
        <is>
          <t>A</t>
        </is>
      </c>
      <c r="U7" t="inlineStr">
        <is>
          <t>one loss; books' favourite</t>
        </is>
      </c>
    </row>
    <row r="8">
      <c r="A8" s="11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7" t="inlineStr">
        <is>
          <t>A</t>
        </is>
      </c>
      <c r="U8" t="inlineStr"/>
    </row>
    <row r="9">
      <c r="A9" s="11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7" t="inlineStr">
        <is>
          <t>A</t>
        </is>
      </c>
      <c r="U9" t="inlineStr"/>
    </row>
    <row r="10">
      <c r="A10" s="11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7" t="inlineStr">
        <is>
          <t>A</t>
        </is>
      </c>
      <c r="U10" t="inlineStr"/>
    </row>
    <row r="11">
      <c r="A11" s="11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7" t="inlineStr">
        <is>
          <t>A</t>
        </is>
      </c>
      <c r="U11" t="inlineStr"/>
    </row>
    <row r="12">
      <c r="A12" s="12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7" t="inlineStr">
        <is>
          <t>A</t>
        </is>
      </c>
      <c r="U12" t="inlineStr"/>
    </row>
    <row r="13">
      <c r="A13" s="12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7" t="inlineStr">
        <is>
          <t>A</t>
        </is>
      </c>
      <c r="U13" t="inlineStr"/>
    </row>
    <row r="14">
      <c r="A14" s="12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7" t="inlineStr">
        <is>
          <t>A</t>
        </is>
      </c>
      <c r="U14" t="inlineStr"/>
    </row>
    <row r="15">
      <c r="A15" s="12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7" t="inlineStr">
        <is>
          <t>A</t>
        </is>
      </c>
      <c r="U16" t="inlineStr"/>
    </row>
    <row r="17">
      <c r="A17" s="12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7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7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Houston</t>
        </is>
      </c>
      <c r="B26" t="inlineStr">
        <is>
          <t>AP #22, 4-1, Big 12</t>
        </is>
      </c>
      <c r="C26" t="inlineStr">
        <is>
          <t>+50000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0.34</v>
      </c>
      <c r="J26" t="n">
        <v>0.16</v>
      </c>
      <c r="K26" t="n">
        <v>1.673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1.314</v>
      </c>
      <c r="R26" t="inlineStr">
        <is>
          <t>estimate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Boise State</t>
        </is>
      </c>
      <c r="B27" t="inlineStr">
        <is>
          <t>AP #23, 4-1, MWC</t>
        </is>
      </c>
      <c r="C27" t="inlineStr">
        <is>
          <t>+50000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0.34</v>
      </c>
      <c r="J27" t="n">
        <v>0.16</v>
      </c>
      <c r="K27" t="n">
        <v>1.672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1.306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Pittsburgh</t>
        </is>
      </c>
      <c r="B28" t="inlineStr">
        <is>
          <t>AP #25, 5-0, ACC</t>
        </is>
      </c>
      <c r="C28" t="inlineStr">
        <is>
          <t>+50000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0.32</v>
      </c>
      <c r="J28" t="n">
        <v>0.16</v>
      </c>
      <c r="K28" t="n">
        <v>1.585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1.242</v>
      </c>
      <c r="R28" t="inlineStr">
        <is>
          <t>estimate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SMU</t>
        </is>
      </c>
      <c r="B29" t="inlineStr">
        <is>
          <t>AP #24, 4-1, ACC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0.32</v>
      </c>
      <c r="J29" t="n">
        <v>0.16</v>
      </c>
      <c r="K29" t="n">
        <v>1.554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1.189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Florida</t>
        </is>
      </c>
      <c r="B5" t="inlineStr"/>
      <c r="C5" t="inlineStr">
        <is>
          <t>+600</t>
        </is>
      </c>
      <c r="D5" t="n">
        <v>0.12</v>
      </c>
      <c r="E5" t="n">
        <v>0.24</v>
      </c>
      <c r="F5" t="n">
        <v>0.48</v>
      </c>
      <c r="G5" t="n">
        <v>0.96</v>
      </c>
      <c r="H5" t="n">
        <v>0.97</v>
      </c>
      <c r="I5" t="n">
        <v>0.96</v>
      </c>
      <c r="J5" t="n">
        <v>0.08</v>
      </c>
      <c r="K5" t="n">
        <v>11.29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2.065</v>
      </c>
      <c r="R5" t="inlineStr">
        <is>
          <t>CBS Sports title odds 2026-08-04</t>
        </is>
      </c>
      <c r="S5" t="inlineStr">
        <is>
          <t>2026-10-08</t>
        </is>
      </c>
      <c r="T5" s="7" t="inlineStr">
        <is>
          <t>B</t>
        </is>
      </c>
      <c r="U5" t="inlineStr">
        <is>
          <t>ESPN preseason #1</t>
        </is>
      </c>
    </row>
    <row r="6">
      <c r="A6" s="7" t="inlineStr">
        <is>
          <t>Duke</t>
        </is>
      </c>
      <c r="B6" t="inlineStr"/>
      <c r="C6" t="inlineStr">
        <is>
          <t>+600</t>
        </is>
      </c>
      <c r="D6" t="n">
        <v>0.12</v>
      </c>
      <c r="E6" t="n">
        <v>0.24</v>
      </c>
      <c r="F6" t="n">
        <v>0.48</v>
      </c>
      <c r="G6" t="n">
        <v>0.96</v>
      </c>
      <c r="H6" t="n">
        <v>0.97</v>
      </c>
      <c r="I6" t="n">
        <v>0.95</v>
      </c>
      <c r="J6" t="n">
        <v>0.08</v>
      </c>
      <c r="K6" t="n">
        <v>11.006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2.159</v>
      </c>
      <c r="R6" t="inlineStr">
        <is>
          <t>CBS Sports title odds 2026-08-04</t>
        </is>
      </c>
      <c r="S6" t="inlineStr">
        <is>
          <t>2026-10-08</t>
        </is>
      </c>
      <c r="T6" s="7" t="inlineStr">
        <is>
          <t>B</t>
        </is>
      </c>
      <c r="U6" t="inlineStr"/>
    </row>
    <row r="7">
      <c r="A7" s="7" t="inlineStr">
        <is>
          <t>UConn</t>
        </is>
      </c>
      <c r="B7" t="inlineStr"/>
      <c r="C7" t="inlineStr">
        <is>
          <t>+1300</t>
        </is>
      </c>
      <c r="D7" t="n">
        <v>0.06</v>
      </c>
      <c r="E7" t="n">
        <v>0.12</v>
      </c>
      <c r="F7" t="n">
        <v>0.24</v>
      </c>
      <c r="G7" t="n">
        <v>0.48</v>
      </c>
      <c r="H7" t="n">
        <v>0.96</v>
      </c>
      <c r="I7" t="n">
        <v>0.88</v>
      </c>
      <c r="J7" t="n">
        <v>0.08</v>
      </c>
      <c r="K7" t="n">
        <v>8.818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2.826</v>
      </c>
      <c r="R7" t="inlineStr">
        <is>
          <t>CBS Sports title odds 2026-08-04</t>
        </is>
      </c>
      <c r="S7" t="inlineStr">
        <is>
          <t>2026-10-08</t>
        </is>
      </c>
      <c r="T7" s="7" t="inlineStr">
        <is>
          <t>B</t>
        </is>
      </c>
      <c r="U7" t="inlineStr"/>
    </row>
    <row r="8">
      <c r="A8" s="11" t="inlineStr">
        <is>
          <t>Illinois</t>
        </is>
      </c>
      <c r="B8" t="inlineStr"/>
      <c r="C8" t="inlineStr">
        <is>
          <t>+1300</t>
        </is>
      </c>
      <c r="D8" t="n">
        <v>0.06</v>
      </c>
      <c r="E8" t="n">
        <v>0.12</v>
      </c>
      <c r="F8" t="n">
        <v>0.24</v>
      </c>
      <c r="G8" t="n">
        <v>0.48</v>
      </c>
      <c r="H8" t="n">
        <v>0.96</v>
      </c>
      <c r="I8" t="n">
        <v>0.88</v>
      </c>
      <c r="J8" t="n">
        <v>0.08</v>
      </c>
      <c r="K8" t="n">
        <v>8.816000000000001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2.843</v>
      </c>
      <c r="R8" t="inlineStr">
        <is>
          <t>CBS Sports title odds 2026-08-04</t>
        </is>
      </c>
      <c r="S8" t="inlineStr">
        <is>
          <t>2026-10-08</t>
        </is>
      </c>
      <c r="T8" s="7" t="inlineStr">
        <is>
          <t>B</t>
        </is>
      </c>
      <c r="U8" t="inlineStr"/>
    </row>
    <row r="9">
      <c r="A9" s="11" t="inlineStr">
        <is>
          <t>Michigan</t>
        </is>
      </c>
      <c r="B9" t="inlineStr"/>
      <c r="C9" t="inlineStr">
        <is>
          <t>+1600</t>
        </is>
      </c>
      <c r="D9" t="n">
        <v>0.05</v>
      </c>
      <c r="E9" t="n">
        <v>0.1</v>
      </c>
      <c r="F9" t="n">
        <v>0.2</v>
      </c>
      <c r="G9" t="n">
        <v>0.4</v>
      </c>
      <c r="H9" t="n">
        <v>0.8</v>
      </c>
      <c r="I9" t="n">
        <v>0.86</v>
      </c>
      <c r="J9" t="n">
        <v>0.08</v>
      </c>
      <c r="K9" t="n">
        <v>8.192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2.945</v>
      </c>
      <c r="R9" t="inlineStr">
        <is>
          <t>CBS Sports title odds 2026-08-04</t>
        </is>
      </c>
      <c r="S9" t="inlineStr">
        <is>
          <t>2026-10-08</t>
        </is>
      </c>
      <c r="T9" s="7" t="inlineStr">
        <is>
          <t>B</t>
        </is>
      </c>
      <c r="U9" t="inlineStr">
        <is>
          <t>2026 champion</t>
        </is>
      </c>
    </row>
    <row r="10">
      <c r="A10" s="11" t="inlineStr">
        <is>
          <t>Michigan State</t>
        </is>
      </c>
      <c r="B10" t="inlineStr"/>
      <c r="C10" t="inlineStr">
        <is>
          <t>+2200</t>
        </is>
      </c>
      <c r="D10" t="n">
        <v>0.04</v>
      </c>
      <c r="E10" t="n">
        <v>0.08</v>
      </c>
      <c r="F10" t="n">
        <v>0.16</v>
      </c>
      <c r="G10" t="n">
        <v>0.32</v>
      </c>
      <c r="H10" t="n">
        <v>0.64</v>
      </c>
      <c r="I10" t="n">
        <v>0.84</v>
      </c>
      <c r="J10" t="n">
        <v>0.08</v>
      </c>
      <c r="K10" t="n">
        <v>7.382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2.994</v>
      </c>
      <c r="R10" t="inlineStr">
        <is>
          <t>CBS Sports title odds 2026-08-04</t>
        </is>
      </c>
      <c r="S10" t="inlineStr">
        <is>
          <t>2026-10-08</t>
        </is>
      </c>
      <c r="T10" s="7" t="inlineStr">
        <is>
          <t>B</t>
        </is>
      </c>
      <c r="U10" t="inlineStr"/>
    </row>
    <row r="11">
      <c r="A11" s="11" t="inlineStr">
        <is>
          <t>Houston</t>
        </is>
      </c>
      <c r="B11" t="inlineStr"/>
      <c r="C11" t="inlineStr">
        <is>
          <t>+2500</t>
        </is>
      </c>
      <c r="D11" t="n">
        <v>0.035</v>
      </c>
      <c r="E11" t="n">
        <v>0.07000000000000001</v>
      </c>
      <c r="F11" t="n">
        <v>0.14</v>
      </c>
      <c r="G11" t="n">
        <v>0.28</v>
      </c>
      <c r="H11" t="n">
        <v>0.5600000000000001</v>
      </c>
      <c r="I11" t="n">
        <v>0.84</v>
      </c>
      <c r="J11" t="n">
        <v>0.08</v>
      </c>
      <c r="K11" t="n">
        <v>7.458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2.992</v>
      </c>
      <c r="R11" t="inlineStr">
        <is>
          <t>CBS Sports title odds 2026-08-04</t>
        </is>
      </c>
      <c r="S11" t="inlineStr">
        <is>
          <t>2026-10-08</t>
        </is>
      </c>
      <c r="T11" s="7" t="inlineStr">
        <is>
          <t>B</t>
        </is>
      </c>
      <c r="U11" t="inlineStr"/>
    </row>
    <row r="12">
      <c r="A12" s="12" t="inlineStr">
        <is>
          <t>Arizona</t>
        </is>
      </c>
      <c r="B12" t="inlineStr"/>
      <c r="C12" t="inlineStr">
        <is>
          <t>+2500</t>
        </is>
      </c>
      <c r="D12" t="n">
        <v>0.035</v>
      </c>
      <c r="E12" t="n">
        <v>0.07000000000000001</v>
      </c>
      <c r="F12" t="n">
        <v>0.14</v>
      </c>
      <c r="G12" t="n">
        <v>0.28</v>
      </c>
      <c r="H12" t="n">
        <v>0.5600000000000001</v>
      </c>
      <c r="I12" t="n">
        <v>0.84</v>
      </c>
      <c r="J12" t="n">
        <v>0.08</v>
      </c>
      <c r="K12" t="n">
        <v>7.446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3.007</v>
      </c>
      <c r="R12" t="inlineStr">
        <is>
          <t>CBS Sports title odds 2026-08-04</t>
        </is>
      </c>
      <c r="S12" t="inlineStr">
        <is>
          <t>2026-10-08</t>
        </is>
      </c>
      <c r="T12" s="7" t="inlineStr">
        <is>
          <t>B</t>
        </is>
      </c>
      <c r="U12" t="inlineStr"/>
    </row>
    <row r="13">
      <c r="A13" s="12" t="inlineStr">
        <is>
          <t>Kansas</t>
        </is>
      </c>
      <c r="B13" t="inlineStr"/>
      <c r="C13" t="inlineStr">
        <is>
          <t>+4000</t>
        </is>
      </c>
      <c r="D13" t="n">
        <v>0.02</v>
      </c>
      <c r="E13" t="n">
        <v>0.04</v>
      </c>
      <c r="F13" t="n">
        <v>0.08</v>
      </c>
      <c r="G13" t="n">
        <v>0.16</v>
      </c>
      <c r="H13" t="n">
        <v>0.32</v>
      </c>
      <c r="I13" t="n">
        <v>0.78</v>
      </c>
      <c r="J13" t="n">
        <v>0.08</v>
      </c>
      <c r="K13" t="n">
        <v>5.219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2.84</v>
      </c>
      <c r="R13" t="inlineStr">
        <is>
          <t>CBS Sports title odds 2026-08-04</t>
        </is>
      </c>
      <c r="S13" t="inlineStr">
        <is>
          <t>2026-10-08</t>
        </is>
      </c>
      <c r="T13" s="7" t="inlineStr">
        <is>
          <t>B</t>
        </is>
      </c>
      <c r="U13" t="inlineStr"/>
    </row>
    <row r="14">
      <c r="A14" s="12" t="inlineStr">
        <is>
          <t>Kentucky</t>
        </is>
      </c>
      <c r="B14" t="inlineStr"/>
      <c r="D14" t="n">
        <v>0.02</v>
      </c>
      <c r="E14" t="n">
        <v>0.04</v>
      </c>
      <c r="F14" t="n">
        <v>0.08</v>
      </c>
      <c r="G14" t="n">
        <v>0.16</v>
      </c>
      <c r="H14" t="n">
        <v>0.32</v>
      </c>
      <c r="I14" t="n">
        <v>0.76</v>
      </c>
      <c r="J14" t="n">
        <v>0.09</v>
      </c>
      <c r="K14" t="n">
        <v>4.651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2.916</v>
      </c>
      <c r="R14" t="inlineStr">
        <is>
          <t>estimate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Purdue</t>
        </is>
      </c>
      <c r="B15" t="inlineStr"/>
      <c r="C15" t="inlineStr">
        <is>
          <t>+6500</t>
        </is>
      </c>
      <c r="D15" t="n">
        <v>0.013</v>
      </c>
      <c r="E15" t="n">
        <v>0.026</v>
      </c>
      <c r="F15" t="n">
        <v>0.052</v>
      </c>
      <c r="G15" t="n">
        <v>0.104</v>
      </c>
      <c r="H15" t="n">
        <v>0.208</v>
      </c>
      <c r="I15" t="n">
        <v>0.74</v>
      </c>
      <c r="J15" t="n">
        <v>0.08</v>
      </c>
      <c r="K15" t="n">
        <v>3.921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2.498</v>
      </c>
      <c r="R15" t="inlineStr">
        <is>
          <t>CBS Sports title odds 2026-08-04</t>
        </is>
      </c>
      <c r="S15" t="inlineStr">
        <is>
          <t>2026-10-08</t>
        </is>
      </c>
      <c r="T15" s="7" t="inlineStr">
        <is>
          <t>B</t>
        </is>
      </c>
      <c r="U15" t="inlineStr"/>
    </row>
    <row r="16">
      <c r="A16" s="12" t="inlineStr">
        <is>
          <t>Louisville</t>
        </is>
      </c>
      <c r="B16" t="inlineStr"/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0.72</v>
      </c>
      <c r="J16" t="n">
        <v>0.09</v>
      </c>
      <c r="K16" t="n">
        <v>3.462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2.53</v>
      </c>
      <c r="R16" t="inlineStr">
        <is>
          <t>estimate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Tennessee</t>
        </is>
      </c>
      <c r="B17" t="inlineStr"/>
      <c r="D17" t="n">
        <v>0.015</v>
      </c>
      <c r="E17" t="n">
        <v>0.03</v>
      </c>
      <c r="F17" t="n">
        <v>0.06</v>
      </c>
      <c r="G17" t="n">
        <v>0.12</v>
      </c>
      <c r="H17" t="n">
        <v>0.24</v>
      </c>
      <c r="I17" t="n">
        <v>0.72</v>
      </c>
      <c r="J17" t="n">
        <v>0.09</v>
      </c>
      <c r="K17" t="n">
        <v>3.45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2.533</v>
      </c>
      <c r="R17" t="inlineStr">
        <is>
          <t>estimate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Texas Tech</t>
        </is>
      </c>
      <c r="B18" t="inlineStr"/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0.72</v>
      </c>
      <c r="J18" t="n">
        <v>0.09</v>
      </c>
      <c r="K18" t="n">
        <v>3.444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2.506</v>
      </c>
      <c r="R18" t="inlineStr">
        <is>
          <t>estimate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Alabama</t>
        </is>
      </c>
      <c r="B19" t="inlineStr"/>
      <c r="D19" t="n">
        <v>0.015</v>
      </c>
      <c r="E19" t="n">
        <v>0.03</v>
      </c>
      <c r="F19" t="n">
        <v>0.06</v>
      </c>
      <c r="G19" t="n">
        <v>0.12</v>
      </c>
      <c r="H19" t="n">
        <v>0.24</v>
      </c>
      <c r="I19" t="n">
        <v>0.72</v>
      </c>
      <c r="J19" t="n">
        <v>0.09</v>
      </c>
      <c r="K19" t="n">
        <v>3.442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2.521</v>
      </c>
      <c r="R19" t="inlineStr">
        <is>
          <t>estimate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BYU</t>
        </is>
      </c>
      <c r="B20" t="inlineStr"/>
      <c r="D20" t="n">
        <v>0.012</v>
      </c>
      <c r="E20" t="n">
        <v>0.024</v>
      </c>
      <c r="F20" t="n">
        <v>0.048</v>
      </c>
      <c r="G20" t="n">
        <v>0.096</v>
      </c>
      <c r="H20" t="n">
        <v>0.192</v>
      </c>
      <c r="I20" t="n">
        <v>0.7</v>
      </c>
      <c r="J20" t="n">
        <v>0.09</v>
      </c>
      <c r="K20" t="n">
        <v>3.021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2.296</v>
      </c>
      <c r="R20" t="inlineStr">
        <is>
          <t>estimate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Gonzaga</t>
        </is>
      </c>
      <c r="B21" t="inlineStr"/>
      <c r="D21" t="n">
        <v>0.012</v>
      </c>
      <c r="E21" t="n">
        <v>0.024</v>
      </c>
      <c r="F21" t="n">
        <v>0.048</v>
      </c>
      <c r="G21" t="n">
        <v>0.096</v>
      </c>
      <c r="H21" t="n">
        <v>0.192</v>
      </c>
      <c r="I21" t="n">
        <v>0.7</v>
      </c>
      <c r="J21" t="n">
        <v>0.09</v>
      </c>
      <c r="K21" t="n">
        <v>2.987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2.308</v>
      </c>
      <c r="R21" t="inlineStr">
        <is>
          <t>estimate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Iowa State</t>
        </is>
      </c>
      <c r="B22" t="inlineStr"/>
      <c r="D22" t="n">
        <v>0.012</v>
      </c>
      <c r="E22" t="n">
        <v>0.024</v>
      </c>
      <c r="F22" t="n">
        <v>0.048</v>
      </c>
      <c r="G22" t="n">
        <v>0.096</v>
      </c>
      <c r="H22" t="n">
        <v>0.192</v>
      </c>
      <c r="I22" t="n">
        <v>0.7</v>
      </c>
      <c r="J22" t="n">
        <v>0.09</v>
      </c>
      <c r="K22" t="n">
        <v>2.974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2.257</v>
      </c>
      <c r="R22" t="inlineStr">
        <is>
          <t>estimate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Arkansas</t>
        </is>
      </c>
      <c r="B23" t="inlineStr"/>
      <c r="D23" t="n">
        <v>0.012</v>
      </c>
      <c r="E23" t="n">
        <v>0.024</v>
      </c>
      <c r="F23" t="n">
        <v>0.048</v>
      </c>
      <c r="G23" t="n">
        <v>0.096</v>
      </c>
      <c r="H23" t="n">
        <v>0.192</v>
      </c>
      <c r="I23" t="n">
        <v>0.6899999999999999</v>
      </c>
      <c r="J23" t="n">
        <v>0.09</v>
      </c>
      <c r="K23" t="n">
        <v>2.791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2.161</v>
      </c>
      <c r="R23" t="inlineStr">
        <is>
          <t>estimate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North Carolina</t>
        </is>
      </c>
      <c r="B24" t="inlineStr"/>
      <c r="D24" t="n">
        <v>0.01</v>
      </c>
      <c r="E24" t="n">
        <v>0.02</v>
      </c>
      <c r="F24" t="n">
        <v>0.04</v>
      </c>
      <c r="G24" t="n">
        <v>0.08</v>
      </c>
      <c r="H24" t="n">
        <v>0.16</v>
      </c>
      <c r="I24" t="n">
        <v>0.68</v>
      </c>
      <c r="J24" t="n">
        <v>0.09</v>
      </c>
      <c r="K24" t="n">
        <v>2.616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2.069</v>
      </c>
      <c r="R24" t="inlineStr">
        <is>
          <t>estimate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Auburn</t>
        </is>
      </c>
      <c r="B25" t="inlineStr"/>
      <c r="D25" t="n">
        <v>0.01</v>
      </c>
      <c r="E25" t="n">
        <v>0.02</v>
      </c>
      <c r="F25" t="n">
        <v>0.04</v>
      </c>
      <c r="G25" t="n">
        <v>0.08</v>
      </c>
      <c r="H25" t="n">
        <v>0.16</v>
      </c>
      <c r="I25" t="n">
        <v>0.68</v>
      </c>
      <c r="J25" t="n">
        <v>0.09</v>
      </c>
      <c r="K25" t="n">
        <v>2.577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2.019</v>
      </c>
      <c r="R25" t="inlineStr">
        <is>
          <t>estimate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St. John's</t>
        </is>
      </c>
      <c r="B26" t="inlineStr"/>
      <c r="D26" t="n">
        <v>0.01</v>
      </c>
      <c r="E26" t="n">
        <v>0.02</v>
      </c>
      <c r="F26" t="n">
        <v>0.04</v>
      </c>
      <c r="G26" t="n">
        <v>0.08</v>
      </c>
      <c r="H26" t="n">
        <v>0.16</v>
      </c>
      <c r="I26" t="n">
        <v>0.67</v>
      </c>
      <c r="J26" t="n">
        <v>0.09</v>
      </c>
      <c r="K26" t="n">
        <v>2.43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1.919</v>
      </c>
      <c r="R26" t="inlineStr">
        <is>
          <t>estimate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Vanderbilt</t>
        </is>
      </c>
      <c r="B27" t="inlineStr"/>
      <c r="D27" t="n">
        <v>0.01</v>
      </c>
      <c r="E27" t="n">
        <v>0.02</v>
      </c>
      <c r="F27" t="n">
        <v>0.04</v>
      </c>
      <c r="G27" t="n">
        <v>0.08</v>
      </c>
      <c r="H27" t="n">
        <v>0.16</v>
      </c>
      <c r="I27" t="n">
        <v>0.66</v>
      </c>
      <c r="J27" t="n">
        <v>0.09</v>
      </c>
      <c r="K27" t="n">
        <v>2.266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1.772</v>
      </c>
      <c r="R27" t="inlineStr">
        <is>
          <t>estimate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Texas</t>
        </is>
      </c>
      <c r="B28" t="inlineStr"/>
      <c r="D28" t="n">
        <v>0.008</v>
      </c>
      <c r="E28" t="n">
        <v>0.016</v>
      </c>
      <c r="F28" t="n">
        <v>0.032</v>
      </c>
      <c r="G28" t="n">
        <v>0.064</v>
      </c>
      <c r="H28" t="n">
        <v>0.128</v>
      </c>
      <c r="I28" t="n">
        <v>0.65</v>
      </c>
      <c r="J28" t="n">
        <v>0.09</v>
      </c>
      <c r="K28" t="n">
        <v>2.159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1.727</v>
      </c>
      <c r="R28" t="inlineStr">
        <is>
          <t>estimate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Wisconsin</t>
        </is>
      </c>
      <c r="B29" t="inlineStr"/>
      <c r="D29" t="n">
        <v>0.008</v>
      </c>
      <c r="E29" t="n">
        <v>0.016</v>
      </c>
      <c r="F29" t="n">
        <v>0.032</v>
      </c>
      <c r="G29" t="n">
        <v>0.064</v>
      </c>
      <c r="H29" t="n">
        <v>0.128</v>
      </c>
      <c r="I29" t="n">
        <v>0.65</v>
      </c>
      <c r="J29" t="n">
        <v>0.09</v>
      </c>
      <c r="K29" t="n">
        <v>2.117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1.663</v>
      </c>
      <c r="R29" t="inlineStr">
        <is>
          <t>estimate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Creighton</t>
        </is>
      </c>
      <c r="B30" t="inlineStr"/>
      <c r="D30" t="n">
        <v>0.008</v>
      </c>
      <c r="E30" t="n">
        <v>0.016</v>
      </c>
      <c r="F30" t="n">
        <v>0.032</v>
      </c>
      <c r="G30" t="n">
        <v>0.064</v>
      </c>
      <c r="H30" t="n">
        <v>0.128</v>
      </c>
      <c r="I30" t="n">
        <v>0.65</v>
      </c>
      <c r="J30" t="n">
        <v>0.09</v>
      </c>
      <c r="K30" t="n">
        <v>2.11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1.687</v>
      </c>
      <c r="R30" t="inlineStr">
        <is>
          <t>estimate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Baylor</t>
        </is>
      </c>
      <c r="B31" t="inlineStr"/>
      <c r="D31" t="n">
        <v>0.008</v>
      </c>
      <c r="E31" t="n">
        <v>0.016</v>
      </c>
      <c r="F31" t="n">
        <v>0.032</v>
      </c>
      <c r="G31" t="n">
        <v>0.064</v>
      </c>
      <c r="H31" t="n">
        <v>0.128</v>
      </c>
      <c r="I31" t="n">
        <v>0.64</v>
      </c>
      <c r="J31" t="n">
        <v>0.09</v>
      </c>
      <c r="K31" t="n">
        <v>2.027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1.613</v>
      </c>
      <c r="R31" t="inlineStr">
        <is>
          <t>estimate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Virginia</t>
        </is>
      </c>
      <c r="B32" t="inlineStr"/>
      <c r="D32" t="n">
        <v>0.008</v>
      </c>
      <c r="E32" t="n">
        <v>0.016</v>
      </c>
      <c r="F32" t="n">
        <v>0.032</v>
      </c>
      <c r="G32" t="n">
        <v>0.064</v>
      </c>
      <c r="H32" t="n">
        <v>0.128</v>
      </c>
      <c r="I32" t="n">
        <v>0.64</v>
      </c>
      <c r="J32" t="n">
        <v>0.09</v>
      </c>
      <c r="K32" t="n">
        <v>1.985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1.563</v>
      </c>
      <c r="R32" t="inlineStr">
        <is>
          <t>estimate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Missouri</t>
        </is>
      </c>
      <c r="B33" t="inlineStr"/>
      <c r="D33" t="n">
        <v>0.006</v>
      </c>
      <c r="E33" t="n">
        <v>0.012</v>
      </c>
      <c r="F33" t="n">
        <v>0.024</v>
      </c>
      <c r="G33" t="n">
        <v>0.048</v>
      </c>
      <c r="H33" t="n">
        <v>0.096</v>
      </c>
      <c r="I33" t="n">
        <v>0.62</v>
      </c>
      <c r="J33" t="n">
        <v>0.09</v>
      </c>
      <c r="K33" t="n">
        <v>1.779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1.355</v>
      </c>
      <c r="R33" t="inlineStr">
        <is>
          <t>estimate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5">
      <c r="A35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p(≥1 slam win)</t>
        </is>
      </c>
      <c r="E4" s="10" t="inlineStr">
        <is>
          <t>p(≥1 slam RU)</t>
        </is>
      </c>
      <c r="F4" s="10" t="inlineStr">
        <is>
          <t>Gender</t>
        </is>
      </c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</row>
    <row r="6">
      <c r="A6" s="7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7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</row>
    <row r="8">
      <c r="A8" s="11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</row>
    <row r="9">
      <c r="A9" s="11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</row>
    <row r="10">
      <c r="A10" s="11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US Open 2026 runner-up</t>
        </is>
      </c>
    </row>
    <row r="12">
      <c r="A12" s="12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Won RG 2026</t>
        </is>
      </c>
    </row>
    <row r="14">
      <c r="A14" s="12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Won Wimbledon 2026</t>
        </is>
      </c>
    </row>
    <row r="17">
      <c r="A17" s="12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rank sources conflict (11-18)</t>
        </is>
      </c>
    </row>
    <row r="29">
      <c r="A29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p(≥1 major win)</t>
        </is>
      </c>
      <c r="E4" s="10" t="inlineStr">
        <is>
          <t>p(≥1 major RU)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7" t="inlineStr">
        <is>
          <t>C</t>
        </is>
      </c>
      <c r="U5" t="inlineStr">
        <is>
          <t>2026: Masters runner-up, US Open T4. Masters 2027 +450 (DK/FD, Apr)</t>
        </is>
      </c>
    </row>
    <row r="6">
      <c r="A6" s="7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7" t="inlineStr">
        <is>
          <t>C</t>
        </is>
      </c>
      <c r="U6" t="inlineStr">
        <is>
          <t>Won 2026 Masters. +550-600 Masters 2027</t>
        </is>
      </c>
    </row>
    <row r="7">
      <c r="A7" s="7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7" t="inlineStr">
        <is>
          <t>C</t>
        </is>
      </c>
      <c r="U8" t="inlineStr">
        <is>
          <t>2026 Open runner-up</t>
        </is>
      </c>
    </row>
    <row r="9">
      <c r="A9" s="11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7" t="inlineStr">
        <is>
          <t>C</t>
        </is>
      </c>
      <c r="U9" t="inlineStr">
        <is>
          <t>Won 2026 US Open</t>
        </is>
      </c>
    </row>
    <row r="10">
      <c r="A10" s="11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2026 US Open runner-up</t>
        </is>
      </c>
    </row>
    <row r="14">
      <c r="A14" s="12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+1600 Masters 2027</t>
        </is>
      </c>
    </row>
    <row r="15">
      <c r="A15" s="12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LIV; 2026 PGA runner-up. +1200-1400 Masters 2027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Sweden; 2027 contender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7" t="inlineStr">
        <is>
          <t>C</t>
        </is>
      </c>
      <c r="U41" t="inlineStr">
        <is>
          <t>LIV. +1400 Masters 2027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p(top 5)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0.1393</v>
      </c>
      <c r="E5" t="n">
        <v>0.638</v>
      </c>
      <c r="I5" t="n">
        <v>0.95</v>
      </c>
      <c r="J5" t="n">
        <v>0.15</v>
      </c>
      <c r="K5" t="n">
        <v>12.405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0.705</v>
      </c>
      <c r="R5" t="inlineStr">
        <is>
          <t>Kalshi KXNASCARCUPSERIES-NCS26 (2026 champion) shrunk to a 2027 prior; Chase standings via search</t>
        </is>
      </c>
      <c r="S5" t="inlineStr">
        <is>
          <t>2026-10-08</t>
        </is>
      </c>
      <c r="T5" s="7" t="inlineStr">
        <is>
          <t>C</t>
        </is>
      </c>
      <c r="U5" t="inlineStr">
        <is>
          <t>No 2027 title market yet</t>
        </is>
      </c>
    </row>
    <row r="6">
      <c r="A6" s="7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0.1029</v>
      </c>
      <c r="E6" t="n">
        <v>0.51</v>
      </c>
      <c r="I6" t="n">
        <v>0.95</v>
      </c>
      <c r="J6" t="n">
        <v>0.15</v>
      </c>
      <c r="K6" t="n">
        <v>12.394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0.776</v>
      </c>
      <c r="R6" t="inlineStr">
        <is>
          <t>Kalshi KXNASCARCUPSERIES-NCS26 (2026 champion) shrunk to a 2027 prior; Chase standings via search</t>
        </is>
      </c>
      <c r="S6" t="inlineStr">
        <is>
          <t>2026-10-08</t>
        </is>
      </c>
      <c r="T6" s="7" t="inlineStr">
        <is>
          <t>C</t>
        </is>
      </c>
      <c r="U6" t="inlineStr">
        <is>
          <t>No 2027 title market yet</t>
        </is>
      </c>
    </row>
    <row r="7">
      <c r="A7" s="7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0.0575</v>
      </c>
      <c r="E7" t="n">
        <v>0.351</v>
      </c>
      <c r="I7" t="n">
        <v>0.589</v>
      </c>
      <c r="J7" t="n">
        <v>0.15</v>
      </c>
      <c r="K7" t="n">
        <v>9.013999999999999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2.484</v>
      </c>
      <c r="R7" t="inlineStr">
        <is>
          <t>Kalshi KXNASCARCUPSERIES-NCS26 (2026 champion) shrunk to a 2027 prior; Chase standings via search</t>
        </is>
      </c>
      <c r="S7" t="inlineStr">
        <is>
          <t>2026-10-08</t>
        </is>
      </c>
      <c r="T7" s="7" t="inlineStr">
        <is>
          <t>C</t>
        </is>
      </c>
      <c r="U7" t="inlineStr">
        <is>
          <t>No 2027 title market yet</t>
        </is>
      </c>
    </row>
    <row r="8">
      <c r="A8" s="11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0.0445</v>
      </c>
      <c r="E8" t="n">
        <v>0.306</v>
      </c>
      <c r="I8" t="n">
        <v>0.484</v>
      </c>
      <c r="J8" t="n">
        <v>0.15</v>
      </c>
      <c r="K8" t="n">
        <v>7.196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2.968</v>
      </c>
      <c r="R8" t="inlineStr">
        <is>
          <t>Kalshi KXNASCARCUPSERIES-NCS26 (2026 champion) shrunk to a 2027 prior; Chase standings via search</t>
        </is>
      </c>
      <c r="S8" t="inlineStr">
        <is>
          <t>2026-10-08</t>
        </is>
      </c>
      <c r="T8" s="7" t="inlineStr">
        <is>
          <t>C</t>
        </is>
      </c>
      <c r="U8" t="inlineStr">
        <is>
          <t>No 2027 title market yet</t>
        </is>
      </c>
    </row>
    <row r="9">
      <c r="A9" s="11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0.0445</v>
      </c>
      <c r="E9" t="n">
        <v>0.306</v>
      </c>
      <c r="I9" t="n">
        <v>0.484</v>
      </c>
      <c r="J9" t="n">
        <v>0.15</v>
      </c>
      <c r="K9" t="n">
        <v>7.106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2.984</v>
      </c>
      <c r="R9" t="inlineStr">
        <is>
          <t>Kalshi KXNASCARCUPSERIES-NCS26 (2026 champion) shrunk to a 2027 prior; Chase standings via search</t>
        </is>
      </c>
      <c r="S9" t="inlineStr">
        <is>
          <t>2026-10-08</t>
        </is>
      </c>
      <c r="T9" s="7" t="inlineStr">
        <is>
          <t>C</t>
        </is>
      </c>
      <c r="U9" t="inlineStr">
        <is>
          <t>No 2027 title market yet</t>
        </is>
      </c>
    </row>
    <row r="10">
      <c r="A10" s="11" t="inlineStr">
        <is>
          <t>Chase Briscoe</t>
        </is>
      </c>
      <c r="B10" t="inlineStr">
        <is>
          <t>2 wins incl. Las Vegas; 6th</t>
        </is>
      </c>
      <c r="C10" t="inlineStr">
        <is>
          <t>2026 title: Kalshi 3.5%</t>
        </is>
      </c>
      <c r="D10" t="n">
        <v>0.0393</v>
      </c>
      <c r="E10" t="n">
        <v>0.287</v>
      </c>
      <c r="I10" t="n">
        <v>0.442</v>
      </c>
      <c r="J10" t="n">
        <v>0.15</v>
      </c>
      <c r="K10" t="n">
        <v>6.335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3.062</v>
      </c>
      <c r="R10" t="inlineStr">
        <is>
          <t>Kalshi KXNASCARCUPSERIES-NCS26 (2026 champion) shrunk to a 2027 prior; Chase standings via search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No 2027 title market yet</t>
        </is>
      </c>
    </row>
    <row r="11">
      <c r="A11" s="11" t="inlineStr">
        <is>
          <t>Tyler Reddick</t>
        </is>
      </c>
      <c r="B11" t="inlineStr">
        <is>
          <t>7th, -106</t>
        </is>
      </c>
      <c r="C11" t="inlineStr">
        <is>
          <t>2026 title: Kalshi 2.0%</t>
        </is>
      </c>
      <c r="D11" t="n">
        <v>0.0354</v>
      </c>
      <c r="E11" t="n">
        <v>0.274</v>
      </c>
      <c r="I11" t="n">
        <v>0.411</v>
      </c>
      <c r="J11" t="n">
        <v>0.15</v>
      </c>
      <c r="K11" t="n">
        <v>5.731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3.048</v>
      </c>
      <c r="R11" t="inlineStr">
        <is>
          <t>Kalshi KXNASCARCUPSERIES-NCS26 (2026 champion) shrunk to a 2027 prior; Chase standings via search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No 2027 title market yet</t>
        </is>
      </c>
    </row>
    <row r="12">
      <c r="A12" s="12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0.0328</v>
      </c>
      <c r="E12" t="n">
        <v>0.265</v>
      </c>
      <c r="I12" t="n">
        <v>0.39</v>
      </c>
      <c r="J12" t="n">
        <v>0.15</v>
      </c>
      <c r="K12" t="n">
        <v>5.316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2.989</v>
      </c>
      <c r="R12" t="inlineStr">
        <is>
          <t>Kalshi KXNASCARCUPSERIES-NCS26 (2026 champion) shrunk to a 2027 prior; Chase standings via search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No 2027 title market yet</t>
        </is>
      </c>
    </row>
    <row r="13">
      <c r="A13" s="12" t="inlineStr">
        <is>
          <t>William Byron</t>
        </is>
      </c>
      <c r="B13" t="inlineStr">
        <is>
          <t>2026 Cup Series</t>
        </is>
      </c>
      <c r="C13" t="inlineStr">
        <is>
          <t>2026 title: Kalshi 0.5%</t>
        </is>
      </c>
      <c r="D13" t="n">
        <v>0.0315</v>
      </c>
      <c r="E13" t="n">
        <v>0.26</v>
      </c>
      <c r="I13" t="n">
        <v>0.379</v>
      </c>
      <c r="J13" t="n">
        <v>0.15</v>
      </c>
      <c r="K13" t="n">
        <v>5.143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3.018</v>
      </c>
      <c r="R13" t="inlineStr">
        <is>
          <t>Kalshi KXNASCARCUPSERIES-NCS26 (2026 champion) shrunk to a 2027 prior; Chase standings via search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No 2027 title market yet</t>
        </is>
      </c>
    </row>
    <row r="14">
      <c r="A14" s="12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0.0315</v>
      </c>
      <c r="E14" t="n">
        <v>0.26</v>
      </c>
      <c r="I14" t="n">
        <v>0.379</v>
      </c>
      <c r="J14" t="n">
        <v>0.15</v>
      </c>
      <c r="K14" t="n">
        <v>5.139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2.987</v>
      </c>
      <c r="R14" t="inlineStr">
        <is>
          <t>Kalshi KXNASCARCUPSERIES-NCS26 (2026 champion) shrunk to a 2027 prior; Chase standings via search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No 2027 title market yet</t>
        </is>
      </c>
    </row>
    <row r="15">
      <c r="A15" s="12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0.0315</v>
      </c>
      <c r="E15" t="n">
        <v>0.26</v>
      </c>
      <c r="I15" t="n">
        <v>0.379</v>
      </c>
      <c r="J15" t="n">
        <v>0.15</v>
      </c>
      <c r="K15" t="n">
        <v>5.117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2.982</v>
      </c>
      <c r="R15" t="inlineStr">
        <is>
          <t>Kalshi KXNASCARCUPSERIES-NCS26 (2026 champion) shrunk to a 2027 prior; Chase standings via search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No 2027 title market yet</t>
        </is>
      </c>
    </row>
    <row r="16">
      <c r="A16" s="12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0.0315</v>
      </c>
      <c r="E16" t="n">
        <v>0.26</v>
      </c>
      <c r="I16" t="n">
        <v>0.379</v>
      </c>
      <c r="J16" t="n">
        <v>0.15</v>
      </c>
      <c r="K16" t="n">
        <v>5.111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2.977</v>
      </c>
      <c r="R16" t="inlineStr">
        <is>
          <t>Kalshi KXNASCARCUPSERIES-NCS26 (2026 champion) shrunk to a 2027 prior; Chase standings via search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No 2027 title market yet</t>
        </is>
      </c>
    </row>
    <row r="17">
      <c r="A17" s="12" t="inlineStr">
        <is>
          <t>Alex Bowman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0.0315</v>
      </c>
      <c r="E17" t="n">
        <v>0.26</v>
      </c>
      <c r="I17" t="n">
        <v>0.379</v>
      </c>
      <c r="J17" t="n">
        <v>0.15</v>
      </c>
      <c r="K17" t="n">
        <v>5.097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2.989</v>
      </c>
      <c r="R17" t="inlineStr">
        <is>
          <t>Kalshi KXNASCARCUPSERIES-NCS26 (2026 champion) shrunk to a 2027 prior; Chase standings via search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No 2027 title market yet</t>
        </is>
      </c>
    </row>
    <row r="18">
      <c r="A18" t="inlineStr">
        <is>
          <t>AJ Allmendinger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0.0315</v>
      </c>
      <c r="E18" t="n">
        <v>0.26</v>
      </c>
      <c r="I18" t="n">
        <v>0.379</v>
      </c>
      <c r="J18" t="n">
        <v>0.15</v>
      </c>
      <c r="K18" t="n">
        <v>5.096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2.983</v>
      </c>
      <c r="R18" t="inlineStr">
        <is>
          <t>Kalshi KXNASCARCUPSERIES-NCS26 (2026 champion) shrunk to a 2027 prior; Chase standings via search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No 2027 title market yet</t>
        </is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0.0315</v>
      </c>
      <c r="E19" t="n">
        <v>0.26</v>
      </c>
      <c r="I19" t="n">
        <v>0.379</v>
      </c>
      <c r="J19" t="n">
        <v>0.15</v>
      </c>
      <c r="K19" t="n">
        <v>5.09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2.981</v>
      </c>
      <c r="R19" t="inlineStr">
        <is>
          <t>Kalshi KXNASCARCUPSERIES-NCS26 (2026 champion) shrunk to a 2027 prior; Chase standings via search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No 2027 title market yet</t>
        </is>
      </c>
    </row>
    <row r="20">
      <c r="A20" t="inlineStr">
        <is>
          <t>Daniel Suarez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0.0315</v>
      </c>
      <c r="E20" t="n">
        <v>0.26</v>
      </c>
      <c r="I20" t="n">
        <v>0.379</v>
      </c>
      <c r="J20" t="n">
        <v>0.15</v>
      </c>
      <c r="K20" t="n">
        <v>5.08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2.958</v>
      </c>
      <c r="R20" t="inlineStr">
        <is>
          <t>Kalshi KXNASCARCUPSERIES-NCS26 (2026 champion) shrunk to a 2027 prior; Chase standings via search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No 2027 title market yet</t>
        </is>
      </c>
    </row>
    <row r="21">
      <c r="A21" t="inlineStr">
        <is>
          <t>Noah Gragson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0.0315</v>
      </c>
      <c r="E21" t="n">
        <v>0.26</v>
      </c>
      <c r="I21" t="n">
        <v>0.379</v>
      </c>
      <c r="J21" t="n">
        <v>0.15</v>
      </c>
      <c r="K21" t="n">
        <v>5.08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2.971</v>
      </c>
      <c r="R21" t="inlineStr">
        <is>
          <t>Kalshi KXNASCARCUPSERIES-NCS26 (2026 champion) shrunk to a 2027 prior; Chase standings via search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No 2027 title market yet</t>
        </is>
      </c>
    </row>
    <row r="22">
      <c r="A22" t="inlineStr">
        <is>
          <t>Bubba Wallace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0.0315</v>
      </c>
      <c r="E22" t="n">
        <v>0.26</v>
      </c>
      <c r="I22" t="n">
        <v>0.379</v>
      </c>
      <c r="J22" t="n">
        <v>0.15</v>
      </c>
      <c r="K22" t="n">
        <v>5.079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2.952</v>
      </c>
      <c r="R22" t="inlineStr">
        <is>
          <t>Kalshi KXNASCARCUPSERIES-NCS26 (2026 champion) shrunk to a 2027 prior; Chase standings via search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No 2027 title market yet</t>
        </is>
      </c>
    </row>
    <row r="23">
      <c r="A23" t="inlineStr">
        <is>
          <t>Todd Gilliland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0.0315</v>
      </c>
      <c r="E23" t="n">
        <v>0.26</v>
      </c>
      <c r="I23" t="n">
        <v>0.379</v>
      </c>
      <c r="J23" t="n">
        <v>0.15</v>
      </c>
      <c r="K23" t="n">
        <v>5.075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2.966</v>
      </c>
      <c r="R23" t="inlineStr">
        <is>
          <t>Kalshi KXNASCARCUPSERIES-NCS26 (2026 champion) shrunk to a 2027 prior; Chase standings via search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No 2027 title market yet</t>
        </is>
      </c>
    </row>
    <row r="24">
      <c r="A24" t="inlineStr">
        <is>
          <t>Carson Hocevar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0.0315</v>
      </c>
      <c r="E24" t="n">
        <v>0.26</v>
      </c>
      <c r="I24" t="n">
        <v>0.379</v>
      </c>
      <c r="J24" t="n">
        <v>0.15</v>
      </c>
      <c r="K24" t="n">
        <v>5.075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2.998</v>
      </c>
      <c r="R24" t="inlineStr">
        <is>
          <t>Kalshi KXNASCARCUPSERIES-NCS26 (2026 champion) shrunk to a 2027 prior; Chase standings via search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No 2027 title market yet</t>
        </is>
      </c>
    </row>
    <row r="25">
      <c r="A25" t="inlineStr">
        <is>
          <t>Ryan Preece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0.0315</v>
      </c>
      <c r="E25" t="n">
        <v>0.26</v>
      </c>
      <c r="I25" t="n">
        <v>0.379</v>
      </c>
      <c r="J25" t="n">
        <v>0.15</v>
      </c>
      <c r="K25" t="n">
        <v>5.075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2.949</v>
      </c>
      <c r="R25" t="inlineStr">
        <is>
          <t>Kalshi KXNASCARCUPSERIES-NCS26 (2026 champion) shrunk to a 2027 prior; Chase standings via search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No 2027 title market yet</t>
        </is>
      </c>
    </row>
    <row r="26">
      <c r="A26" t="inlineStr">
        <is>
          <t>Zane Smith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0.0315</v>
      </c>
      <c r="E26" t="n">
        <v>0.26</v>
      </c>
      <c r="I26" t="n">
        <v>0.379</v>
      </c>
      <c r="J26" t="n">
        <v>0.15</v>
      </c>
      <c r="K26" t="n">
        <v>5.074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2.96</v>
      </c>
      <c r="R26" t="inlineStr">
        <is>
          <t>Kalshi KXNASCARCUPSERIES-NCS26 (2026 champion) shrunk to a 2027 prior; Chase standings via search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No 2027 title market yet</t>
        </is>
      </c>
    </row>
    <row r="27">
      <c r="A27" t="inlineStr">
        <is>
          <t>Ross Chastain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0.0315</v>
      </c>
      <c r="E27" t="n">
        <v>0.26</v>
      </c>
      <c r="I27" t="n">
        <v>0.379</v>
      </c>
      <c r="J27" t="n">
        <v>0.15</v>
      </c>
      <c r="K27" t="n">
        <v>5.071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2.992</v>
      </c>
      <c r="R27" t="inlineStr">
        <is>
          <t>Kalshi KXNASCARCUPSERIES-NCS26 (2026 champion) shrunk to a 2027 prior; Chase standings via search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No 2027 title market yet</t>
        </is>
      </c>
    </row>
    <row r="28">
      <c r="A28" t="inlineStr">
        <is>
          <t>Austin Cindric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0.0315</v>
      </c>
      <c r="E28" t="n">
        <v>0.26</v>
      </c>
      <c r="I28" t="n">
        <v>0.379</v>
      </c>
      <c r="J28" t="n">
        <v>0.15</v>
      </c>
      <c r="K28" t="n">
        <v>5.068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2.987</v>
      </c>
      <c r="R28" t="inlineStr">
        <is>
          <t>Kalshi KXNASCARCUPSERIES-NCS26 (2026 champion) shrunk to a 2027 prior; Chase standings via search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No 2027 title market yet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p(champ)</t>
        </is>
      </c>
      <c r="E4" s="10" t="inlineStr">
        <is>
          <t>p(final)</t>
        </is>
      </c>
      <c r="F4" s="10" t="inlineStr">
        <is>
          <t>p(semi)</t>
        </is>
      </c>
      <c r="G4" s="10" t="inlineStr">
        <is>
          <t>p(quarter)</t>
        </is>
      </c>
      <c r="H4" s="10" t="inlineStr">
        <is>
          <t>p(rd 1)</t>
        </is>
      </c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0.1043</v>
      </c>
      <c r="E5" t="n">
        <v>0.2086</v>
      </c>
      <c r="F5" t="n">
        <v>0.4172</v>
      </c>
      <c r="G5" t="n">
        <v>0.8344</v>
      </c>
      <c r="H5" t="n">
        <v>0.97</v>
      </c>
      <c r="I5" t="n">
        <v>1.7</v>
      </c>
      <c r="J5" t="n">
        <v>0.3</v>
      </c>
      <c r="K5" t="n">
        <v>9.805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3.191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7" t="inlineStr">
        <is>
          <t>C</t>
        </is>
      </c>
      <c r="U5" t="inlineStr">
        <is>
          <t>No 2027 MLS Cup market yet</t>
        </is>
      </c>
    </row>
    <row r="6">
      <c r="A6" s="7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0.1311</v>
      </c>
      <c r="E6" t="n">
        <v>0.2622</v>
      </c>
      <c r="F6" t="n">
        <v>0.5244</v>
      </c>
      <c r="G6" t="n">
        <v>0.97</v>
      </c>
      <c r="H6" t="n">
        <v>0.97</v>
      </c>
      <c r="I6" t="n">
        <v>1.533</v>
      </c>
      <c r="J6" t="n">
        <v>0.3</v>
      </c>
      <c r="K6" t="n">
        <v>7.927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3.625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7" t="inlineStr">
        <is>
          <t>C</t>
        </is>
      </c>
      <c r="U6" t="inlineStr">
        <is>
          <t>No 2027 MLS Cup market yet</t>
        </is>
      </c>
    </row>
    <row r="7">
      <c r="A7" s="7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0.0969</v>
      </c>
      <c r="E7" t="n">
        <v>0.1938</v>
      </c>
      <c r="F7" t="n">
        <v>0.3876</v>
      </c>
      <c r="G7" t="n">
        <v>0.7752</v>
      </c>
      <c r="H7" t="n">
        <v>0.97</v>
      </c>
      <c r="I7" t="n">
        <v>1.467</v>
      </c>
      <c r="J7" t="n">
        <v>0.3</v>
      </c>
      <c r="K7" t="n">
        <v>7.122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3.629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7" t="inlineStr">
        <is>
          <t>C</t>
        </is>
      </c>
      <c r="U7" t="inlineStr">
        <is>
          <t>No 2027 MLS Cup market yet</t>
        </is>
      </c>
    </row>
    <row r="8">
      <c r="A8" s="11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0.0432</v>
      </c>
      <c r="E8" t="n">
        <v>0.0864</v>
      </c>
      <c r="F8" t="n">
        <v>0.1728</v>
      </c>
      <c r="G8" t="n">
        <v>0.3456</v>
      </c>
      <c r="H8" t="n">
        <v>0.6912</v>
      </c>
      <c r="I8" t="n">
        <v>1.483</v>
      </c>
      <c r="J8" t="n">
        <v>0.3</v>
      </c>
      <c r="K8" t="n">
        <v>7.319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3.655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7" t="inlineStr">
        <is>
          <t>C</t>
        </is>
      </c>
      <c r="U8" t="inlineStr">
        <is>
          <t>No 2027 MLS Cup market yet</t>
        </is>
      </c>
    </row>
    <row r="9">
      <c r="A9" s="11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0.0383</v>
      </c>
      <c r="E9" t="n">
        <v>0.0766</v>
      </c>
      <c r="F9" t="n">
        <v>0.1532</v>
      </c>
      <c r="G9" t="n">
        <v>0.3064</v>
      </c>
      <c r="H9" t="n">
        <v>0.6128</v>
      </c>
      <c r="I9" t="n">
        <v>1.483</v>
      </c>
      <c r="J9" t="n">
        <v>0.3</v>
      </c>
      <c r="K9" t="n">
        <v>7.375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3.652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7" t="inlineStr">
        <is>
          <t>C</t>
        </is>
      </c>
      <c r="U9" t="inlineStr">
        <is>
          <t>No 2027 MLS Cup market yet</t>
        </is>
      </c>
    </row>
    <row r="10">
      <c r="A10" s="11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1.467</v>
      </c>
      <c r="J10" t="n">
        <v>0.3</v>
      </c>
      <c r="K10" t="n">
        <v>7.224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3.625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No 2027 MLS Cup market yet</t>
        </is>
      </c>
    </row>
    <row r="11">
      <c r="A11" s="11" t="inlineStr">
        <is>
          <t>San Jose Earthquakes</t>
        </is>
      </c>
      <c r="B11" t="inlineStr">
        <is>
          <t>2026: 45 pts (as of 10-08; season ends Nov 7)</t>
        </is>
      </c>
      <c r="C11" t="inlineStr">
        <is>
          <t>2026 Cup: Kalshi 2.5%</t>
        </is>
      </c>
      <c r="D11" t="n">
        <v>0.0285</v>
      </c>
      <c r="E11" t="n">
        <v>0.057</v>
      </c>
      <c r="F11" t="n">
        <v>0.114</v>
      </c>
      <c r="G11" t="n">
        <v>0.228</v>
      </c>
      <c r="H11" t="n">
        <v>0.456</v>
      </c>
      <c r="I11" t="n">
        <v>1.45</v>
      </c>
      <c r="J11" t="n">
        <v>0.3</v>
      </c>
      <c r="K11" t="n">
        <v>6.957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3.643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No 2027 MLS Cup market yet</t>
        </is>
      </c>
    </row>
    <row r="12">
      <c r="A12" s="12" t="inlineStr">
        <is>
          <t>Houston Dynamo FC</t>
        </is>
      </c>
      <c r="B12" t="inlineStr">
        <is>
          <t>2026: 44 pts (as of 10-08; season ends Nov 7)</t>
        </is>
      </c>
      <c r="C12" t="inlineStr">
        <is>
          <t>2026 Cup: Kalshi 3.5%</t>
        </is>
      </c>
      <c r="D12" t="n">
        <v>0.0334</v>
      </c>
      <c r="E12" t="n">
        <v>0.0668</v>
      </c>
      <c r="F12" t="n">
        <v>0.1336</v>
      </c>
      <c r="G12" t="n">
        <v>0.2672</v>
      </c>
      <c r="H12" t="n">
        <v>0.5344</v>
      </c>
      <c r="I12" t="n">
        <v>1.433</v>
      </c>
      <c r="J12" t="n">
        <v>0.3</v>
      </c>
      <c r="K12" t="n">
        <v>6.755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3.645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7" t="inlineStr">
        <is>
          <t>C</t>
        </is>
      </c>
      <c r="U12" t="inlineStr">
        <is>
          <t>No 2027 MLS Cup market yet</t>
        </is>
      </c>
    </row>
    <row r="13">
      <c r="A13" s="12" t="inlineStr">
        <is>
          <t>Chicago Fire FC</t>
        </is>
      </c>
      <c r="B13" t="inlineStr">
        <is>
          <t>2026: 42 pts (as of 10-08; season ends Nov 7)</t>
        </is>
      </c>
      <c r="C13" t="inlineStr">
        <is>
          <t>2026 Cup: Kalshi 4.5%</t>
        </is>
      </c>
      <c r="D13" t="n">
        <v>0.0383</v>
      </c>
      <c r="E13" t="n">
        <v>0.0766</v>
      </c>
      <c r="F13" t="n">
        <v>0.1532</v>
      </c>
      <c r="G13" t="n">
        <v>0.3064</v>
      </c>
      <c r="H13" t="n">
        <v>0.6128</v>
      </c>
      <c r="I13" t="n">
        <v>1.4</v>
      </c>
      <c r="J13" t="n">
        <v>0.3</v>
      </c>
      <c r="K13" t="n">
        <v>6.42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3.659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No 2027 MLS Cup market yet</t>
        </is>
      </c>
    </row>
    <row r="14">
      <c r="A14" s="12" t="inlineStr">
        <is>
          <t>Los Angeles FC</t>
        </is>
      </c>
      <c r="B14" t="inlineStr">
        <is>
          <t>2026: 41 pts (as of 10-08; season ends Nov 7)</t>
        </is>
      </c>
      <c r="C14" t="inlineStr">
        <is>
          <t>2026 Cup: Kalshi 5.5%</t>
        </is>
      </c>
      <c r="D14" t="n">
        <v>0.0432</v>
      </c>
      <c r="E14" t="n">
        <v>0.0864</v>
      </c>
      <c r="F14" t="n">
        <v>0.1728</v>
      </c>
      <c r="G14" t="n">
        <v>0.3456</v>
      </c>
      <c r="H14" t="n">
        <v>0.6912</v>
      </c>
      <c r="I14" t="n">
        <v>1.383</v>
      </c>
      <c r="J14" t="n">
        <v>0.3</v>
      </c>
      <c r="K14" t="n">
        <v>6.156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3.613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7" t="inlineStr">
        <is>
          <t>C</t>
        </is>
      </c>
      <c r="U14" t="inlineStr">
        <is>
          <t>No 2027 MLS Cup market yet</t>
        </is>
      </c>
    </row>
    <row r="15">
      <c r="A15" s="12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0.0285</v>
      </c>
      <c r="E15" t="n">
        <v>0.057</v>
      </c>
      <c r="F15" t="n">
        <v>0.114</v>
      </c>
      <c r="G15" t="n">
        <v>0.228</v>
      </c>
      <c r="H15" t="n">
        <v>0.456</v>
      </c>
      <c r="I15" t="n">
        <v>1.417</v>
      </c>
      <c r="J15" t="n">
        <v>0.3</v>
      </c>
      <c r="K15" t="n">
        <v>6.512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3.645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7" t="inlineStr">
        <is>
          <t>C</t>
        </is>
      </c>
      <c r="U15" t="inlineStr">
        <is>
          <t>No 2027 MLS Cup market yet</t>
        </is>
      </c>
    </row>
    <row r="16">
      <c r="A16" s="12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1.35</v>
      </c>
      <c r="J16" t="n">
        <v>0.3</v>
      </c>
      <c r="K16" t="n">
        <v>5.756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3.565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7" t="inlineStr">
        <is>
          <t>C</t>
        </is>
      </c>
      <c r="U16" t="inlineStr">
        <is>
          <t>No 2027 MLS Cup market yet</t>
        </is>
      </c>
    </row>
    <row r="17">
      <c r="A17" s="12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0.0236</v>
      </c>
      <c r="E17" t="n">
        <v>0.0472</v>
      </c>
      <c r="F17" t="n">
        <v>0.0944</v>
      </c>
      <c r="G17" t="n">
        <v>0.1888</v>
      </c>
      <c r="H17" t="n">
        <v>0.3776</v>
      </c>
      <c r="I17" t="n">
        <v>1.333</v>
      </c>
      <c r="J17" t="n">
        <v>0.3</v>
      </c>
      <c r="K17" t="n">
        <v>5.596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3.543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7" t="inlineStr">
        <is>
          <t>C</t>
        </is>
      </c>
      <c r="U17" t="inlineStr">
        <is>
          <t>No 2027 MLS Cup market yet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0.0236</v>
      </c>
      <c r="E18" t="n">
        <v>0.0472</v>
      </c>
      <c r="F18" t="n">
        <v>0.0944</v>
      </c>
      <c r="G18" t="n">
        <v>0.1888</v>
      </c>
      <c r="H18" t="n">
        <v>0.3776</v>
      </c>
      <c r="I18" t="n">
        <v>1.3</v>
      </c>
      <c r="J18" t="n">
        <v>0.3</v>
      </c>
      <c r="K18" t="n">
        <v>5.224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3.459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No 2027 MLS Cup market yet</t>
        </is>
      </c>
    </row>
    <row r="19">
      <c r="A19" t="inlineStr">
        <is>
          <t>Colorado Rapids</t>
        </is>
      </c>
      <c r="B19" t="inlineStr">
        <is>
          <t>2026: 36 pts (as of 10-08; season ends Nov 7)</t>
        </is>
      </c>
      <c r="C19" t="inlineStr">
        <is>
          <t>2026 Cup: Kalshi 0.5%</t>
        </is>
      </c>
      <c r="D19" t="n">
        <v>0.0188</v>
      </c>
      <c r="E19" t="n">
        <v>0.0376</v>
      </c>
      <c r="F19" t="n">
        <v>0.0752</v>
      </c>
      <c r="G19" t="n">
        <v>0.1504</v>
      </c>
      <c r="H19" t="n">
        <v>0.3008</v>
      </c>
      <c r="I19" t="n">
        <v>1.3</v>
      </c>
      <c r="J19" t="n">
        <v>0.3</v>
      </c>
      <c r="K19" t="n">
        <v>5.208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3.473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7" t="inlineStr">
        <is>
          <t>C</t>
        </is>
      </c>
      <c r="U19" t="inlineStr">
        <is>
          <t>No 2027 MLS Cup market yet</t>
        </is>
      </c>
    </row>
    <row r="20">
      <c r="A20" t="inlineStr">
        <is>
          <t>Orlando City SC</t>
        </is>
      </c>
      <c r="B20" t="inlineStr">
        <is>
          <t>2026: 34 pts (as of 10-08; season ends Nov 7)</t>
        </is>
      </c>
      <c r="C20" t="inlineStr">
        <is>
          <t>2026 Cup: Kalshi 0.5%</t>
        </is>
      </c>
      <c r="D20" t="n">
        <v>0.0188</v>
      </c>
      <c r="E20" t="n">
        <v>0.0376</v>
      </c>
      <c r="F20" t="n">
        <v>0.0752</v>
      </c>
      <c r="G20" t="n">
        <v>0.1504</v>
      </c>
      <c r="H20" t="n">
        <v>0.3008</v>
      </c>
      <c r="I20" t="n">
        <v>1.267</v>
      </c>
      <c r="J20" t="n">
        <v>0.3</v>
      </c>
      <c r="K20" t="n">
        <v>4.957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3.396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7" t="inlineStr">
        <is>
          <t>C</t>
        </is>
      </c>
      <c r="U20" t="inlineStr">
        <is>
          <t>No 2027 MLS Cup market yet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0.0188</v>
      </c>
      <c r="E21" t="n">
        <v>0.0376</v>
      </c>
      <c r="F21" t="n">
        <v>0.0752</v>
      </c>
      <c r="G21" t="n">
        <v>0.1504</v>
      </c>
      <c r="H21" t="n">
        <v>0.3008</v>
      </c>
      <c r="I21" t="n">
        <v>1.25</v>
      </c>
      <c r="J21" t="n">
        <v>0.3</v>
      </c>
      <c r="K21" t="n">
        <v>4.785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3.392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7" t="inlineStr">
        <is>
          <t>C</t>
        </is>
      </c>
      <c r="U21" t="inlineStr">
        <is>
          <t>No 2027 MLS Cup market yet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0.0188</v>
      </c>
      <c r="E22" t="n">
        <v>0.0376</v>
      </c>
      <c r="F22" t="n">
        <v>0.0752</v>
      </c>
      <c r="G22" t="n">
        <v>0.1504</v>
      </c>
      <c r="H22" t="n">
        <v>0.3008</v>
      </c>
      <c r="I22" t="n">
        <v>1.25</v>
      </c>
      <c r="J22" t="n">
        <v>0.3</v>
      </c>
      <c r="K22" t="n">
        <v>4.764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3.37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7" t="inlineStr">
        <is>
          <t>C</t>
        </is>
      </c>
      <c r="U22" t="inlineStr">
        <is>
          <t>No 2027 MLS Cup market yet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0.0188</v>
      </c>
      <c r="E23" t="n">
        <v>0.0376</v>
      </c>
      <c r="F23" t="n">
        <v>0.0752</v>
      </c>
      <c r="G23" t="n">
        <v>0.1504</v>
      </c>
      <c r="H23" t="n">
        <v>0.3008</v>
      </c>
      <c r="I23" t="n">
        <v>1.25</v>
      </c>
      <c r="J23" t="n">
        <v>0.3</v>
      </c>
      <c r="K23" t="n">
        <v>4.736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3.349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7" t="inlineStr">
        <is>
          <t>C</t>
        </is>
      </c>
      <c r="U23" t="inlineStr">
        <is>
          <t>No 2027 MLS Cup market yet</t>
        </is>
      </c>
    </row>
    <row r="24">
      <c r="A24" t="inlineStr">
        <is>
          <t>Portland Timbers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0.0188</v>
      </c>
      <c r="E24" t="n">
        <v>0.0376</v>
      </c>
      <c r="F24" t="n">
        <v>0.0752</v>
      </c>
      <c r="G24" t="n">
        <v>0.1504</v>
      </c>
      <c r="H24" t="n">
        <v>0.3008</v>
      </c>
      <c r="I24" t="n">
        <v>1.233</v>
      </c>
      <c r="J24" t="n">
        <v>0.3</v>
      </c>
      <c r="K24" t="n">
        <v>4.614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3.335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7" t="inlineStr">
        <is>
          <t>C</t>
        </is>
      </c>
      <c r="U24" t="inlineStr">
        <is>
          <t>No 2027 MLS Cup market yet</t>
        </is>
      </c>
    </row>
    <row r="25">
      <c r="A25" t="inlineStr">
        <is>
          <t>San Diego FC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0.0188</v>
      </c>
      <c r="E25" t="n">
        <v>0.0376</v>
      </c>
      <c r="F25" t="n">
        <v>0.0752</v>
      </c>
      <c r="G25" t="n">
        <v>0.1504</v>
      </c>
      <c r="H25" t="n">
        <v>0.3008</v>
      </c>
      <c r="I25" t="n">
        <v>1.233</v>
      </c>
      <c r="J25" t="n">
        <v>0.3</v>
      </c>
      <c r="K25" t="n">
        <v>4.608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3.327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7" t="inlineStr">
        <is>
          <t>C</t>
        </is>
      </c>
      <c r="U25" t="inlineStr">
        <is>
          <t>No 2027 MLS Cup market yet</t>
        </is>
      </c>
    </row>
    <row r="26">
      <c r="A26" t="inlineStr">
        <is>
          <t>Real Salt Lake</t>
        </is>
      </c>
      <c r="B26" t="inlineStr">
        <is>
          <t>2026: 32 pts (as of 10-08; season ends Nov 7)</t>
        </is>
      </c>
      <c r="C26" t="inlineStr">
        <is>
          <t>2026 Cup: Kalshi 0.5%</t>
        </is>
      </c>
      <c r="D26" t="n">
        <v>0.0188</v>
      </c>
      <c r="E26" t="n">
        <v>0.0376</v>
      </c>
      <c r="F26" t="n">
        <v>0.0752</v>
      </c>
      <c r="G26" t="n">
        <v>0.1504</v>
      </c>
      <c r="H26" t="n">
        <v>0.3008</v>
      </c>
      <c r="I26" t="n">
        <v>1.233</v>
      </c>
      <c r="J26" t="n">
        <v>0.3</v>
      </c>
      <c r="K26" t="n">
        <v>4.505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3.262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7" t="inlineStr">
        <is>
          <t>C</t>
        </is>
      </c>
      <c r="U26" t="inlineStr">
        <is>
          <t>No 2027 MLS Cup market yet</t>
        </is>
      </c>
    </row>
    <row r="27">
      <c r="A27" t="inlineStr">
        <is>
          <t>Austin FC</t>
        </is>
      </c>
      <c r="B27" t="inlineStr">
        <is>
          <t>2026: 31 pts (as of 10-08; season ends Nov 7)</t>
        </is>
      </c>
      <c r="C27" t="inlineStr">
        <is>
          <t>2026 Cup: Kalshi 0.5%</t>
        </is>
      </c>
      <c r="D27" t="n">
        <v>0.0188</v>
      </c>
      <c r="E27" t="n">
        <v>0.0376</v>
      </c>
      <c r="F27" t="n">
        <v>0.0752</v>
      </c>
      <c r="G27" t="n">
        <v>0.1504</v>
      </c>
      <c r="H27" t="n">
        <v>0.3008</v>
      </c>
      <c r="I27" t="n">
        <v>1.217</v>
      </c>
      <c r="J27" t="n">
        <v>0.3</v>
      </c>
      <c r="K27" t="n">
        <v>4.395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3.243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7" t="inlineStr">
        <is>
          <t>C</t>
        </is>
      </c>
      <c r="U27" t="inlineStr">
        <is>
          <t>No 2027 MLS Cup market yet</t>
        </is>
      </c>
    </row>
    <row r="28">
      <c r="A28" t="inlineStr">
        <is>
          <t>D.C. United</t>
        </is>
      </c>
      <c r="B28" t="inlineStr">
        <is>
          <t>2026: 30 pts (as of 10-08; season ends Nov 7)</t>
        </is>
      </c>
      <c r="C28" t="inlineStr">
        <is>
          <t>2026 Cup: Kalshi 0.5%</t>
        </is>
      </c>
      <c r="D28" t="n">
        <v>0.0188</v>
      </c>
      <c r="E28" t="n">
        <v>0.0376</v>
      </c>
      <c r="F28" t="n">
        <v>0.0752</v>
      </c>
      <c r="G28" t="n">
        <v>0.1504</v>
      </c>
      <c r="H28" t="n">
        <v>0.3008</v>
      </c>
      <c r="I28" t="n">
        <v>1.2</v>
      </c>
      <c r="J28" t="n">
        <v>0.3</v>
      </c>
      <c r="K28" t="n">
        <v>4.26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3.208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7" t="inlineStr">
        <is>
          <t>C</t>
        </is>
      </c>
      <c r="U28" t="inlineStr">
        <is>
          <t>No 2027 MLS Cup market yet</t>
        </is>
      </c>
    </row>
    <row r="29">
      <c r="A29" t="inlineStr">
        <is>
          <t>Minnesota United FC</t>
        </is>
      </c>
      <c r="B29" t="inlineStr">
        <is>
          <t>2026: 29 pts (as of 10-08; season ends Nov 7)</t>
        </is>
      </c>
      <c r="C29" t="inlineStr">
        <is>
          <t>2026 Cup: Kalshi 0.5%</t>
        </is>
      </c>
      <c r="D29" t="n">
        <v>0.0188</v>
      </c>
      <c r="E29" t="n">
        <v>0.0376</v>
      </c>
      <c r="F29" t="n">
        <v>0.0752</v>
      </c>
      <c r="G29" t="n">
        <v>0.1504</v>
      </c>
      <c r="H29" t="n">
        <v>0.3008</v>
      </c>
      <c r="I29" t="n">
        <v>1.183</v>
      </c>
      <c r="J29" t="n">
        <v>0.3</v>
      </c>
      <c r="K29" t="n">
        <v>4.153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3.085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7" t="inlineStr">
        <is>
          <t>C</t>
        </is>
      </c>
      <c r="U29" t="inlineStr">
        <is>
          <t>No 2027 MLS Cup market yet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0.0188</v>
      </c>
      <c r="E30" t="n">
        <v>0.0376</v>
      </c>
      <c r="F30" t="n">
        <v>0.0752</v>
      </c>
      <c r="G30" t="n">
        <v>0.1504</v>
      </c>
      <c r="H30" t="n">
        <v>0.3008</v>
      </c>
      <c r="I30" t="n">
        <v>1.183</v>
      </c>
      <c r="J30" t="n">
        <v>0.3</v>
      </c>
      <c r="K30" t="n">
        <v>4.119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3.152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7" t="inlineStr">
        <is>
          <t>C</t>
        </is>
      </c>
      <c r="U30" t="inlineStr">
        <is>
          <t>No 2027 MLS Cup market yet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0.0188</v>
      </c>
      <c r="E31" t="n">
        <v>0.0376</v>
      </c>
      <c r="F31" t="n">
        <v>0.0752</v>
      </c>
      <c r="G31" t="n">
        <v>0.1504</v>
      </c>
      <c r="H31" t="n">
        <v>0.3008</v>
      </c>
      <c r="I31" t="n">
        <v>1.183</v>
      </c>
      <c r="J31" t="n">
        <v>0.3</v>
      </c>
      <c r="K31" t="n">
        <v>4.088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3.125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7" t="inlineStr">
        <is>
          <t>C</t>
        </is>
      </c>
      <c r="U31" t="inlineStr">
        <is>
          <t>No 2027 MLS Cup market yet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0.0188</v>
      </c>
      <c r="E32" t="n">
        <v>0.0376</v>
      </c>
      <c r="F32" t="n">
        <v>0.0752</v>
      </c>
      <c r="G32" t="n">
        <v>0.1504</v>
      </c>
      <c r="H32" t="n">
        <v>0.3008</v>
      </c>
      <c r="I32" t="n">
        <v>1.15</v>
      </c>
      <c r="J32" t="n">
        <v>0.3</v>
      </c>
      <c r="K32" t="n">
        <v>3.774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2.976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7" t="inlineStr">
        <is>
          <t>C</t>
        </is>
      </c>
      <c r="U32" t="inlineStr">
        <is>
          <t>No 2027 MLS Cup market yet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0.0188</v>
      </c>
      <c r="E33" t="n">
        <v>0.0376</v>
      </c>
      <c r="F33" t="n">
        <v>0.0752</v>
      </c>
      <c r="G33" t="n">
        <v>0.1504</v>
      </c>
      <c r="H33" t="n">
        <v>0.3008</v>
      </c>
      <c r="I33" t="n">
        <v>1.1</v>
      </c>
      <c r="J33" t="n">
        <v>0.3</v>
      </c>
      <c r="K33" t="n">
        <v>3.415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2.83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No 2027 MLS Cup market yet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0.0188</v>
      </c>
      <c r="E34" t="n">
        <v>0.0376</v>
      </c>
      <c r="F34" t="n">
        <v>0.0752</v>
      </c>
      <c r="G34" t="n">
        <v>0.1504</v>
      </c>
      <c r="H34" t="n">
        <v>0.3008</v>
      </c>
      <c r="I34" t="n">
        <v>1.05</v>
      </c>
      <c r="J34" t="n">
        <v>0.3</v>
      </c>
      <c r="K34" t="n">
        <v>3.065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2.579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7" t="inlineStr">
        <is>
          <t>C</t>
        </is>
      </c>
      <c r="U34" t="inlineStr">
        <is>
          <t>No 2027 MLS Cup market yet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Oscar p(nom)</t>
        </is>
      </c>
      <c r="E4" s="10" t="inlineStr">
        <is>
          <t>Oscar p(win)</t>
        </is>
      </c>
      <c r="F4" s="10" t="inlineStr">
        <is>
          <t>Oscar detail</t>
        </is>
      </c>
      <c r="G4" s="10" t="inlineStr">
        <is>
          <t>Films</t>
        </is>
      </c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7" t="inlineStr">
        <is>
          <t>C</t>
        </is>
      </c>
      <c r="U5" t="inlineStr">
        <is>
          <t>Also cast in Avengers: Secret Wars per Wikipedia (unconfirmed by Marvel); Secret Wars may slip to 2028</t>
        </is>
      </c>
    </row>
    <row r="6">
      <c r="A6" s="7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7" t="inlineStr">
        <is>
          <t>C</t>
        </is>
      </c>
      <c r="U6" t="inlineStr">
        <is>
          <t>Starfighter + Man of Tomorrow (Superman credit is a Wikipedia cast-list read; verify)</t>
        </is>
      </c>
    </row>
    <row r="7">
      <c r="A7" s="7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Josh Gad</t>
        </is>
      </c>
      <c r="B8" t="inlineStr">
        <is>
          <t>Frozen 3 (Nov 24); Untitled Ocean's Eleven prequel (Jun 25); Spaceballs: The New One (Apr 23)</t>
        </is>
      </c>
      <c r="G8" t="inlineStr">
        <is>
          <t>Spaceballs: The New One (90%); Untitled Ocean's Eleven prequel (80%); Frozen 3 (93%)</t>
        </is>
      </c>
      <c r="I8" t="n">
        <v>311.2</v>
      </c>
      <c r="J8" t="n">
        <v>155.6</v>
      </c>
      <c r="K8" t="n">
        <v>6.928</v>
      </c>
      <c r="L8" t="n">
        <v>0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3.626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Brian Tyree Henry</t>
        </is>
      </c>
      <c r="B9" t="inlineStr">
        <is>
          <t>Spider-Man: Beyond the Spider-Verse (Jun 18); Panic Carefully (Apr 9)</t>
        </is>
      </c>
      <c r="G9" t="inlineStr">
        <is>
          <t>Panic Carefully (90%); Spider-Man: Beyond the Spider-Verse (80%)</t>
        </is>
      </c>
      <c r="I9" t="n">
        <v>303.4</v>
      </c>
      <c r="J9" t="n">
        <v>151.7</v>
      </c>
      <c r="K9" t="n">
        <v>6.857</v>
      </c>
      <c r="L9" t="n">
        <v>0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3.595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Matt Berry</t>
        </is>
      </c>
      <c r="B10" t="inlineStr">
        <is>
          <t>Sonic the Hedgehog 4 (Mar 19); A Minecraft Movie Squared (Jul 23)</t>
        </is>
      </c>
      <c r="G10" t="inlineStr">
        <is>
          <t>Sonic the Hedgehog 4 (95%); A Minecraft Movie Squared (90%)</t>
        </is>
      </c>
      <c r="I10" t="n">
        <v>297.2</v>
      </c>
      <c r="J10" t="n">
        <v>148.6</v>
      </c>
      <c r="K10" t="n">
        <v>6.638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3.551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Shameik Moore</t>
        </is>
      </c>
      <c r="B11" t="inlineStr">
        <is>
          <t>Spider-Man: Beyond the Spider-Verse (Jun 18)</t>
        </is>
      </c>
      <c r="G11" t="inlineStr">
        <is>
          <t>Spider-Man: Beyond the Spider-Verse (80%)</t>
        </is>
      </c>
      <c r="I11" t="n">
        <v>278.2</v>
      </c>
      <c r="J11" t="n">
        <v>139.1</v>
      </c>
      <c r="K11" t="n">
        <v>6.282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3.424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Jake Johnson</t>
        </is>
      </c>
      <c r="B12" t="inlineStr">
        <is>
          <t>Spider-Man: Beyond the Spider-Verse (Jun 18)</t>
        </is>
      </c>
      <c r="G12" t="inlineStr">
        <is>
          <t>Spider-Man: Beyond the Spider-Verse (80%)</t>
        </is>
      </c>
      <c r="I12" t="n">
        <v>278.2</v>
      </c>
      <c r="J12" t="n">
        <v>139.1</v>
      </c>
      <c r="K12" t="n">
        <v>6.277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3.449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Jason Schwartzman</t>
        </is>
      </c>
      <c r="B13" t="inlineStr">
        <is>
          <t>Spider-Man: Beyond the Spider-Verse (Jun 18)</t>
        </is>
      </c>
      <c r="G13" t="inlineStr">
        <is>
          <t>Spider-Man: Beyond the Spider-Verse (80%)</t>
        </is>
      </c>
      <c r="I13" t="n">
        <v>278.2</v>
      </c>
      <c r="J13" t="n">
        <v>139.1</v>
      </c>
      <c r="K13" t="n">
        <v>6.234</v>
      </c>
      <c r="L13" t="n">
        <v>0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3.435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John Mulaney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6.227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Karan Soni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6.223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3.402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Daniel Kaluuya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6.215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3.453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Oscar Isaac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6.197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3.432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Nicolas Cage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6.194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3.391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Mahershala Ali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6.19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3.399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Daniel Ings</t>
        </is>
      </c>
      <c r="B20" t="inlineStr">
        <is>
          <t>Starfighter (May 28); Jason Statham Stole My Bike (Aug 6)</t>
        </is>
      </c>
      <c r="G20" t="inlineStr">
        <is>
          <t>Starfighter (92%); Jason Statham Stole My Bike (85%)</t>
        </is>
      </c>
      <c r="I20" t="n">
        <v>265.7</v>
      </c>
      <c r="J20" t="n">
        <v>132.8</v>
      </c>
      <c r="K20" t="n">
        <v>5.894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3.35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Flynn Gray</t>
        </is>
      </c>
      <c r="B21" t="inlineStr">
        <is>
          <t>Starfighter (May 28)</t>
        </is>
      </c>
      <c r="G21" t="inlineStr">
        <is>
          <t>Starfighter (92%)</t>
        </is>
      </c>
      <c r="I21" t="n">
        <v>251.7</v>
      </c>
      <c r="J21" t="n">
        <v>125.8</v>
      </c>
      <c r="K21" t="n">
        <v>5.624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3.22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Matt Smith</t>
        </is>
      </c>
      <c r="B22" t="inlineStr">
        <is>
          <t>Starfighter (May 28)</t>
        </is>
      </c>
      <c r="G22" t="inlineStr">
        <is>
          <t>Starfighter (92%)</t>
        </is>
      </c>
      <c r="I22" t="n">
        <v>251.7</v>
      </c>
      <c r="J22" t="n">
        <v>125.8</v>
      </c>
      <c r="K22" t="n">
        <v>5.592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3.159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Simon Bird</t>
        </is>
      </c>
      <c r="B23" t="inlineStr">
        <is>
          <t>Starfighter (May 28)</t>
        </is>
      </c>
      <c r="G23" t="inlineStr">
        <is>
          <t>Starfighter (92%)</t>
        </is>
      </c>
      <c r="I23" t="n">
        <v>251.7</v>
      </c>
      <c r="J23" t="n">
        <v>125.8</v>
      </c>
      <c r="K23" t="n">
        <v>5.585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3.194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Sam Neill</t>
        </is>
      </c>
      <c r="B24" t="inlineStr">
        <is>
          <t>The Legend of Zelda (Apr 30); Godzilla x Kong: Supernova (Mar 26)</t>
        </is>
      </c>
      <c r="G24" t="inlineStr">
        <is>
          <t>Godzilla x Kong: Supernova (90%); The Legend of Zelda (92%)</t>
        </is>
      </c>
      <c r="I24" t="n">
        <v>250</v>
      </c>
      <c r="J24" t="n">
        <v>125</v>
      </c>
      <c r="K24" t="n">
        <v>5.566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3.196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Jamael Westman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5.564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3.193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Nicholas Hoult</t>
        </is>
      </c>
      <c r="B26" t="inlineStr">
        <is>
          <t>Man of Tomorrow (Jul 9); CoComelon: The Movie (Feb 19)</t>
        </is>
      </c>
      <c r="G26" t="inlineStr">
        <is>
          <t>CoComelon: The Movie (90%); Man of Tomorrow (92%)</t>
        </is>
      </c>
      <c r="I26" t="n">
        <v>251.7</v>
      </c>
      <c r="J26" t="n">
        <v>125.8</v>
      </c>
      <c r="K26" t="n">
        <v>5.563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3.2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John Leguizamo</t>
        </is>
      </c>
      <c r="B27" t="inlineStr">
        <is>
          <t>Untitled Daniels film (Nov 19); The Exorcist: Martyrs (Mar 12); Ice Age: Boiling Point (Feb 5)</t>
        </is>
      </c>
      <c r="D27" t="n">
        <v>0.74</v>
      </c>
      <c r="E27" t="n">
        <v>0.165</v>
      </c>
      <c r="F27" t="inlineStr">
        <is>
          <t>Best Supporting Actor: The Odyssey (nom 74%, win 16%)</t>
        </is>
      </c>
      <c r="G27" t="inlineStr">
        <is>
          <t>Ice Age: Boiling Point (90%); The Exorcist: Martyrs (80%); Untitled Daniels film (65%)</t>
        </is>
      </c>
      <c r="I27" t="n">
        <v>110.2</v>
      </c>
      <c r="J27" t="n">
        <v>55.1</v>
      </c>
      <c r="K27" t="n">
        <v>2.334</v>
      </c>
      <c r="L27" t="n">
        <v>2.923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1.33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Nathan Fillion</t>
        </is>
      </c>
      <c r="B28" t="inlineStr">
        <is>
          <t>Man of Tomorrow (Jul 9)</t>
        </is>
      </c>
      <c r="G28" t="inlineStr">
        <is>
          <t>Man of Tomorrow (92%)</t>
        </is>
      </c>
      <c r="I28" t="n">
        <v>235.5</v>
      </c>
      <c r="J28" t="n">
        <v>117.8</v>
      </c>
      <c r="K28" t="n">
        <v>5.246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3.056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Lars Eidinger</t>
        </is>
      </c>
      <c r="B29" t="inlineStr">
        <is>
          <t>Man of Tomorrow (Jul 9)</t>
        </is>
      </c>
      <c r="G29" t="inlineStr">
        <is>
          <t>Man of Tomorrow (92%)</t>
        </is>
      </c>
      <c r="I29" t="n">
        <v>235.5</v>
      </c>
      <c r="J29" t="n">
        <v>117.8</v>
      </c>
      <c r="K29" t="n">
        <v>5.227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3.062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Jonathan Groff</t>
        </is>
      </c>
      <c r="B30" t="inlineStr">
        <is>
          <t>Frozen 3 (Nov 24)</t>
        </is>
      </c>
      <c r="G30" t="inlineStr">
        <is>
          <t>Frozen 3 (93%)</t>
        </is>
      </c>
      <c r="I30" t="n">
        <v>233.7</v>
      </c>
      <c r="J30" t="n">
        <v>116.8</v>
      </c>
      <c r="K30" t="n">
        <v>5.19</v>
      </c>
      <c r="L30" t="n">
        <v>0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2.979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David Corenswet</t>
        </is>
      </c>
      <c r="B31" t="inlineStr">
        <is>
          <t>Man of Tomorrow (Jul 9)</t>
        </is>
      </c>
      <c r="G31" t="inlineStr">
        <is>
          <t>Man of Tomorrow (92%)</t>
        </is>
      </c>
      <c r="I31" t="n">
        <v>235.5</v>
      </c>
      <c r="J31" t="n">
        <v>117.8</v>
      </c>
      <c r="K31" t="n">
        <v>5.181</v>
      </c>
      <c r="L31" t="n">
        <v>0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3.028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Edi Gathegi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5.178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3.023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Xolo Maridueña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5.162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3.051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Frank Grillo</t>
        </is>
      </c>
      <c r="B34" t="inlineStr">
        <is>
          <t>Man of Tomorrow (Jul 9)</t>
        </is>
      </c>
      <c r="G34" t="inlineStr">
        <is>
          <t>Man of Tomorrow (92%)</t>
        </is>
      </c>
      <c r="I34" t="n">
        <v>235.5</v>
      </c>
      <c r="J34" t="n">
        <v>117.8</v>
      </c>
      <c r="K34" t="n">
        <v>5.14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3.015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Marcello Hernández</t>
        </is>
      </c>
      <c r="B35" t="inlineStr">
        <is>
          <t>Shrek 5 (Jun 30)</t>
        </is>
      </c>
      <c r="G35" t="inlineStr">
        <is>
          <t>Shrek 5 (90%)</t>
        </is>
      </c>
      <c r="I35" t="n">
        <v>195.8</v>
      </c>
      <c r="J35" t="n">
        <v>97.90000000000001</v>
      </c>
      <c r="K35" t="n">
        <v>4.227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2.56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Mike Myers</t>
        </is>
      </c>
      <c r="B36" t="inlineStr">
        <is>
          <t>Shrek 5 (Jun 30)</t>
        </is>
      </c>
      <c r="G36" t="inlineStr">
        <is>
          <t>Shrek 5 (90%)</t>
        </is>
      </c>
      <c r="I36" t="n">
        <v>195.8</v>
      </c>
      <c r="J36" t="n">
        <v>97.90000000000001</v>
      </c>
      <c r="K36" t="n">
        <v>4.222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2.536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Eddie Murphy</t>
        </is>
      </c>
      <c r="B37" t="inlineStr">
        <is>
          <t>Shrek 5 (Jun 30)</t>
        </is>
      </c>
      <c r="G37" t="inlineStr">
        <is>
          <t>Shrek 5 (90%)</t>
        </is>
      </c>
      <c r="I37" t="n">
        <v>195.8</v>
      </c>
      <c r="J37" t="n">
        <v>97.90000000000001</v>
      </c>
      <c r="K37" t="n">
        <v>4.183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2.522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Noah Jupe</t>
        </is>
      </c>
      <c r="B38" t="inlineStr">
        <is>
          <t>Avengers: Secret Wars (Dec 17); A Quiet Place Part III (Jul 30)</t>
        </is>
      </c>
      <c r="G38" t="inlineStr">
        <is>
          <t>A Quiet Place Part III (90%); Avengers: Secret Wars (50%)</t>
        </is>
      </c>
      <c r="I38" t="n">
        <v>186</v>
      </c>
      <c r="J38" t="n">
        <v>93</v>
      </c>
      <c r="K38" t="n">
        <v>3.969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2.396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Benjamin Evan Ainsworth</t>
        </is>
      </c>
      <c r="B39" t="inlineStr">
        <is>
          <t>The Legend of Zelda (Apr 30)</t>
        </is>
      </c>
      <c r="G39" t="inlineStr">
        <is>
          <t>The Legend of Zelda (92%)</t>
        </is>
      </c>
      <c r="I39" t="n">
        <v>182.5</v>
      </c>
      <c r="J39" t="n">
        <v>91.2</v>
      </c>
      <c r="K39" t="n">
        <v>3.942</v>
      </c>
      <c r="L39" t="n">
        <v>0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2.348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Uli Latukefu</t>
        </is>
      </c>
      <c r="B40" t="inlineStr">
        <is>
          <t>The Legend of Zelda (Apr 30)</t>
        </is>
      </c>
      <c r="G40" t="inlineStr">
        <is>
          <t>The Legend of Zelda (92%)</t>
        </is>
      </c>
      <c r="I40" t="n">
        <v>182.5</v>
      </c>
      <c r="J40" t="n">
        <v>91.2</v>
      </c>
      <c r="K40" t="n">
        <v>3.93</v>
      </c>
      <c r="L40" t="n">
        <v>0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2.39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Gerard Butler</t>
        </is>
      </c>
      <c r="B41" t="inlineStr">
        <is>
          <t>How to Train Your Dragon 2 (Jun 11)</t>
        </is>
      </c>
      <c r="G41" t="inlineStr">
        <is>
          <t>How to Train Your Dragon 2 (92%)</t>
        </is>
      </c>
      <c r="I41" t="n">
        <v>179.4</v>
      </c>
      <c r="J41" t="n">
        <v>89.7</v>
      </c>
      <c r="K41" t="n">
        <v>3.864</v>
      </c>
      <c r="L41" t="n">
        <v>0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2.344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7" t="inlineStr">
        <is>
          <t>C</t>
        </is>
      </c>
      <c r="U41" t="inlineStr"/>
    </row>
    <row r="42">
      <c r="A42" t="inlineStr">
        <is>
          <t>Mason Thames</t>
        </is>
      </c>
      <c r="B42" t="inlineStr">
        <is>
          <t>How to Train Your Dragon 2 (Jun 11); Narcs (Aug 20)</t>
        </is>
      </c>
      <c r="G42" t="inlineStr">
        <is>
          <t>How to Train Your Dragon 2 (92%); Narcs (80%)</t>
        </is>
      </c>
      <c r="I42" t="n">
        <v>182.6</v>
      </c>
      <c r="J42" t="n">
        <v>91.3</v>
      </c>
      <c r="K42" t="n">
        <v>3.857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2.357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Nick Frost</t>
        </is>
      </c>
      <c r="B43" t="inlineStr">
        <is>
          <t>How to Train Your Dragon 2 (Jun 11)</t>
        </is>
      </c>
      <c r="G43" t="inlineStr">
        <is>
          <t>How to Train Your Dragon 2 (92%)</t>
        </is>
      </c>
      <c r="I43" t="n">
        <v>179.4</v>
      </c>
      <c r="J43" t="n">
        <v>89.7</v>
      </c>
      <c r="K43" t="n">
        <v>3.824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2.369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Ólafur Darri Ólafsson</t>
        </is>
      </c>
      <c r="B44" t="inlineStr">
        <is>
          <t>How to Train Your Dragon 2 (Jun 11)</t>
        </is>
      </c>
      <c r="G44" t="inlineStr">
        <is>
          <t>How to Train Your Dragon 2 (92%)</t>
        </is>
      </c>
      <c r="I44" t="n">
        <v>179.4</v>
      </c>
      <c r="J44" t="n">
        <v>89.7</v>
      </c>
      <c r="K44" t="n">
        <v>3.809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2.322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5">
      <c r="A45" t="inlineStr">
        <is>
          <t>Phil Dunster</t>
        </is>
      </c>
      <c r="B45" t="inlineStr">
        <is>
          <t>How to Train Your Dragon 2 (Jun 11)</t>
        </is>
      </c>
      <c r="G45" t="inlineStr">
        <is>
          <t>How to Train Your Dragon 2 (92%)</t>
        </is>
      </c>
      <c r="I45" t="n">
        <v>179.4</v>
      </c>
      <c r="J45" t="n">
        <v>89.7</v>
      </c>
      <c r="K45" t="n">
        <v>3.8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2.289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7" t="inlineStr">
        <is>
          <t>C</t>
        </is>
      </c>
      <c r="U45" t="inlineStr"/>
    </row>
    <row r="46">
      <c r="A46" t="inlineStr">
        <is>
          <t>Idris Elba</t>
        </is>
      </c>
      <c r="B46" t="inlineStr">
        <is>
          <t>Sonic the Hedgehog 4 (Mar 19); Children of Blood and Bone (Jan 15)</t>
        </is>
      </c>
      <c r="G46" t="inlineStr">
        <is>
          <t>Children of Blood and Bone (85%); Sonic the Hedgehog 4 (95%)</t>
        </is>
      </c>
      <c r="I46" t="n">
        <v>175.5</v>
      </c>
      <c r="J46" t="n">
        <v>87.8</v>
      </c>
      <c r="K46" t="n">
        <v>3.714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2.259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7" t="inlineStr">
        <is>
          <t>C</t>
        </is>
      </c>
      <c r="U46" t="inlineStr"/>
    </row>
    <row r="47">
      <c r="A47" t="inlineStr">
        <is>
          <t>Keanu Reeves</t>
        </is>
      </c>
      <c r="B47" t="inlineStr">
        <is>
          <t>Sonic the Hedgehog 4 (Mar 19); Shiver (Aug 13)</t>
        </is>
      </c>
      <c r="G47" t="inlineStr">
        <is>
          <t>Sonic the Hedgehog 4 (95%); Shiver (85%)</t>
        </is>
      </c>
      <c r="I47" t="n">
        <v>172.1</v>
      </c>
      <c r="J47" t="n">
        <v>86</v>
      </c>
      <c r="K47" t="n">
        <v>3.587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2.178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7" t="inlineStr">
        <is>
          <t>C</t>
        </is>
      </c>
      <c r="U47" t="inlineStr"/>
    </row>
    <row r="48">
      <c r="A48" t="inlineStr">
        <is>
          <t>Jim Carrey</t>
        </is>
      </c>
      <c r="B48" t="inlineStr">
        <is>
          <t>Sonic the Hedgehog 4 (Mar 19)</t>
        </is>
      </c>
      <c r="G48" t="inlineStr">
        <is>
          <t>Sonic the Hedgehog 4 (95%)</t>
        </is>
      </c>
      <c r="I48" t="n">
        <v>161.5</v>
      </c>
      <c r="J48" t="n">
        <v>80.8</v>
      </c>
      <c r="K48" t="n">
        <v>3.427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2.064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7" t="inlineStr">
        <is>
          <t>C</t>
        </is>
      </c>
      <c r="U48" t="inlineStr"/>
    </row>
    <row r="49">
      <c r="A49" t="inlineStr">
        <is>
          <t>Richard Ayoade</t>
        </is>
      </c>
      <c r="B49" t="inlineStr">
        <is>
          <t>Sonic the Hedgehog 4 (Mar 19)</t>
        </is>
      </c>
      <c r="G49" t="inlineStr">
        <is>
          <t>Sonic the Hedgehog 4 (95%)</t>
        </is>
      </c>
      <c r="I49" t="n">
        <v>161.5</v>
      </c>
      <c r="J49" t="n">
        <v>80.8</v>
      </c>
      <c r="K49" t="n">
        <v>3.42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2.025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7" t="inlineStr">
        <is>
          <t>C</t>
        </is>
      </c>
      <c r="U49" t="inlineStr"/>
    </row>
    <row r="50">
      <c r="A50" t="inlineStr">
        <is>
          <t>Nick Offerman</t>
        </is>
      </c>
      <c r="B50" t="inlineStr">
        <is>
          <t>Sonic the Hedgehog 4 (Mar 19)</t>
        </is>
      </c>
      <c r="G50" t="inlineStr">
        <is>
          <t>Sonic the Hedgehog 4 (95%)</t>
        </is>
      </c>
      <c r="I50" t="n">
        <v>161.5</v>
      </c>
      <c r="J50" t="n">
        <v>80.8</v>
      </c>
      <c r="K50" t="n">
        <v>3.42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2.03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7" t="inlineStr">
        <is>
          <t>C</t>
        </is>
      </c>
      <c r="U50" t="inlineStr"/>
    </row>
    <row r="51">
      <c r="A51" t="inlineStr">
        <is>
          <t>Ben Kingsley</t>
        </is>
      </c>
      <c r="B51" t="inlineStr">
        <is>
          <t>Sonic the Hedgehog 4 (Mar 19)</t>
        </is>
      </c>
      <c r="G51" t="inlineStr">
        <is>
          <t>Sonic the Hedgehog 4 (95%)</t>
        </is>
      </c>
      <c r="I51" t="n">
        <v>161.5</v>
      </c>
      <c r="J51" t="n">
        <v>80.8</v>
      </c>
      <c r="K51" t="n">
        <v>3.41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2.058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7" t="inlineStr">
        <is>
          <t>C</t>
        </is>
      </c>
      <c r="U51" t="inlineStr"/>
    </row>
    <row r="52">
      <c r="A52" t="inlineStr">
        <is>
          <t>James Marsden</t>
        </is>
      </c>
      <c r="B52" t="inlineStr">
        <is>
          <t>Sonic the Hedgehog 4 (Mar 19)</t>
        </is>
      </c>
      <c r="G52" t="inlineStr">
        <is>
          <t>Sonic the Hedgehog 4 (95%)</t>
        </is>
      </c>
      <c r="I52" t="n">
        <v>161.5</v>
      </c>
      <c r="J52" t="n">
        <v>80.8</v>
      </c>
      <c r="K52" t="n">
        <v>3.402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2.076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7" t="inlineStr">
        <is>
          <t>C</t>
        </is>
      </c>
      <c r="U52" t="inlineStr"/>
    </row>
    <row r="53">
      <c r="A53" t="inlineStr">
        <is>
          <t>Ben Schwartz</t>
        </is>
      </c>
      <c r="B53" t="inlineStr">
        <is>
          <t>Sonic the Hedgehog 4 (Mar 19)</t>
        </is>
      </c>
      <c r="G53" t="inlineStr">
        <is>
          <t>Sonic the Hedgehog 4 (95%)</t>
        </is>
      </c>
      <c r="I53" t="n">
        <v>161.5</v>
      </c>
      <c r="J53" t="n">
        <v>80.8</v>
      </c>
      <c r="K53" t="n">
        <v>3.392</v>
      </c>
      <c r="L53" t="n">
        <v>0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2.068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7" t="inlineStr">
        <is>
          <t>C</t>
        </is>
      </c>
      <c r="U53" t="inlineStr"/>
    </row>
    <row r="54">
      <c r="A54" t="inlineStr">
        <is>
          <t>Lee Majdoub</t>
        </is>
      </c>
      <c r="B54" t="inlineStr">
        <is>
          <t>Sonic the Hedgehog 4 (Mar 19)</t>
        </is>
      </c>
      <c r="G54" t="inlineStr">
        <is>
          <t>Sonic the Hedgehog 4 (95%)</t>
        </is>
      </c>
      <c r="I54" t="n">
        <v>161.5</v>
      </c>
      <c r="J54" t="n">
        <v>80.8</v>
      </c>
      <c r="K54" t="n">
        <v>3.379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2.04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7" t="inlineStr">
        <is>
          <t>C</t>
        </is>
      </c>
      <c r="U54" t="inlineStr"/>
    </row>
    <row r="55">
      <c r="A55" t="inlineStr">
        <is>
          <t>Jason Momoa</t>
        </is>
      </c>
      <c r="B55" t="inlineStr">
        <is>
          <t>A Minecraft Movie Squared (Jul 23); Animal Friends (Jan 22)</t>
        </is>
      </c>
      <c r="G55" t="inlineStr">
        <is>
          <t>Animal Friends (85%); A Minecraft Movie Squared (90%)</t>
        </is>
      </c>
      <c r="I55" t="n">
        <v>152.9</v>
      </c>
      <c r="J55" t="n">
        <v>76.5</v>
      </c>
      <c r="K55" t="n">
        <v>3.23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1.943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7" t="inlineStr">
        <is>
          <t>C</t>
        </is>
      </c>
      <c r="U55" t="inlineStr"/>
    </row>
    <row r="56">
      <c r="A56" t="inlineStr">
        <is>
          <t>Pedro Pascal</t>
        </is>
      </c>
      <c r="B56" t="inlineStr">
        <is>
          <t>Avengers: Secret Wars (Dec 17)</t>
        </is>
      </c>
      <c r="D56" t="n">
        <v>0.16</v>
      </c>
      <c r="E56" t="n">
        <v>0.005</v>
      </c>
      <c r="F56" t="inlineStr">
        <is>
          <t>Best Actor: Behemoth! (nom 16%, win 0%)</t>
        </is>
      </c>
      <c r="G56" t="inlineStr">
        <is>
          <t>Avengers: Secret Wars (50%)</t>
        </is>
      </c>
      <c r="I56" t="n">
        <v>111.8</v>
      </c>
      <c r="J56" t="n">
        <v>55.9</v>
      </c>
      <c r="K56" t="n">
        <v>2.421</v>
      </c>
      <c r="L56" t="n">
        <v>0.6850000000000001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1.379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7" t="inlineStr">
        <is>
          <t>C</t>
        </is>
      </c>
      <c r="U56" t="inlineStr">
        <is>
          <t>Secret Wars (Dec 17) only ~62% of its run falls inside 2027 and slip risk is high</t>
        </is>
      </c>
    </row>
    <row r="57">
      <c r="A57" t="inlineStr">
        <is>
          <t>Jack O'Connell</t>
        </is>
      </c>
      <c r="B57" t="inlineStr">
        <is>
          <t>A Quiet Place Part III (Jul 30); Godzilla x Kong: Supernova (Mar 26)</t>
        </is>
      </c>
      <c r="G57" t="inlineStr">
        <is>
          <t>Godzilla x Kong: Supernova (90%); A Quiet Place Part III (90%)</t>
        </is>
      </c>
      <c r="I57" t="n">
        <v>141.8</v>
      </c>
      <c r="J57" t="n">
        <v>70.90000000000001</v>
      </c>
      <c r="K57" t="n">
        <v>2.949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1.748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7" t="inlineStr">
        <is>
          <t>C</t>
        </is>
      </c>
      <c r="U57" t="inlineStr"/>
    </row>
    <row r="58">
      <c r="A58" t="inlineStr">
        <is>
          <t>Jack Black</t>
        </is>
      </c>
      <c r="B58" t="inlineStr">
        <is>
          <t>A Minecraft Movie Squared (Jul 23)</t>
        </is>
      </c>
      <c r="G58" t="inlineStr">
        <is>
          <t>A Minecraft Movie Squared (90%)</t>
        </is>
      </c>
      <c r="I58" t="n">
        <v>135.7</v>
      </c>
      <c r="J58" t="n">
        <v>67.8</v>
      </c>
      <c r="K58" t="n">
        <v>2.867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1.692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7" t="inlineStr">
        <is>
          <t>C</t>
        </is>
      </c>
      <c r="U58" t="inlineStr"/>
    </row>
    <row r="59">
      <c r="A59" t="inlineStr">
        <is>
          <t>Laurence Fishburne</t>
        </is>
      </c>
      <c r="B59" t="inlineStr">
        <is>
          <t>Gatto (Mar 5); The Exorcist: Martyrs (Mar 12)</t>
        </is>
      </c>
      <c r="G59" t="inlineStr">
        <is>
          <t>Gatto (92%); The Exorcist: Martyrs (80%)</t>
        </is>
      </c>
      <c r="I59" t="n">
        <v>129</v>
      </c>
      <c r="J59" t="n">
        <v>64.5</v>
      </c>
      <c r="K59" t="n">
        <v>2.732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1.607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7" t="inlineStr">
        <is>
          <t>C</t>
        </is>
      </c>
      <c r="U59" t="inlineStr"/>
    </row>
    <row r="60">
      <c r="A60" t="inlineStr">
        <is>
          <t>Benedict Cumberbatch</t>
        </is>
      </c>
      <c r="B60" t="inlineStr">
        <is>
          <t>Avengers: Secret Wars (Dec 17); Wife &amp; Dog (Feb 19)</t>
        </is>
      </c>
      <c r="G60" t="inlineStr">
        <is>
          <t>Wife &amp; Dog (90%); Avengers: Secret Wars (50%)</t>
        </is>
      </c>
      <c r="I60" t="n">
        <v>125.2</v>
      </c>
      <c r="J60" t="n">
        <v>62.6</v>
      </c>
      <c r="K60" t="n">
        <v>2.612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1.515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7" t="inlineStr">
        <is>
          <t>C</t>
        </is>
      </c>
      <c r="U60" t="inlineStr"/>
    </row>
    <row r="61">
      <c r="A61" t="inlineStr">
        <is>
          <t>Ian McKellen</t>
        </is>
      </c>
      <c r="B61" t="inlineStr">
        <is>
          <t>The Lord of the Rings: The Hunt for Gollum (Dec 17)</t>
        </is>
      </c>
      <c r="G61" t="inlineStr">
        <is>
          <t>The Lord of the Rings: The Hunt for Gollum (80%)</t>
        </is>
      </c>
      <c r="I61" t="n">
        <v>114</v>
      </c>
      <c r="J61" t="n">
        <v>57</v>
      </c>
      <c r="K61" t="n">
        <v>2.45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1.392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7" t="inlineStr">
        <is>
          <t>C</t>
        </is>
      </c>
      <c r="U61" t="inlineStr"/>
    </row>
    <row r="62">
      <c r="A62" t="inlineStr">
        <is>
          <t>Lee Pace</t>
        </is>
      </c>
      <c r="B62" t="inlineStr">
        <is>
          <t>The Lord of the Rings: The Hunt for Gollum (Dec 17)</t>
        </is>
      </c>
      <c r="G62" t="inlineStr">
        <is>
          <t>The Lord of the Rings: The Hunt for Gollum (80%)</t>
        </is>
      </c>
      <c r="I62" t="n">
        <v>114</v>
      </c>
      <c r="J62" t="n">
        <v>57</v>
      </c>
      <c r="K62" t="n">
        <v>2.437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1.384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7" t="inlineStr">
        <is>
          <t>C</t>
        </is>
      </c>
      <c r="U62" t="inlineStr"/>
    </row>
    <row r="63">
      <c r="A63" t="inlineStr">
        <is>
          <t>Leo Woodall</t>
        </is>
      </c>
      <c r="B63" t="inlineStr">
        <is>
          <t>The Lord of the Rings: The Hunt for Gollum (Dec 17)</t>
        </is>
      </c>
      <c r="G63" t="inlineStr">
        <is>
          <t>The Lord of the Rings: The Hunt for Gollum (80%)</t>
        </is>
      </c>
      <c r="I63" t="n">
        <v>114</v>
      </c>
      <c r="J63" t="n">
        <v>57</v>
      </c>
      <c r="K63" t="n">
        <v>2.429</v>
      </c>
      <c r="L63" t="n">
        <v>0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1.366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7" t="inlineStr">
        <is>
          <t>C</t>
        </is>
      </c>
      <c r="U63" t="inlineStr"/>
    </row>
    <row r="64">
      <c r="A64" t="inlineStr">
        <is>
          <t>Elijah Wood</t>
        </is>
      </c>
      <c r="B64" t="inlineStr">
        <is>
          <t>The Lord of the Rings: The Hunt for Gollum (Dec 17)</t>
        </is>
      </c>
      <c r="G64" t="inlineStr">
        <is>
          <t>The Lord of the Rings: The Hunt for Gollum (80%)</t>
        </is>
      </c>
      <c r="I64" t="n">
        <v>114</v>
      </c>
      <c r="J64" t="n">
        <v>57</v>
      </c>
      <c r="K64" t="n">
        <v>2.428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1.398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7" t="inlineStr">
        <is>
          <t>C</t>
        </is>
      </c>
      <c r="U64" t="inlineStr"/>
    </row>
    <row r="65">
      <c r="A65" t="inlineStr">
        <is>
          <t>Andy Serkis</t>
        </is>
      </c>
      <c r="B65" t="inlineStr">
        <is>
          <t>The Lord of the Rings: The Hunt for Gollum (Dec 17)</t>
        </is>
      </c>
      <c r="G65" t="inlineStr">
        <is>
          <t>The Lord of the Rings: The Hunt for Gollum (80%)</t>
        </is>
      </c>
      <c r="I65" t="n">
        <v>114</v>
      </c>
      <c r="J65" t="n">
        <v>57</v>
      </c>
      <c r="K65" t="n">
        <v>2.422</v>
      </c>
      <c r="L65" t="n">
        <v>0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1.356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7" t="inlineStr">
        <is>
          <t>C</t>
        </is>
      </c>
      <c r="U65" t="inlineStr"/>
    </row>
    <row r="66">
      <c r="A66" t="inlineStr">
        <is>
          <t>Anthony Mackie</t>
        </is>
      </c>
      <c r="B66" t="inlineStr">
        <is>
          <t>Avengers: Secret Wars (Dec 17)</t>
        </is>
      </c>
      <c r="G66" t="inlineStr">
        <is>
          <t>Avengers: Secret Wars (50%)</t>
        </is>
      </c>
      <c r="I66" t="n">
        <v>111.8</v>
      </c>
      <c r="J66" t="n">
        <v>55.9</v>
      </c>
      <c r="K66" t="n">
        <v>2.42</v>
      </c>
      <c r="L66" t="n">
        <v>0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1.4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7" t="inlineStr">
        <is>
          <t>C</t>
        </is>
      </c>
      <c r="U66" t="inlineStr"/>
    </row>
    <row r="67">
      <c r="A67" t="inlineStr">
        <is>
          <t>Jamie Dornan</t>
        </is>
      </c>
      <c r="B67" t="inlineStr">
        <is>
          <t>The Lord of the Rings: The Hunt for Gollum (Dec 17)</t>
        </is>
      </c>
      <c r="G67" t="inlineStr">
        <is>
          <t>The Lord of the Rings: The Hunt for Gollum (80%)</t>
        </is>
      </c>
      <c r="I67" t="n">
        <v>114</v>
      </c>
      <c r="J67" t="n">
        <v>57</v>
      </c>
      <c r="K67" t="n">
        <v>2.42</v>
      </c>
      <c r="L67" t="n">
        <v>0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1.374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7" t="inlineStr">
        <is>
          <t>C</t>
        </is>
      </c>
      <c r="U67" t="inlineStr"/>
    </row>
    <row r="68">
      <c r="A68" t="inlineStr">
        <is>
          <t>Joseph Quinn</t>
        </is>
      </c>
      <c r="B68" t="inlineStr">
        <is>
          <t>Avengers: Secret Wars (Dec 17)</t>
        </is>
      </c>
      <c r="G68" t="inlineStr">
        <is>
          <t>Avengers: Secret Wars (50%)</t>
        </is>
      </c>
      <c r="I68" t="n">
        <v>111.8</v>
      </c>
      <c r="J68" t="n">
        <v>55.9</v>
      </c>
      <c r="K68" t="n">
        <v>2.405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1.379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7" t="inlineStr">
        <is>
          <t>C</t>
        </is>
      </c>
      <c r="U68" t="inlineStr"/>
    </row>
    <row r="69">
      <c r="A69" t="inlineStr">
        <is>
          <t>Simu Liu</t>
        </is>
      </c>
      <c r="B69" t="inlineStr">
        <is>
          <t>Avengers: Secret Wars (Dec 17)</t>
        </is>
      </c>
      <c r="G69" t="inlineStr">
        <is>
          <t>Avengers: Secret Wars (50%)</t>
        </is>
      </c>
      <c r="I69" t="n">
        <v>111.8</v>
      </c>
      <c r="J69" t="n">
        <v>55.9</v>
      </c>
      <c r="K69" t="n">
        <v>2.404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1.36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7" t="inlineStr">
        <is>
          <t>C</t>
        </is>
      </c>
      <c r="U69" t="inlineStr"/>
    </row>
    <row r="70">
      <c r="A70" t="inlineStr">
        <is>
          <t>Ebon Moss-Bachrach</t>
        </is>
      </c>
      <c r="B70" t="inlineStr">
        <is>
          <t>Avengers: Secret Wars (Dec 17)</t>
        </is>
      </c>
      <c r="G70" t="inlineStr">
        <is>
          <t>Avengers: Secret Wars (50%)</t>
        </is>
      </c>
      <c r="I70" t="n">
        <v>111.8</v>
      </c>
      <c r="J70" t="n">
        <v>55.9</v>
      </c>
      <c r="K70" t="n">
        <v>2.401</v>
      </c>
      <c r="L70" t="n">
        <v>0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1.376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7" t="inlineStr">
        <is>
          <t>C</t>
        </is>
      </c>
      <c r="U70" t="inlineStr"/>
    </row>
    <row r="71">
      <c r="A71" t="inlineStr">
        <is>
          <t>Robert Downey Jr.</t>
        </is>
      </c>
      <c r="B71" t="inlineStr">
        <is>
          <t>Avengers: Secret Wars (Dec 17)</t>
        </is>
      </c>
      <c r="G71" t="inlineStr">
        <is>
          <t>Avengers: Secret Wars (50%)</t>
        </is>
      </c>
      <c r="I71" t="n">
        <v>111.8</v>
      </c>
      <c r="J71" t="n">
        <v>55.9</v>
      </c>
      <c r="K71" t="n">
        <v>2.395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1.354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7" t="inlineStr">
        <is>
          <t>C</t>
        </is>
      </c>
      <c r="U71" t="inlineStr"/>
    </row>
    <row r="72">
      <c r="A72" t="inlineStr">
        <is>
          <t>Paul Bettany</t>
        </is>
      </c>
      <c r="B72" t="inlineStr">
        <is>
          <t>Avengers: Secret Wars (Dec 17)</t>
        </is>
      </c>
      <c r="G72" t="inlineStr">
        <is>
          <t>Avengers: Secret Wars (50%)</t>
        </is>
      </c>
      <c r="I72" t="n">
        <v>111.8</v>
      </c>
      <c r="J72" t="n">
        <v>55.9</v>
      </c>
      <c r="K72" t="n">
        <v>2.392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1.345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7" t="inlineStr">
        <is>
          <t>C</t>
        </is>
      </c>
      <c r="U72" t="inlineStr"/>
    </row>
    <row r="73">
      <c r="A73" t="inlineStr">
        <is>
          <t>Chris Evans</t>
        </is>
      </c>
      <c r="B73" t="inlineStr">
        <is>
          <t>Avengers: Secret Wars (Dec 17)</t>
        </is>
      </c>
      <c r="G73" t="inlineStr">
        <is>
          <t>Avengers: Secret Wars (50%)</t>
        </is>
      </c>
      <c r="I73" t="n">
        <v>111.8</v>
      </c>
      <c r="J73" t="n">
        <v>55.9</v>
      </c>
      <c r="K73" t="n">
        <v>2.371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1.313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7" t="inlineStr">
        <is>
          <t>C</t>
        </is>
      </c>
      <c r="U73" t="inlineStr"/>
    </row>
    <row r="74">
      <c r="A74" t="inlineStr">
        <is>
          <t>Mark Ruffalo</t>
        </is>
      </c>
      <c r="B74" t="inlineStr">
        <is>
          <t>Gatto (Mar 5)</t>
        </is>
      </c>
      <c r="G74" t="inlineStr">
        <is>
          <t>Gatto (92%)</t>
        </is>
      </c>
      <c r="I74" t="n">
        <v>93.8</v>
      </c>
      <c r="J74" t="n">
        <v>46.9</v>
      </c>
      <c r="K74" t="n">
        <v>2.104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1.136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7" t="inlineStr">
        <is>
          <t>C</t>
        </is>
      </c>
      <c r="U74" t="inlineStr"/>
    </row>
    <row r="76">
      <c r="A7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Oscar p(nom)</t>
        </is>
      </c>
      <c r="E4" s="10" t="inlineStr">
        <is>
          <t>Oscar p(win)</t>
        </is>
      </c>
      <c r="F4" s="10" t="inlineStr">
        <is>
          <t>Oscar detail</t>
        </is>
      </c>
      <c r="G4" s="10" t="inlineStr">
        <is>
          <t>Films</t>
        </is>
      </c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Kristen Bell</t>
        </is>
      </c>
      <c r="B5" t="inlineStr">
        <is>
          <t>Frozen 3 (Nov 24); Sonic the Hedgehog 4 (Mar 19)</t>
        </is>
      </c>
      <c r="G5" t="inlineStr">
        <is>
          <t>Sonic the Hedgehog 4 (95%); Frozen 3 (93%)</t>
        </is>
      </c>
      <c r="I5" t="n">
        <v>395.2</v>
      </c>
      <c r="J5" t="n">
        <v>197.6</v>
      </c>
      <c r="K5" t="n">
        <v>9.766999999999999</v>
      </c>
      <c r="L5" t="n">
        <v>0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3.829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7" t="inlineStr">
        <is>
          <t>C</t>
        </is>
      </c>
      <c r="U5" t="inlineStr">
        <is>
          <t>Frozen 3 (Nov 24, ~78% of run in 2027) + Sonic 4</t>
        </is>
      </c>
    </row>
    <row r="6">
      <c r="A6" s="7" t="inlineStr">
        <is>
          <t>Hailee Steinfeld</t>
        </is>
      </c>
      <c r="B6" t="inlineStr">
        <is>
          <t>Spider-Man: Beyond the Spider-Verse (Jun 18)</t>
        </is>
      </c>
      <c r="G6" t="inlineStr">
        <is>
          <t>Spider-Man: Beyond the Spider-Verse (80%)</t>
        </is>
      </c>
      <c r="I6" t="n">
        <v>278.2</v>
      </c>
      <c r="J6" t="n">
        <v>139.1</v>
      </c>
      <c r="K6" t="n">
        <v>7.572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3.738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7" t="inlineStr">
        <is>
          <t>C</t>
        </is>
      </c>
      <c r="U6" t="inlineStr"/>
    </row>
    <row r="7">
      <c r="A7" s="7" t="inlineStr">
        <is>
          <t>Lauren Vélez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7.466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3.755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Kimiko Glenn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7.441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3.781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Adria Arjona</t>
        </is>
      </c>
      <c r="B9" t="inlineStr">
        <is>
          <t>Man of Tomorrow (Jul 9); The Thomas Crown Affair (Mar 5)</t>
        </is>
      </c>
      <c r="G9" t="inlineStr">
        <is>
          <t>The Thomas Crown Affair (85%); Man of Tomorrow (92%)</t>
        </is>
      </c>
      <c r="I9" t="n">
        <v>268.7</v>
      </c>
      <c r="J9" t="n">
        <v>134.3</v>
      </c>
      <c r="K9" t="n">
        <v>7.295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3.737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Amy Adams</t>
        </is>
      </c>
      <c r="B10" t="inlineStr">
        <is>
          <t>Starfighter (May 28)</t>
        </is>
      </c>
      <c r="G10" t="inlineStr">
        <is>
          <t>Starfighter (92%)</t>
        </is>
      </c>
      <c r="I10" t="n">
        <v>251.7</v>
      </c>
      <c r="J10" t="n">
        <v>125.8</v>
      </c>
      <c r="K10" t="n">
        <v>6.867</v>
      </c>
      <c r="L10" t="n">
        <v>0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3.63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Mia Goth</t>
        </is>
      </c>
      <c r="B11" t="inlineStr">
        <is>
          <t>Starfighter (May 28)</t>
        </is>
      </c>
      <c r="G11" t="inlineStr">
        <is>
          <t>Starfighter (92%)</t>
        </is>
      </c>
      <c r="I11" t="n">
        <v>251.7</v>
      </c>
      <c r="J11" t="n">
        <v>125.8</v>
      </c>
      <c r="K11" t="n">
        <v>6.76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3.63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Rachel Brosnahan</t>
        </is>
      </c>
      <c r="B12" t="inlineStr">
        <is>
          <t>Man of Tomorrow (Jul 9)</t>
        </is>
      </c>
      <c r="G12" t="inlineStr">
        <is>
          <t>Man of Tomorrow (92%)</t>
        </is>
      </c>
      <c r="I12" t="n">
        <v>235.5</v>
      </c>
      <c r="J12" t="n">
        <v>117.8</v>
      </c>
      <c r="K12" t="n">
        <v>6.389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3.518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Isabela Merced</t>
        </is>
      </c>
      <c r="B13" t="inlineStr">
        <is>
          <t>Man of Tomorrow (Jul 9)</t>
        </is>
      </c>
      <c r="G13" t="inlineStr">
        <is>
          <t>Man of Tomorrow (92%)</t>
        </is>
      </c>
      <c r="I13" t="n">
        <v>235.5</v>
      </c>
      <c r="J13" t="n">
        <v>117.8</v>
      </c>
      <c r="K13" t="n">
        <v>6.345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3.513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Sara Sampaio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6.339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3.494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María Gabriela de Faría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6.328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3.479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Milly Alcock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6.319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3.52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Idina Menzel</t>
        </is>
      </c>
      <c r="B17" t="inlineStr">
        <is>
          <t>Frozen 3 (Nov 24)</t>
        </is>
      </c>
      <c r="G17" t="inlineStr">
        <is>
          <t>Frozen 3 (93%)</t>
        </is>
      </c>
      <c r="I17" t="n">
        <v>233.7</v>
      </c>
      <c r="J17" t="n">
        <v>116.8</v>
      </c>
      <c r="K17" t="n">
        <v>6.254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3.455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Zendaya</t>
        </is>
      </c>
      <c r="B18" t="inlineStr">
        <is>
          <t>Shrek 5 (Jun 30)</t>
        </is>
      </c>
      <c r="D18" t="n">
        <v>0.05</v>
      </c>
      <c r="E18" t="n">
        <v>0.01</v>
      </c>
      <c r="F18" t="inlineStr">
        <is>
          <t>Best Supporting Actress: Dune: Part Three / Spider-Man: BND (2026 releases) (nom 5%, win 1%)</t>
        </is>
      </c>
      <c r="G18" t="inlineStr">
        <is>
          <t>Shrek 5 (90%)</t>
        </is>
      </c>
      <c r="I18" t="n">
        <v>195.8</v>
      </c>
      <c r="J18" t="n">
        <v>97.90000000000001</v>
      </c>
      <c r="K18" t="n">
        <v>5.165</v>
      </c>
      <c r="L18" t="n">
        <v>0.19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3.071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7" t="inlineStr">
        <is>
          <t>C</t>
        </is>
      </c>
      <c r="U18" t="inlineStr">
        <is>
          <t>Shrek 5 voice (Jun 30). Spider-Man BND and Dune 3 are 2026 -&gt; 0</t>
        </is>
      </c>
    </row>
    <row r="19">
      <c r="A19" t="inlineStr">
        <is>
          <t>Cameron Diaz</t>
        </is>
      </c>
      <c r="B19" t="inlineStr">
        <is>
          <t>Shrek 5 (Jun 30)</t>
        </is>
      </c>
      <c r="G19" t="inlineStr">
        <is>
          <t>Shrek 5 (90%)</t>
        </is>
      </c>
      <c r="I19" t="n">
        <v>195.8</v>
      </c>
      <c r="J19" t="n">
        <v>97.90000000000001</v>
      </c>
      <c r="K19" t="n">
        <v>5.145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3.03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Yvonne Strahovski</t>
        </is>
      </c>
      <c r="B20" t="inlineStr">
        <is>
          <t>The Legend of Zelda (Apr 30)</t>
        </is>
      </c>
      <c r="G20" t="inlineStr">
        <is>
          <t>The Legend of Zelda (92%)</t>
        </is>
      </c>
      <c r="I20" t="n">
        <v>182.5</v>
      </c>
      <c r="J20" t="n">
        <v>91.2</v>
      </c>
      <c r="K20" t="n">
        <v>4.803</v>
      </c>
      <c r="L20" t="n">
        <v>0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2.878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Lydia Peckham</t>
        </is>
      </c>
      <c r="B21" t="inlineStr">
        <is>
          <t>The Legend of Zelda (Apr 30)</t>
        </is>
      </c>
      <c r="G21" t="inlineStr">
        <is>
          <t>The Legend of Zelda (92%)</t>
        </is>
      </c>
      <c r="I21" t="n">
        <v>182.5</v>
      </c>
      <c r="J21" t="n">
        <v>91.2</v>
      </c>
      <c r="K21" t="n">
        <v>4.768</v>
      </c>
      <c r="L21" t="n">
        <v>0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2.834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Dichen Lachman</t>
        </is>
      </c>
      <c r="B22" t="inlineStr">
        <is>
          <t>The Legend of Zelda (Apr 30)</t>
        </is>
      </c>
      <c r="G22" t="inlineStr">
        <is>
          <t>The Legend of Zelda (92%)</t>
        </is>
      </c>
      <c r="I22" t="n">
        <v>182.5</v>
      </c>
      <c r="J22" t="n">
        <v>91.2</v>
      </c>
      <c r="K22" t="n">
        <v>4.748</v>
      </c>
      <c r="L22" t="n">
        <v>0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2.849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Bo Bragason</t>
        </is>
      </c>
      <c r="B23" t="inlineStr">
        <is>
          <t>The Legend of Zelda (Apr 30)</t>
        </is>
      </c>
      <c r="G23" t="inlineStr">
        <is>
          <t>The Legend of Zelda (92%)</t>
        </is>
      </c>
      <c r="I23" t="n">
        <v>182.5</v>
      </c>
      <c r="J23" t="n">
        <v>91.2</v>
      </c>
      <c r="K23" t="n">
        <v>4.737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2.869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Nico Parker</t>
        </is>
      </c>
      <c r="B24" t="inlineStr">
        <is>
          <t>How to Train Your Dragon 2 (Jun 11)</t>
        </is>
      </c>
      <c r="G24" t="inlineStr">
        <is>
          <t>How to Train Your Dragon 2 (92%)</t>
        </is>
      </c>
      <c r="I24" t="n">
        <v>179.4</v>
      </c>
      <c r="J24" t="n">
        <v>89.7</v>
      </c>
      <c r="K24" t="n">
        <v>4.683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2.808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Cate Blanchett</t>
        </is>
      </c>
      <c r="B25" t="inlineStr">
        <is>
          <t>How to Train Your Dragon 2 (Jun 11)</t>
        </is>
      </c>
      <c r="G25" t="inlineStr">
        <is>
          <t>How to Train Your Dragon 2 (92%)</t>
        </is>
      </c>
      <c r="I25" t="n">
        <v>179.4</v>
      </c>
      <c r="J25" t="n">
        <v>89.7</v>
      </c>
      <c r="K25" t="n">
        <v>4.644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2.809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Penélope Cruz</t>
        </is>
      </c>
      <c r="B26" t="inlineStr">
        <is>
          <t>Paris Paramount (Dec 25); Day Drinker (Mar 26)</t>
        </is>
      </c>
      <c r="D26" t="n">
        <v>0.73</v>
      </c>
      <c r="E26" t="n">
        <v>0.185</v>
      </c>
      <c r="F26" t="inlineStr">
        <is>
          <t>Best Supporting Actress: ? (nom 73%, win 18%)</t>
        </is>
      </c>
      <c r="G26" t="inlineStr">
        <is>
          <t>Day Drinker (90%); Paris Paramount (90%)</t>
        </is>
      </c>
      <c r="I26" t="n">
        <v>25.6</v>
      </c>
      <c r="J26" t="n">
        <v>12.8</v>
      </c>
      <c r="K26" t="n">
        <v>1.453</v>
      </c>
      <c r="L26" t="n">
        <v>3.027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0.672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Kirsten Dunst</t>
        </is>
      </c>
      <c r="B27" t="inlineStr">
        <is>
          <t>A Minecraft Movie Squared (Jul 23); The Housemaid's Secret (Dec 17)</t>
        </is>
      </c>
      <c r="G27" t="inlineStr">
        <is>
          <t>A Minecraft Movie Squared (90%); The Housemaid's Secret (75%)</t>
        </is>
      </c>
      <c r="I27" t="n">
        <v>162.9</v>
      </c>
      <c r="J27" t="n">
        <v>81.5</v>
      </c>
      <c r="K27" t="n">
        <v>4.181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2.552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Tika Sumpter</t>
        </is>
      </c>
      <c r="B28" t="inlineStr">
        <is>
          <t>Sonic the Hedgehog 4 (Mar 19)</t>
        </is>
      </c>
      <c r="G28" t="inlineStr">
        <is>
          <t>Sonic the Hedgehog 4 (95%)</t>
        </is>
      </c>
      <c r="I28" t="n">
        <v>161.5</v>
      </c>
      <c r="J28" t="n">
        <v>80.8</v>
      </c>
      <c r="K28" t="n">
        <v>4.142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2.511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Colleen O'Shaughnessey</t>
        </is>
      </c>
      <c r="B29" t="inlineStr">
        <is>
          <t>Sonic the Hedgehog 4 (Mar 19)</t>
        </is>
      </c>
      <c r="G29" t="inlineStr">
        <is>
          <t>Sonic the Hedgehog 4 (95%)</t>
        </is>
      </c>
      <c r="I29" t="n">
        <v>161.5</v>
      </c>
      <c r="J29" t="n">
        <v>80.8</v>
      </c>
      <c r="K29" t="n">
        <v>4.139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2.508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Danielle Brooks</t>
        </is>
      </c>
      <c r="B30" t="inlineStr">
        <is>
          <t>A Minecraft Movie Squared (Jul 23)</t>
        </is>
      </c>
      <c r="G30" t="inlineStr">
        <is>
          <t>A Minecraft Movie Squared (90%)</t>
        </is>
      </c>
      <c r="I30" t="n">
        <v>135.7</v>
      </c>
      <c r="J30" t="n">
        <v>67.8</v>
      </c>
      <c r="K30" t="n">
        <v>3.423</v>
      </c>
      <c r="L30" t="n">
        <v>0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2.068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Jennifer Coolidge</t>
        </is>
      </c>
      <c r="B31" t="inlineStr">
        <is>
          <t>A Minecraft Movie Squared (Jul 23)</t>
        </is>
      </c>
      <c r="G31" t="inlineStr">
        <is>
          <t>A Minecraft Movie Squared (90%)</t>
        </is>
      </c>
      <c r="I31" t="n">
        <v>135.7</v>
      </c>
      <c r="J31" t="n">
        <v>67.8</v>
      </c>
      <c r="K31" t="n">
        <v>3.38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2.066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Kate Winslet</t>
        </is>
      </c>
      <c r="B32" t="inlineStr">
        <is>
          <t>The Lord of the Rings: The Hunt for Gollum (Dec 17); Charlie vs. the Chocolate Factory (Nov 5)</t>
        </is>
      </c>
      <c r="G32" t="inlineStr">
        <is>
          <t>Charlie vs. the Chocolate Factory (0%); The Lord of the Rings: The Hunt for Gollum (80%)</t>
        </is>
      </c>
      <c r="I32" t="n">
        <v>114</v>
      </c>
      <c r="J32" t="n">
        <v>57</v>
      </c>
      <c r="K32" t="n">
        <v>2.876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1.706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Anya Taylor-Joy</t>
        </is>
      </c>
      <c r="B33" t="inlineStr">
        <is>
          <t>The Lord of the Rings: The Hunt for Gollum (Dec 17)</t>
        </is>
      </c>
      <c r="G33" t="inlineStr">
        <is>
          <t>The Lord of the Rings: The Hunt for Gollum (80%)</t>
        </is>
      </c>
      <c r="I33" t="n">
        <v>114</v>
      </c>
      <c r="J33" t="n">
        <v>57</v>
      </c>
      <c r="K33" t="n">
        <v>2.832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1.687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7" t="inlineStr">
        <is>
          <t>C</t>
        </is>
      </c>
      <c r="U33" t="inlineStr">
        <is>
          <t>Hunt for Gollum (Dec 17)</t>
        </is>
      </c>
    </row>
    <row r="34">
      <c r="A34" t="inlineStr">
        <is>
          <t>Hayley Atwell</t>
        </is>
      </c>
      <c r="B34" t="inlineStr">
        <is>
          <t>Avengers: Secret Wars (Dec 17)</t>
        </is>
      </c>
      <c r="G34" t="inlineStr">
        <is>
          <t>Avengers: Secret Wars (50%)</t>
        </is>
      </c>
      <c r="I34" t="n">
        <v>111.8</v>
      </c>
      <c r="J34" t="n">
        <v>55.9</v>
      </c>
      <c r="K34" t="n">
        <v>2.83</v>
      </c>
      <c r="L34" t="n">
        <v>0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1.65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Sadie Sink</t>
        </is>
      </c>
      <c r="B35" t="inlineStr">
        <is>
          <t>Avengers: Secret Wars (Dec 17)</t>
        </is>
      </c>
      <c r="G35" t="inlineStr">
        <is>
          <t>Avengers: Secret Wars (50%)</t>
        </is>
      </c>
      <c r="I35" t="n">
        <v>111.8</v>
      </c>
      <c r="J35" t="n">
        <v>55.9</v>
      </c>
      <c r="K35" t="n">
        <v>2.804</v>
      </c>
      <c r="L35" t="n">
        <v>0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1.677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Vanessa Kirby</t>
        </is>
      </c>
      <c r="B36" t="inlineStr">
        <is>
          <t>Avengers: Secret Wars (Dec 17)</t>
        </is>
      </c>
      <c r="G36" t="inlineStr">
        <is>
          <t>Avengers: Secret Wars (50%)</t>
        </is>
      </c>
      <c r="I36" t="n">
        <v>111.8</v>
      </c>
      <c r="J36" t="n">
        <v>55.9</v>
      </c>
      <c r="K36" t="n">
        <v>2.798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1.664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Letitia Wright</t>
        </is>
      </c>
      <c r="B37" t="inlineStr">
        <is>
          <t>Avengers: Secret Wars (Dec 17)</t>
        </is>
      </c>
      <c r="G37" t="inlineStr">
        <is>
          <t>Avengers: Secret Wars (50%)</t>
        </is>
      </c>
      <c r="I37" t="n">
        <v>111.8</v>
      </c>
      <c r="J37" t="n">
        <v>55.9</v>
      </c>
      <c r="K37" t="n">
        <v>2.789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1.625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Selena Gomez</t>
        </is>
      </c>
      <c r="B38" t="inlineStr">
        <is>
          <t>Not Alone (Apr 16)</t>
        </is>
      </c>
      <c r="G38" t="inlineStr">
        <is>
          <t>Not Alone (90%)</t>
        </is>
      </c>
      <c r="I38" t="n">
        <v>81.90000000000001</v>
      </c>
      <c r="J38" t="n">
        <v>41</v>
      </c>
      <c r="K38" t="n">
        <v>2.181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1.21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Allison Janney</t>
        </is>
      </c>
      <c r="B39" t="inlineStr">
        <is>
          <t>Not Alone (Apr 16)</t>
        </is>
      </c>
      <c r="G39" t="inlineStr">
        <is>
          <t>Not Alone (90%)</t>
        </is>
      </c>
      <c r="I39" t="n">
        <v>81.90000000000001</v>
      </c>
      <c r="J39" t="n">
        <v>41</v>
      </c>
      <c r="K39" t="n">
        <v>2.14</v>
      </c>
      <c r="L39" t="n">
        <v>0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1.201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7" t="inlineStr">
        <is>
          <t>C</t>
        </is>
      </c>
      <c r="U39" t="inlineStr"/>
    </row>
    <row r="40">
      <c r="A40" t="inlineStr">
        <is>
          <t>Emily Blunt</t>
        </is>
      </c>
      <c r="B40" t="inlineStr">
        <is>
          <t>A Quiet Place Part III (Jul 30)</t>
        </is>
      </c>
      <c r="G40" t="inlineStr">
        <is>
          <t>A Quiet Place Part III (90%)</t>
        </is>
      </c>
      <c r="I40" t="n">
        <v>74.2</v>
      </c>
      <c r="J40" t="n">
        <v>37.1</v>
      </c>
      <c r="K40" t="n">
        <v>2.055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1.113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Katy O'Brian</t>
        </is>
      </c>
      <c r="B41" t="inlineStr">
        <is>
          <t>A Quiet Place Part III (Jul 30)</t>
        </is>
      </c>
      <c r="G41" t="inlineStr">
        <is>
          <t>A Quiet Place Part III (90%)</t>
        </is>
      </c>
      <c r="I41" t="n">
        <v>74.2</v>
      </c>
      <c r="J41" t="n">
        <v>37.1</v>
      </c>
      <c r="K41" t="n">
        <v>2.035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1.106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7" t="inlineStr">
        <is>
          <t>C</t>
        </is>
      </c>
      <c r="U41" t="inlineStr"/>
    </row>
    <row r="42">
      <c r="A42" t="inlineStr">
        <is>
          <t>Millicent Simmonds</t>
        </is>
      </c>
      <c r="B42" t="inlineStr">
        <is>
          <t>A Quiet Place Part III (Jul 30)</t>
        </is>
      </c>
      <c r="G42" t="inlineStr">
        <is>
          <t>A Quiet Place Part III (90%)</t>
        </is>
      </c>
      <c r="I42" t="n">
        <v>74.2</v>
      </c>
      <c r="J42" t="n">
        <v>37.1</v>
      </c>
      <c r="K42" t="n">
        <v>2.033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1.112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7" t="inlineStr">
        <is>
          <t>C</t>
        </is>
      </c>
      <c r="U42" t="inlineStr"/>
    </row>
    <row r="43">
      <c r="A43" t="inlineStr">
        <is>
          <t>Cynthia Erivo</t>
        </is>
      </c>
      <c r="B43" t="inlineStr">
        <is>
          <t>Bad Fairies (May 21); Children of Blood and Bone (Jan 15); Karoshi (Jan 29)</t>
        </is>
      </c>
      <c r="G43" t="inlineStr">
        <is>
          <t>Children of Blood and Bone (85%); Karoshi (85%); Bad Fairies (70%)</t>
        </is>
      </c>
      <c r="I43" t="n">
        <v>71.7</v>
      </c>
      <c r="J43" t="n">
        <v>35.9</v>
      </c>
      <c r="K43" t="n">
        <v>1.997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1.065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7" t="inlineStr">
        <is>
          <t>C</t>
        </is>
      </c>
      <c r="U43" t="inlineStr"/>
    </row>
    <row r="44">
      <c r="A44" t="inlineStr">
        <is>
          <t>Alycia Debnam-Carey</t>
        </is>
      </c>
      <c r="B44" t="inlineStr">
        <is>
          <t>Godzilla x Kong: Supernova (Mar 26)</t>
        </is>
      </c>
      <c r="G44" t="inlineStr">
        <is>
          <t>Godzilla x Kong: Supernova (90%)</t>
        </is>
      </c>
      <c r="I44" t="n">
        <v>67.5</v>
      </c>
      <c r="J44" t="n">
        <v>33.8</v>
      </c>
      <c r="K44" t="n">
        <v>1.93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1.033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7" t="inlineStr">
        <is>
          <t>C</t>
        </is>
      </c>
      <c r="U44" t="inlineStr"/>
    </row>
    <row r="45">
      <c r="A45" t="inlineStr">
        <is>
          <t>Kaitlyn Dever</t>
        </is>
      </c>
      <c r="B45" t="inlineStr">
        <is>
          <t>Godzilla x Kong: Supernova (Mar 26)</t>
        </is>
      </c>
      <c r="G45" t="inlineStr">
        <is>
          <t>Godzilla x Kong: Supernova (90%)</t>
        </is>
      </c>
      <c r="I45" t="n">
        <v>67.5</v>
      </c>
      <c r="J45" t="n">
        <v>33.8</v>
      </c>
      <c r="K45" t="n">
        <v>1.926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1.013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7" t="inlineStr">
        <is>
          <t>C</t>
        </is>
      </c>
      <c r="U45" t="inlineStr"/>
    </row>
    <row r="46">
      <c r="A46" t="inlineStr">
        <is>
          <t>Vicky Krieps</t>
        </is>
      </c>
      <c r="B46" t="inlineStr">
        <is>
          <t>Untitled Ocean's Eleven prequel (Jun 25)</t>
        </is>
      </c>
      <c r="G46" t="inlineStr">
        <is>
          <t>Untitled Ocean's Eleven prequel (80%)</t>
        </is>
      </c>
      <c r="I46" t="n">
        <v>63.4</v>
      </c>
      <c r="J46" t="n">
        <v>31.7</v>
      </c>
      <c r="K46" t="n">
        <v>1.867</v>
      </c>
      <c r="L46" t="n">
        <v>0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0.986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7" t="inlineStr">
        <is>
          <t>C</t>
        </is>
      </c>
      <c r="U46" t="inlineStr"/>
    </row>
    <row r="47">
      <c r="A47" t="inlineStr">
        <is>
          <t>Margot Robbie</t>
        </is>
      </c>
      <c r="B47" t="inlineStr">
        <is>
          <t>Untitled Ocean's Eleven prequel (Jun 25)</t>
        </is>
      </c>
      <c r="G47" t="inlineStr">
        <is>
          <t>Untitled Ocean's Eleven prequel (80%)</t>
        </is>
      </c>
      <c r="I47" t="n">
        <v>63.4</v>
      </c>
      <c r="J47" t="n">
        <v>31.7</v>
      </c>
      <c r="K47" t="n">
        <v>1.861</v>
      </c>
      <c r="L47" t="n">
        <v>0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0.977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7" t="inlineStr">
        <is>
          <t>C</t>
        </is>
      </c>
      <c r="U47" t="inlineStr"/>
    </row>
    <row r="48">
      <c r="A48" t="inlineStr">
        <is>
          <t>Lauren Ridloff</t>
        </is>
      </c>
      <c r="B48" t="inlineStr">
        <is>
          <t>Untitled Ocean's Eleven prequel (Jun 25)</t>
        </is>
      </c>
      <c r="G48" t="inlineStr">
        <is>
          <t>Untitled Ocean's Eleven prequel (80%)</t>
        </is>
      </c>
      <c r="I48" t="n">
        <v>63.4</v>
      </c>
      <c r="J48" t="n">
        <v>31.7</v>
      </c>
      <c r="K48" t="n">
        <v>1.859</v>
      </c>
      <c r="L48" t="n">
        <v>0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0.982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7" t="inlineStr">
        <is>
          <t>C</t>
        </is>
      </c>
      <c r="U48" t="inlineStr"/>
    </row>
    <row r="49">
      <c r="A49" t="inlineStr">
        <is>
          <t>Monica Barbaro</t>
        </is>
      </c>
      <c r="B49" t="inlineStr">
        <is>
          <t>Untitled Ocean's Eleven prequel (Jun 25)</t>
        </is>
      </c>
      <c r="G49" t="inlineStr">
        <is>
          <t>Untitled Ocean's Eleven prequel (80%)</t>
        </is>
      </c>
      <c r="I49" t="n">
        <v>63.4</v>
      </c>
      <c r="J49" t="n">
        <v>31.7</v>
      </c>
      <c r="K49" t="n">
        <v>1.842</v>
      </c>
      <c r="L49" t="n">
        <v>0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0.955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7" t="inlineStr">
        <is>
          <t>C</t>
        </is>
      </c>
      <c r="U49" t="inlineStr"/>
    </row>
    <row r="50">
      <c r="A50" t="inlineStr">
        <is>
          <t>Emma Mackey</t>
        </is>
      </c>
      <c r="B50" t="inlineStr">
        <is>
          <t>The Great Beyond (Oct 1); Narnia: The Magician's Nephew (Feb 12)</t>
        </is>
      </c>
      <c r="G50" t="inlineStr">
        <is>
          <t>Narnia: The Magician's Nephew (60%); The Great Beyond (85%)</t>
        </is>
      </c>
      <c r="I50" t="n">
        <v>57.3</v>
      </c>
      <c r="J50" t="n">
        <v>28.6</v>
      </c>
      <c r="K50" t="n">
        <v>1.782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0.917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7" t="inlineStr">
        <is>
          <t>C</t>
        </is>
      </c>
      <c r="U50" t="inlineStr"/>
    </row>
    <row r="51">
      <c r="A51" t="inlineStr">
        <is>
          <t>Sandra Oh</t>
        </is>
      </c>
      <c r="B51" t="inlineStr">
        <is>
          <t>Untitled Daniels film (Nov 19)</t>
        </is>
      </c>
      <c r="G51" t="inlineStr">
        <is>
          <t>Untitled Daniels film (65%)</t>
        </is>
      </c>
      <c r="I51" t="n">
        <v>50.7</v>
      </c>
      <c r="J51" t="n">
        <v>25.4</v>
      </c>
      <c r="K51" t="n">
        <v>1.688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0.83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7" t="inlineStr">
        <is>
          <t>C</t>
        </is>
      </c>
      <c r="U51" t="inlineStr"/>
    </row>
    <row r="52">
      <c r="A52" t="inlineStr">
        <is>
          <t>Ashley Padilla</t>
        </is>
      </c>
      <c r="B52" t="inlineStr">
        <is>
          <t>The Catch (May 21)</t>
        </is>
      </c>
      <c r="G52" t="inlineStr">
        <is>
          <t>The Catch (90%)</t>
        </is>
      </c>
      <c r="I52" t="n">
        <v>44.1</v>
      </c>
      <c r="J52" t="n">
        <v>22.1</v>
      </c>
      <c r="K52" t="n">
        <v>1.64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0.798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7" t="inlineStr">
        <is>
          <t>C</t>
        </is>
      </c>
      <c r="U52" t="inlineStr"/>
    </row>
    <row r="53">
      <c r="A53" t="inlineStr">
        <is>
          <t>Sissy Spacek</t>
        </is>
      </c>
      <c r="B53" t="inlineStr">
        <is>
          <t>The Catch (May 21)</t>
        </is>
      </c>
      <c r="G53" t="inlineStr">
        <is>
          <t>The Catch (90%)</t>
        </is>
      </c>
      <c r="I53" t="n">
        <v>44.1</v>
      </c>
      <c r="J53" t="n">
        <v>22.1</v>
      </c>
      <c r="K53" t="n">
        <v>1.639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0.8090000000000001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7" t="inlineStr">
        <is>
          <t>C</t>
        </is>
      </c>
      <c r="U53" t="inlineStr"/>
    </row>
    <row r="54">
      <c r="A54" t="inlineStr">
        <is>
          <t>Emma Stone</t>
        </is>
      </c>
      <c r="B54" t="inlineStr">
        <is>
          <t>The Catch (May 21)</t>
        </is>
      </c>
      <c r="G54" t="inlineStr">
        <is>
          <t>The Catch (90%)</t>
        </is>
      </c>
      <c r="I54" t="n">
        <v>44.1</v>
      </c>
      <c r="J54" t="n">
        <v>22.1</v>
      </c>
      <c r="K54" t="n">
        <v>1.615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0.789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7" t="inlineStr">
        <is>
          <t>C</t>
        </is>
      </c>
      <c r="U54" t="inlineStr"/>
    </row>
    <row r="55">
      <c r="A55" t="inlineStr">
        <is>
          <t>Tig Notaro</t>
        </is>
      </c>
      <c r="B55" t="inlineStr">
        <is>
          <t>The Comeback King (Feb 5); Beach Read (May 7)</t>
        </is>
      </c>
      <c r="G55" t="inlineStr">
        <is>
          <t>The Comeback King (90%); Beach Read (90%)</t>
        </is>
      </c>
      <c r="I55" t="n">
        <v>42.8</v>
      </c>
      <c r="J55" t="n">
        <v>21.4</v>
      </c>
      <c r="K55" t="n">
        <v>1.601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0.785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7" t="inlineStr">
        <is>
          <t>C</t>
        </is>
      </c>
      <c r="U55" t="inlineStr"/>
    </row>
    <row r="56">
      <c r="A56" t="inlineStr">
        <is>
          <t>Jenna Ortega</t>
        </is>
      </c>
      <c r="B56" t="inlineStr">
        <is>
          <t>The Great Beyond (Oct 1)</t>
        </is>
      </c>
      <c r="G56" t="inlineStr">
        <is>
          <t>The Great Beyond (85%)</t>
        </is>
      </c>
      <c r="I56" t="n">
        <v>35.7</v>
      </c>
      <c r="J56" t="n">
        <v>17.9</v>
      </c>
      <c r="K56" t="n">
        <v>1.535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0.724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7" t="inlineStr">
        <is>
          <t>C</t>
        </is>
      </c>
      <c r="U56" t="inlineStr"/>
    </row>
    <row r="57">
      <c r="A57" t="inlineStr">
        <is>
          <t>Madelyn Cline</t>
        </is>
      </c>
      <c r="B57" t="inlineStr">
        <is>
          <t>The Comeback King (Feb 5); Day Drinker (Mar 26)</t>
        </is>
      </c>
      <c r="G57" t="inlineStr">
        <is>
          <t>The Comeback King (90%); Day Drinker (90%)</t>
        </is>
      </c>
      <c r="I57" t="n">
        <v>36</v>
      </c>
      <c r="J57" t="n">
        <v>18</v>
      </c>
      <c r="K57" t="n">
        <v>1.526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0.723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7" t="inlineStr">
        <is>
          <t>C</t>
        </is>
      </c>
      <c r="U57" t="inlineStr"/>
    </row>
    <row r="58">
      <c r="A58" t="inlineStr">
        <is>
          <t>Scarlett Johansson</t>
        </is>
      </c>
      <c r="B58" t="inlineStr">
        <is>
          <t>The Exorcist: Martyrs (Mar 12)</t>
        </is>
      </c>
      <c r="G58" t="inlineStr">
        <is>
          <t>The Exorcist: Martyrs (80%)</t>
        </is>
      </c>
      <c r="I58" t="n">
        <v>35.2</v>
      </c>
      <c r="J58" t="n">
        <v>17.6</v>
      </c>
      <c r="K58" t="n">
        <v>1.526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0.729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7" t="inlineStr">
        <is>
          <t>C</t>
        </is>
      </c>
      <c r="U58" t="inlineStr"/>
    </row>
    <row r="59">
      <c r="A59" t="inlineStr">
        <is>
          <t>Sophie Okonedo</t>
        </is>
      </c>
      <c r="B59" t="inlineStr">
        <is>
          <t>The Great Beyond (Oct 1)</t>
        </is>
      </c>
      <c r="G59" t="inlineStr">
        <is>
          <t>The Great Beyond (85%)</t>
        </is>
      </c>
      <c r="I59" t="n">
        <v>35.7</v>
      </c>
      <c r="J59" t="n">
        <v>17.9</v>
      </c>
      <c r="K59" t="n">
        <v>1.521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0.715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7" t="inlineStr">
        <is>
          <t>C</t>
        </is>
      </c>
      <c r="U59" t="inlineStr"/>
    </row>
    <row r="60">
      <c r="A60" t="inlineStr">
        <is>
          <t>Sasha Calle</t>
        </is>
      </c>
      <c r="B60" t="inlineStr">
        <is>
          <t>The Exorcist: Martyrs (Mar 12)</t>
        </is>
      </c>
      <c r="G60" t="inlineStr">
        <is>
          <t>The Exorcist: Martyrs (80%)</t>
        </is>
      </c>
      <c r="I60" t="n">
        <v>35.2</v>
      </c>
      <c r="J60" t="n">
        <v>17.6</v>
      </c>
      <c r="K60" t="n">
        <v>1.519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0.723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7" t="inlineStr">
        <is>
          <t>C</t>
        </is>
      </c>
      <c r="U60" t="inlineStr"/>
    </row>
    <row r="61">
      <c r="A61" t="inlineStr">
        <is>
          <t>Merritt Wever</t>
        </is>
      </c>
      <c r="B61" t="inlineStr">
        <is>
          <t>The Great Beyond (Oct 1)</t>
        </is>
      </c>
      <c r="G61" t="inlineStr">
        <is>
          <t>The Great Beyond (85%)</t>
        </is>
      </c>
      <c r="I61" t="n">
        <v>35.7</v>
      </c>
      <c r="J61" t="n">
        <v>17.9</v>
      </c>
      <c r="K61" t="n">
        <v>1.515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0.726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7" t="inlineStr">
        <is>
          <t>C</t>
        </is>
      </c>
      <c r="U61" t="inlineStr"/>
    </row>
    <row r="62">
      <c r="A62" t="inlineStr">
        <is>
          <t>Lily Gladstone</t>
        </is>
      </c>
      <c r="B62" t="inlineStr">
        <is>
          <t>The Thomas Crown Affair (Mar 5)</t>
        </is>
      </c>
      <c r="G62" t="inlineStr">
        <is>
          <t>The Thomas Crown Affair (85%)</t>
        </is>
      </c>
      <c r="I62" t="n">
        <v>33.1</v>
      </c>
      <c r="J62" t="n">
        <v>16.6</v>
      </c>
      <c r="K62" t="n">
        <v>1.514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0.702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7" t="inlineStr">
        <is>
          <t>C</t>
        </is>
      </c>
      <c r="U62" t="inlineStr"/>
    </row>
    <row r="63">
      <c r="A63" t="inlineStr">
        <is>
          <t>Rachel Weisz</t>
        </is>
      </c>
      <c r="B63" t="inlineStr">
        <is>
          <t>Untitled The Mummy Returns sequel (Oct 15)</t>
        </is>
      </c>
      <c r="G63" t="inlineStr">
        <is>
          <t>Untitled The Mummy Returns sequel (80%)</t>
        </is>
      </c>
      <c r="I63" t="n">
        <v>33.6</v>
      </c>
      <c r="J63" t="n">
        <v>16.8</v>
      </c>
      <c r="K63" t="n">
        <v>1.512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0.715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7" t="inlineStr">
        <is>
          <t>C</t>
        </is>
      </c>
      <c r="U63" t="inlineStr"/>
    </row>
    <row r="64">
      <c r="A64" t="inlineStr">
        <is>
          <t>Danai Gurira</t>
        </is>
      </c>
      <c r="B64" t="inlineStr">
        <is>
          <t>The Thomas Crown Affair (Mar 5)</t>
        </is>
      </c>
      <c r="G64" t="inlineStr">
        <is>
          <t>The Thomas Crown Affair (85%)</t>
        </is>
      </c>
      <c r="I64" t="n">
        <v>33.1</v>
      </c>
      <c r="J64" t="n">
        <v>16.6</v>
      </c>
      <c r="K64" t="n">
        <v>1.507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0.708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7" t="inlineStr">
        <is>
          <t>C</t>
        </is>
      </c>
      <c r="U64" t="inlineStr"/>
    </row>
    <row r="65">
      <c r="A65" t="inlineStr">
        <is>
          <t>Pom Klementieff</t>
        </is>
      </c>
      <c r="B65" t="inlineStr">
        <is>
          <t>The Beekeeper 2 (Jan 15)</t>
        </is>
      </c>
      <c r="G65" t="inlineStr">
        <is>
          <t>The Beekeeper 2 (90%)</t>
        </is>
      </c>
      <c r="I65" t="n">
        <v>29.7</v>
      </c>
      <c r="J65" t="n">
        <v>14.8</v>
      </c>
      <c r="K65" t="n">
        <v>1.491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0.703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7" t="inlineStr">
        <is>
          <t>C</t>
        </is>
      </c>
      <c r="U65" t="inlineStr"/>
    </row>
    <row r="66">
      <c r="A66" t="inlineStr">
        <is>
          <t>Emmy Raver-Lampman</t>
        </is>
      </c>
      <c r="B66" t="inlineStr">
        <is>
          <t>The Beekeeper 2 (Jan 15)</t>
        </is>
      </c>
      <c r="G66" t="inlineStr">
        <is>
          <t>The Beekeeper 2 (90%)</t>
        </is>
      </c>
      <c r="I66" t="n">
        <v>29.7</v>
      </c>
      <c r="J66" t="n">
        <v>14.8</v>
      </c>
      <c r="K66" t="n">
        <v>1.474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0.6830000000000001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7" t="inlineStr">
        <is>
          <t>C</t>
        </is>
      </c>
      <c r="U66" t="inlineStr"/>
    </row>
    <row r="67">
      <c r="A67" t="inlineStr">
        <is>
          <t>Cristin Milioti</t>
        </is>
      </c>
      <c r="B67" t="inlineStr">
        <is>
          <t>The Comeback King (Feb 5)</t>
        </is>
      </c>
      <c r="G67" t="inlineStr">
        <is>
          <t>The Comeback King (90%)</t>
        </is>
      </c>
      <c r="I67" t="n">
        <v>29.3</v>
      </c>
      <c r="J67" t="n">
        <v>14.7</v>
      </c>
      <c r="K67" t="n">
        <v>1.47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0.6850000000000001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7" t="inlineStr">
        <is>
          <t>C</t>
        </is>
      </c>
      <c r="U67" t="inlineStr"/>
    </row>
    <row r="68">
      <c r="A68" t="inlineStr">
        <is>
          <t>Yara Shahidi</t>
        </is>
      </c>
      <c r="B68" t="inlineStr">
        <is>
          <t>The Beekeeper 2 (Jan 15)</t>
        </is>
      </c>
      <c r="G68" t="inlineStr">
        <is>
          <t>The Beekeeper 2 (90%)</t>
        </is>
      </c>
      <c r="I68" t="n">
        <v>29.7</v>
      </c>
      <c r="J68" t="n">
        <v>14.8</v>
      </c>
      <c r="K68" t="n">
        <v>1.466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0.672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7" t="inlineStr">
        <is>
          <t>C</t>
        </is>
      </c>
      <c r="U68" t="inlineStr"/>
    </row>
    <row r="69">
      <c r="A69" t="inlineStr">
        <is>
          <t>Vanessa Bayer</t>
        </is>
      </c>
      <c r="B69" t="inlineStr">
        <is>
          <t>The Comeback King (Feb 5)</t>
        </is>
      </c>
      <c r="G69" t="inlineStr">
        <is>
          <t>The Comeback King (90%)</t>
        </is>
      </c>
      <c r="I69" t="n">
        <v>29.3</v>
      </c>
      <c r="J69" t="n">
        <v>14.7</v>
      </c>
      <c r="K69" t="n">
        <v>1.464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0.676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7" t="inlineStr">
        <is>
          <t>C</t>
        </is>
      </c>
      <c r="U69" t="inlineStr"/>
    </row>
    <row r="70">
      <c r="A70" t="inlineStr">
        <is>
          <t>Sydney Sweeney</t>
        </is>
      </c>
      <c r="B70" t="inlineStr">
        <is>
          <t>The Housemaid's Secret (Dec 17)</t>
        </is>
      </c>
      <c r="G70" t="inlineStr">
        <is>
          <t>The Housemaid's Secret (75%)</t>
        </is>
      </c>
      <c r="I70" t="n">
        <v>27.2</v>
      </c>
      <c r="J70" t="n">
        <v>13.6</v>
      </c>
      <c r="K70" t="n">
        <v>1.459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0.676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7" t="inlineStr">
        <is>
          <t>C</t>
        </is>
      </c>
      <c r="U70" t="inlineStr"/>
    </row>
    <row r="71">
      <c r="A71" t="inlineStr">
        <is>
          <t>Phoebe Dynevor</t>
        </is>
      </c>
      <c r="B71" t="inlineStr">
        <is>
          <t>Remain (Feb 5); Beach Read (May 7); Pendulum (Jan 1)</t>
        </is>
      </c>
      <c r="G71" t="inlineStr">
        <is>
          <t>Pendulum (90%); Remain (90%); Beach Read (90%)</t>
        </is>
      </c>
      <c r="I71" t="n">
        <v>29.9</v>
      </c>
      <c r="J71" t="n">
        <v>14.9</v>
      </c>
      <c r="K71" t="n">
        <v>1.459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0.665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7" t="inlineStr">
        <is>
          <t>C</t>
        </is>
      </c>
      <c r="U71" t="inlineStr"/>
    </row>
    <row r="72">
      <c r="A72" t="inlineStr">
        <is>
          <t>Brittany Snow</t>
        </is>
      </c>
      <c r="B72" t="inlineStr">
        <is>
          <t>The Housemaid's Secret (Dec 17)</t>
        </is>
      </c>
      <c r="G72" t="inlineStr">
        <is>
          <t>The Housemaid's Secret (75%)</t>
        </is>
      </c>
      <c r="I72" t="n">
        <v>27.2</v>
      </c>
      <c r="J72" t="n">
        <v>13.6</v>
      </c>
      <c r="K72" t="n">
        <v>1.45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0.659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7" t="inlineStr">
        <is>
          <t>C</t>
        </is>
      </c>
      <c r="U72" t="inlineStr"/>
    </row>
    <row r="73">
      <c r="A73" t="inlineStr">
        <is>
          <t>Amy Madigan</t>
        </is>
      </c>
      <c r="B73" t="inlineStr">
        <is>
          <t>The Comebacker (Jul 30)</t>
        </is>
      </c>
      <c r="G73" t="inlineStr">
        <is>
          <t>The Comebacker (85%)</t>
        </is>
      </c>
      <c r="I73" t="n">
        <v>25.5</v>
      </c>
      <c r="J73" t="n">
        <v>12.8</v>
      </c>
      <c r="K73" t="n">
        <v>1.436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0.666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7" t="inlineStr">
        <is>
          <t>C</t>
        </is>
      </c>
      <c r="U73" t="inlineStr"/>
    </row>
    <row r="74">
      <c r="A74" t="inlineStr">
        <is>
          <t>Julia Roberts</t>
        </is>
      </c>
      <c r="B74" t="inlineStr">
        <is>
          <t>Panic Carefully (Apr 9)</t>
        </is>
      </c>
      <c r="G74" t="inlineStr">
        <is>
          <t>Panic Carefully (90%)</t>
        </is>
      </c>
      <c r="I74" t="n">
        <v>25.2</v>
      </c>
      <c r="J74" t="n">
        <v>12.6</v>
      </c>
      <c r="K74" t="n">
        <v>1.431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0.646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7" t="inlineStr">
        <is>
          <t>C</t>
        </is>
      </c>
      <c r="U74" t="inlineStr"/>
    </row>
    <row r="76">
      <c r="A76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Grammy EV</t>
        </is>
      </c>
      <c r="E4" s="10" t="inlineStr">
        <is>
          <t>p(big-4 win)</t>
        </is>
      </c>
      <c r="F4" s="10" t="inlineStr">
        <is>
          <t>exp. noms</t>
        </is>
      </c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Ella Langley</t>
        </is>
      </c>
      <c r="B5" t="inlineStr">
        <is>
          <t>'Choosin' Texas' 24 wks #1 in 2026 (record run); top-10 tail into 2027; 'Dandelion' album</t>
        </is>
      </c>
      <c r="C5" t="inlineStr">
        <is>
          <t>Grammy EV 13.0</t>
        </is>
      </c>
      <c r="D5" t="n">
        <v>13</v>
      </c>
      <c r="I5" t="n">
        <v>12</v>
      </c>
      <c r="J5" t="n">
        <v>9</v>
      </c>
      <c r="K5" t="n">
        <v>8.180999999999999</v>
      </c>
      <c r="L5" t="n">
        <v>13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3.875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7" t="inlineStr">
        <is>
          <t>C</t>
        </is>
      </c>
      <c r="U5" t="inlineStr">
        <is>
          <t>Grammy figures: BNA win 65.5%, ROTY nom 91.5%, SOTY nom 85% (Kalshi); ROTY/SOTY win shares are estimates</t>
        </is>
      </c>
    </row>
    <row r="6">
      <c r="A6" s="7" t="inlineStr">
        <is>
          <t>Olivia Rodrigo</t>
        </is>
      </c>
      <c r="B6" t="inlineStr">
        <is>
          <t>2026 #1 'drop dead' (1 wk) + top-10 songs; AOTY frontrunner album</t>
        </is>
      </c>
      <c r="C6" t="inlineStr">
        <is>
          <t>Grammy EV 10.5</t>
        </is>
      </c>
      <c r="D6" t="n">
        <v>10.51</v>
      </c>
      <c r="I6" t="n">
        <v>10</v>
      </c>
      <c r="J6" t="n">
        <v>8</v>
      </c>
      <c r="K6" t="n">
        <v>7.332</v>
      </c>
      <c r="L6" t="n">
        <v>10.51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3.747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7" t="inlineStr">
        <is>
          <t>C</t>
        </is>
      </c>
      <c r="U6" t="inlineStr">
        <is>
          <t>AOTY win 47.5% (Kalshi): the market favourite</t>
        </is>
      </c>
    </row>
    <row r="7">
      <c r="A7" s="7" t="inlineStr">
        <is>
          <t>Olivia Dean</t>
        </is>
      </c>
      <c r="B7" t="inlineStr">
        <is>
          <t>'Man I Need' (2026 top 10, 43+ wks per Wikipedia); The Art of Loving</t>
        </is>
      </c>
      <c r="C7" t="inlineStr">
        <is>
          <t>Grammy EV 10.0</t>
        </is>
      </c>
      <c r="D7" t="n">
        <v>10.04</v>
      </c>
      <c r="I7" t="n">
        <v>9</v>
      </c>
      <c r="J7" t="n">
        <v>7</v>
      </c>
      <c r="K7" t="n">
        <v>6.859</v>
      </c>
      <c r="L7" t="n">
        <v>10.04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3.559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7" t="inlineStr">
        <is>
          <t>C</t>
        </is>
      </c>
      <c r="U7" t="inlineStr">
        <is>
          <t>Best New Artist won in Feb 2026, so ineligible</t>
        </is>
      </c>
    </row>
    <row r="8">
      <c r="A8" s="11" t="inlineStr">
        <is>
          <t>Taylor Swift</t>
        </is>
      </c>
      <c r="B8" t="inlineStr">
        <is>
          <t>6 #1 weeks in 2026 (3 songs); 2027 album unannounced</t>
        </is>
      </c>
      <c r="C8" t="inlineStr">
        <is>
          <t>Grammy EV 7.7</t>
        </is>
      </c>
      <c r="D8" t="n">
        <v>7.67</v>
      </c>
      <c r="I8" t="n">
        <v>14</v>
      </c>
      <c r="J8" t="n">
        <v>10</v>
      </c>
      <c r="K8" t="n">
        <v>8.943</v>
      </c>
      <c r="L8" t="n">
        <v>7.67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3.847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7" t="inlineStr">
        <is>
          <t>C</t>
        </is>
      </c>
      <c r="U8" t="inlineStr">
        <is>
          <t>Showgirl AOTY nom 82%, Fate of Ophelia ROTY nom 88.5% (Kalshi)</t>
        </is>
      </c>
    </row>
    <row r="9">
      <c r="A9" s="11" t="inlineStr">
        <is>
          <t>Bruno Mars</t>
        </is>
      </c>
      <c r="B9" t="inlineStr">
        <is>
          <t>'I Just Might' 3 wks #1 (Jan 2026); The Romantic</t>
        </is>
      </c>
      <c r="C9" t="inlineStr">
        <is>
          <t>Grammy EV 7.3</t>
        </is>
      </c>
      <c r="D9" t="n">
        <v>7.29</v>
      </c>
      <c r="I9" t="n">
        <v>10</v>
      </c>
      <c r="J9" t="n">
        <v>7</v>
      </c>
      <c r="K9" t="n">
        <v>7.444</v>
      </c>
      <c r="L9" t="n">
        <v>7.29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3.553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Harry Styles</t>
        </is>
      </c>
      <c r="B10" t="inlineStr">
        <is>
          <t>'Aperture' 1 wk #1 (Feb 2026); 'Kiss All the Time. Disco, Occasionally'</t>
        </is>
      </c>
      <c r="C10" t="inlineStr">
        <is>
          <t>Grammy EV 3.7</t>
        </is>
      </c>
      <c r="D10" t="n">
        <v>3.74</v>
      </c>
      <c r="I10" t="n">
        <v>9</v>
      </c>
      <c r="J10" t="n">
        <v>7</v>
      </c>
      <c r="K10" t="n">
        <v>6.974</v>
      </c>
      <c r="L10" t="n">
        <v>3.74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3.582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7" t="inlineStr">
        <is>
          <t>C</t>
        </is>
      </c>
      <c r="U10" t="inlineStr"/>
    </row>
    <row r="11">
      <c r="A11" s="11" t="inlineStr">
        <is>
          <t>Drake</t>
        </is>
      </c>
      <c r="B11" t="inlineStr">
        <is>
          <t>Iceman / Maid of Honour / Habibti (May 2026): 9 top-10 songs in one week</t>
        </is>
      </c>
      <c r="C11" t="inlineStr">
        <is>
          <t>Grammy EV 1.4</t>
        </is>
      </c>
      <c r="D11" t="n">
        <v>1.4</v>
      </c>
      <c r="I11" t="n">
        <v>14</v>
      </c>
      <c r="J11" t="n">
        <v>10</v>
      </c>
      <c r="K11" t="n">
        <v>8.885999999999999</v>
      </c>
      <c r="L11" t="n">
        <v>1.4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3.877</v>
      </c>
      <c r="R11" t="inlineStr">
        <is>
          <t>2027 Hot 100 baseline = my estimate; Grammy: estimate (C)</t>
        </is>
      </c>
      <c r="S11" t="inlineStr">
        <is>
          <t>2026-10-08</t>
        </is>
      </c>
      <c r="T11" s="7" t="inlineStr">
        <is>
          <t>C</t>
        </is>
      </c>
      <c r="U11" t="inlineStr">
        <is>
          <t>2027 release unconfirmed; boycotts Grammys but PartyNextDoor collab was nominated</t>
        </is>
      </c>
    </row>
    <row r="12">
      <c r="A12" s="12" t="inlineStr">
        <is>
          <t>Rosalía</t>
        </is>
      </c>
      <c r="B12" t="inlineStr">
        <is>
          <t>Lux (Grammy-driven pick; small Hot 100 profile)</t>
        </is>
      </c>
      <c r="C12" t="inlineStr">
        <is>
          <t>Grammy EV 7.0</t>
        </is>
      </c>
      <c r="D12" t="n">
        <v>7.01</v>
      </c>
      <c r="I12" t="n">
        <v>2</v>
      </c>
      <c r="J12" t="n">
        <v>2</v>
      </c>
      <c r="K12" t="n">
        <v>3.046</v>
      </c>
      <c r="L12" t="n">
        <v>7.01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1.533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BTS</t>
        </is>
      </c>
      <c r="B13" t="inlineStr">
        <is>
          <t>Arirang (2026) #1 on the Billboard 200; 'Swim' #1 (Apr 2026); world tour</t>
        </is>
      </c>
      <c r="C13" t="inlineStr">
        <is>
          <t>Grammy EV 2.6</t>
        </is>
      </c>
      <c r="D13" t="n">
        <v>2.6</v>
      </c>
      <c r="I13" t="n">
        <v>9</v>
      </c>
      <c r="J13" t="n">
        <v>8</v>
      </c>
      <c r="K13" t="n">
        <v>6.905</v>
      </c>
      <c r="L13" t="n">
        <v>2.6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3.803</v>
      </c>
      <c r="R13" t="inlineStr">
        <is>
          <t>2027 Hot 100 baseline = my estimate; Grammy: estimate (C)</t>
        </is>
      </c>
      <c r="S13" t="inlineStr">
        <is>
          <t>2026-10-08</t>
        </is>
      </c>
      <c r="T13" s="7" t="inlineStr">
        <is>
          <t>C</t>
        </is>
      </c>
      <c r="U13" t="inlineStr">
        <is>
          <t>Grammy EV is an estimate</t>
        </is>
      </c>
    </row>
    <row r="14">
      <c r="A14" s="12" t="inlineStr">
        <is>
          <t>Raye</t>
        </is>
      </c>
      <c r="B14" t="inlineStr">
        <is>
          <t>'WHERE IS MY HUSBAND!' ROTY/SOTY nominee</t>
        </is>
      </c>
      <c r="C14" t="inlineStr">
        <is>
          <t>Grammy EV 5.8</t>
        </is>
      </c>
      <c r="D14" t="n">
        <v>5.79</v>
      </c>
      <c r="I14" t="n">
        <v>3</v>
      </c>
      <c r="J14" t="n">
        <v>3</v>
      </c>
      <c r="K14" t="n">
        <v>3.613</v>
      </c>
      <c r="L14" t="n">
        <v>5.79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1.929</v>
      </c>
      <c r="R14" t="inlineStr">
        <is>
          <t>2027 Hot 100 baseline = my estimate; Grammy: Kalshi KXGRAM*-69 prices (A) + estimates for other categories (C)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Morgan Wallen</t>
        </is>
      </c>
      <c r="B15" t="inlineStr">
        <is>
          <t>No new album found</t>
        </is>
      </c>
      <c r="C15" t="inlineStr">
        <is>
          <t>Grammy EV 0.8</t>
        </is>
      </c>
      <c r="D15" t="n">
        <v>0.8</v>
      </c>
      <c r="I15" t="n">
        <v>10</v>
      </c>
      <c r="J15" t="n">
        <v>8</v>
      </c>
      <c r="K15" t="n">
        <v>7.375</v>
      </c>
      <c r="L15" t="n">
        <v>0.8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3.75</v>
      </c>
      <c r="R15" t="inlineStr">
        <is>
          <t>2027 Hot 100 baseline = my estimate; Grammy: estimate (C)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Sabrina Carpenter</t>
        </is>
      </c>
      <c r="B16" t="inlineStr">
        <is>
          <t>Man's Best Friend (Aug 2025) was last cycle; no successor found</t>
        </is>
      </c>
      <c r="C16" t="inlineStr">
        <is>
          <t>Grammy EV 1.0</t>
        </is>
      </c>
      <c r="D16" t="n">
        <v>1</v>
      </c>
      <c r="I16" t="n">
        <v>8</v>
      </c>
      <c r="J16" t="n">
        <v>7</v>
      </c>
      <c r="K16" t="n">
        <v>6.409</v>
      </c>
      <c r="L16" t="n">
        <v>1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3.58</v>
      </c>
      <c r="R16" t="inlineStr">
        <is>
          <t>2027 Hot 100 baseline = my estimate; Grammy: estimate (C)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Ariana Grande</t>
        </is>
      </c>
      <c r="B17" t="inlineStr">
        <is>
          <t>'hate that i made you love me' #1 (Jun 2026); SOTY nom 35%</t>
        </is>
      </c>
      <c r="C17" t="inlineStr">
        <is>
          <t>Grammy EV 2.6</t>
        </is>
      </c>
      <c r="D17" t="n">
        <v>2.63</v>
      </c>
      <c r="I17" t="n">
        <v>5</v>
      </c>
      <c r="J17" t="n">
        <v>5</v>
      </c>
      <c r="K17" t="n">
        <v>4.767</v>
      </c>
      <c r="L17" t="n">
        <v>2.63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2.784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Bad Bunny</t>
        </is>
      </c>
      <c r="B18" t="inlineStr">
        <is>
          <t>Won AOTY (Feb 2026); acting in The Comebacker (Jul 30, 2027)</t>
        </is>
      </c>
      <c r="C18" t="inlineStr">
        <is>
          <t>Grammy EV 1.1</t>
        </is>
      </c>
      <c r="D18" t="n">
        <v>1.1</v>
      </c>
      <c r="I18" t="n">
        <v>6</v>
      </c>
      <c r="J18" t="n">
        <v>5</v>
      </c>
      <c r="K18" t="n">
        <v>5.228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2.894</v>
      </c>
      <c r="R18" t="inlineStr">
        <is>
          <t>2027 Hot 100 baseline = my estimate; Grammy: estimate (C)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Phoebe Bridgers</t>
        </is>
      </c>
      <c r="B19" t="inlineStr">
        <is>
          <t>Lost Weekend (AOTY nominee candidate)</t>
        </is>
      </c>
      <c r="C19" t="inlineStr">
        <is>
          <t>Grammy EV 3.9</t>
        </is>
      </c>
      <c r="D19" t="n">
        <v>3.93</v>
      </c>
      <c r="I19" t="n">
        <v>0</v>
      </c>
      <c r="J19" t="n">
        <v>1</v>
      </c>
      <c r="K19" t="n">
        <v>2.277</v>
      </c>
      <c r="L19" t="n">
        <v>3.93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1.117</v>
      </c>
      <c r="R19" t="inlineStr">
        <is>
          <t>2027 Hot 100 baseline = my estimate; Grammy: Kalshi KXGRAM*-69 prices (A) + estimates for other categories (C)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Kendrick Lamar</t>
        </is>
      </c>
      <c r="B20" t="inlineStr">
        <is>
          <t>GNX cycle ended Feb 2026; nothing eligible found</t>
        </is>
      </c>
      <c r="C20" t="inlineStr">
        <is>
          <t>Grammy EV 0.9</t>
        </is>
      </c>
      <c r="D20" t="n">
        <v>0.9</v>
      </c>
      <c r="I20" t="n">
        <v>6</v>
      </c>
      <c r="J20" t="n">
        <v>5</v>
      </c>
      <c r="K20" t="n">
        <v>5.225</v>
      </c>
      <c r="L20" t="n">
        <v>0.9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2.886</v>
      </c>
      <c r="R20" t="inlineStr">
        <is>
          <t>2027 Hot 100 baseline = my estimate; Grammy: estimate (C)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The Weeknd</t>
        </is>
      </c>
      <c r="B21" t="inlineStr">
        <is>
          <t>No info found</t>
        </is>
      </c>
      <c r="C21" t="inlineStr">
        <is>
          <t>Grammy EV 0.5</t>
        </is>
      </c>
      <c r="D21" t="n">
        <v>0.5</v>
      </c>
      <c r="I21" t="n">
        <v>6</v>
      </c>
      <c r="J21" t="n">
        <v>5</v>
      </c>
      <c r="K21" t="n">
        <v>5.292</v>
      </c>
      <c r="L21" t="n">
        <v>0.5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2.918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Sienna Spiro</t>
        </is>
      </c>
      <c r="B22" t="inlineStr">
        <is>
          <t>Best New Artist candidate (nom 89.5%, win 26%)</t>
        </is>
      </c>
      <c r="C22" t="inlineStr">
        <is>
          <t>Grammy EV 3.0</t>
        </is>
      </c>
      <c r="D22" t="n">
        <v>3.01</v>
      </c>
      <c r="I22" t="n">
        <v>1</v>
      </c>
      <c r="J22" t="n">
        <v>1.5</v>
      </c>
      <c r="K22" t="n">
        <v>2.595</v>
      </c>
      <c r="L22" t="n">
        <v>3.01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1.283</v>
      </c>
      <c r="R22" t="inlineStr">
        <is>
          <t>2027 Hot 100 baseline = my estimate; Grammy: Kalshi KXGRAM*-69 prices (A) + estimates for other categories (C)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SZA</t>
        </is>
      </c>
      <c r="B23" t="inlineStr">
        <is>
          <t>Voice in CoComelon: The Movie (Feb 19, 2027) — film, not chart</t>
        </is>
      </c>
      <c r="C23" t="inlineStr">
        <is>
          <t>Grammy EV 0.5</t>
        </is>
      </c>
      <c r="D23" t="n">
        <v>0.5</v>
      </c>
      <c r="I23" t="n">
        <v>4</v>
      </c>
      <c r="J23" t="n">
        <v>4</v>
      </c>
      <c r="K23" t="n">
        <v>4.186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2.378</v>
      </c>
      <c r="R23" t="inlineStr">
        <is>
          <t>2027 Hot 100 baseline = my estimate; Grammy: estimate (C)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Beyoncé</t>
        </is>
      </c>
      <c r="B24" t="inlineStr">
        <is>
          <t>No info found</t>
        </is>
      </c>
      <c r="C24" t="inlineStr">
        <is>
          <t>Grammy EV 0.5</t>
        </is>
      </c>
      <c r="D24" t="n">
        <v>0.5</v>
      </c>
      <c r="I24" t="n">
        <v>4</v>
      </c>
      <c r="J24" t="n">
        <v>4</v>
      </c>
      <c r="K24" t="n">
        <v>4.179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2.35</v>
      </c>
      <c r="R24" t="inlineStr">
        <is>
          <t>2027 Hot 100 baseline = my estimate; Grammy: estimate (C)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Billie Eilish</t>
        </is>
      </c>
      <c r="B25" t="inlineStr">
        <is>
          <t>No info found</t>
        </is>
      </c>
      <c r="C25" t="inlineStr">
        <is>
          <t>Grammy EV 0.5</t>
        </is>
      </c>
      <c r="D25" t="n">
        <v>0.5</v>
      </c>
      <c r="I25" t="n">
        <v>4</v>
      </c>
      <c r="J25" t="n">
        <v>4</v>
      </c>
      <c r="K25" t="n">
        <v>4.169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2.364</v>
      </c>
      <c r="R25" t="inlineStr">
        <is>
          <t>2027 Hot 100 baseline = my estimate; Grammy: estimate (C)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Travis Scott</t>
        </is>
      </c>
      <c r="B26" t="inlineStr">
        <is>
          <t>No info found</t>
        </is>
      </c>
      <c r="C26" t="inlineStr">
        <is>
          <t>Grammy EV 0.3</t>
        </is>
      </c>
      <c r="D26" t="n">
        <v>0.3</v>
      </c>
      <c r="I26" t="n">
        <v>4</v>
      </c>
      <c r="J26" t="n">
        <v>4</v>
      </c>
      <c r="K26" t="n">
        <v>4.223</v>
      </c>
      <c r="L26" t="n">
        <v>0.3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2.399</v>
      </c>
      <c r="R26" t="inlineStr">
        <is>
          <t>2027 Hot 100 baseline = my estimate; Grammy: estimate (C)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Post Malone</t>
        </is>
      </c>
      <c r="B27" t="inlineStr">
        <is>
          <t>Kalshi: 17% to have a #1 in 2026</t>
        </is>
      </c>
      <c r="C27" t="inlineStr">
        <is>
          <t>Grammy EV 0.3</t>
        </is>
      </c>
      <c r="D27" t="n">
        <v>0.3</v>
      </c>
      <c r="I27" t="n">
        <v>4</v>
      </c>
      <c r="J27" t="n">
        <v>4</v>
      </c>
      <c r="K27" t="n">
        <v>4.221</v>
      </c>
      <c r="L27" t="n">
        <v>0.3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2.407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Justin Bieber</t>
        </is>
      </c>
      <c r="B28" t="inlineStr">
        <is>
          <t>No info found</t>
        </is>
      </c>
      <c r="C28" t="inlineStr">
        <is>
          <t>Grammy EV 0.3</t>
        </is>
      </c>
      <c r="D28" t="n">
        <v>0.3</v>
      </c>
      <c r="I28" t="n">
        <v>4</v>
      </c>
      <c r="J28" t="n">
        <v>4</v>
      </c>
      <c r="K28" t="n">
        <v>4.174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2.362</v>
      </c>
      <c r="R28" t="inlineStr">
        <is>
          <t>2027 Hot 100 baseline = my estimate; Grammy: estimate (C)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Tate McRae</t>
        </is>
      </c>
      <c r="B29" t="inlineStr">
        <is>
          <t>Kalshi: 16% to have a #1 in 2026</t>
        </is>
      </c>
      <c r="C29" t="inlineStr">
        <is>
          <t>Grammy EV 0.3</t>
        </is>
      </c>
      <c r="D29" t="n">
        <v>0.3</v>
      </c>
      <c r="I29" t="n">
        <v>4</v>
      </c>
      <c r="J29" t="n">
        <v>4</v>
      </c>
      <c r="K29" t="n">
        <v>4.17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2.371</v>
      </c>
      <c r="R29" t="inlineStr">
        <is>
          <t>2027 Hot 100 baseline = my estimate; Grammy: estimate (C)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Lady Gaga</t>
        </is>
      </c>
      <c r="B30" t="inlineStr">
        <is>
          <t>No info found</t>
        </is>
      </c>
      <c r="C30" t="inlineStr">
        <is>
          <t>Grammy EV 0.5</t>
        </is>
      </c>
      <c r="D30" t="n">
        <v>0.5</v>
      </c>
      <c r="I30" t="n">
        <v>3</v>
      </c>
      <c r="J30" t="n">
        <v>3</v>
      </c>
      <c r="K30" t="n">
        <v>3.557</v>
      </c>
      <c r="L30" t="n">
        <v>0.5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1.924</v>
      </c>
      <c r="R30" t="inlineStr">
        <is>
          <t>2027 Hot 100 baseline = my estimate; Grammy: estimate (C)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Zach Bryan</t>
        </is>
      </c>
      <c r="B31" t="inlineStr">
        <is>
          <t>No info found</t>
        </is>
      </c>
      <c r="C31" t="inlineStr">
        <is>
          <t>Grammy EV 0.3</t>
        </is>
      </c>
      <c r="D31" t="n">
        <v>0.3</v>
      </c>
      <c r="I31" t="n">
        <v>3</v>
      </c>
      <c r="J31" t="n">
        <v>3</v>
      </c>
      <c r="K31" t="n">
        <v>3.638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1.926</v>
      </c>
      <c r="R31" t="inlineStr">
        <is>
          <t>2027 Hot 100 baseline = my estimate; Grammy: estimate (C)</t>
        </is>
      </c>
      <c r="S31" t="inlineStr">
        <is>
          <t>2026-10-08</t>
        </is>
      </c>
      <c r="T31" s="7" t="inlineStr">
        <is>
          <t>C</t>
        </is>
      </c>
      <c r="U31" t="inlineStr"/>
    </row>
    <row r="32">
      <c r="A32" t="inlineStr">
        <is>
          <t>Chappell Roan</t>
        </is>
      </c>
      <c r="B32" t="inlineStr">
        <is>
          <t>No info found</t>
        </is>
      </c>
      <c r="C32" t="inlineStr">
        <is>
          <t>Grammy EV 0.3</t>
        </is>
      </c>
      <c r="D32" t="n">
        <v>0.3</v>
      </c>
      <c r="I32" t="n">
        <v>3</v>
      </c>
      <c r="J32" t="n">
        <v>3</v>
      </c>
      <c r="K32" t="n">
        <v>3.603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1.904</v>
      </c>
      <c r="R32" t="inlineStr">
        <is>
          <t>2027 Hot 100 baseline = my estimate; Grammy: estimate (C)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Doja Cat</t>
        </is>
      </c>
      <c r="B33" t="inlineStr">
        <is>
          <t>No info found</t>
        </is>
      </c>
      <c r="C33" t="inlineStr">
        <is>
          <t>Grammy EV 0.3</t>
        </is>
      </c>
      <c r="D33" t="n">
        <v>0.3</v>
      </c>
      <c r="I33" t="n">
        <v>3</v>
      </c>
      <c r="J33" t="n">
        <v>3</v>
      </c>
      <c r="K33" t="n">
        <v>3.595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1.928</v>
      </c>
      <c r="R33" t="inlineStr">
        <is>
          <t>2027 Hot 100 baseline = my estimate; Grammy: estimate (C)</t>
        </is>
      </c>
      <c r="S33" t="inlineStr">
        <is>
          <t>2026-10-08</t>
        </is>
      </c>
      <c r="T33" s="7" t="inlineStr">
        <is>
          <t>C</t>
        </is>
      </c>
      <c r="U33" t="inlineStr"/>
    </row>
    <row r="34">
      <c r="A34" t="inlineStr">
        <is>
          <t>Tyler, the Creator</t>
        </is>
      </c>
      <c r="B34" t="inlineStr">
        <is>
          <t>No info found</t>
        </is>
      </c>
      <c r="C34" t="inlineStr">
        <is>
          <t>Grammy EV 0.3</t>
        </is>
      </c>
      <c r="D34" t="n">
        <v>0.3</v>
      </c>
      <c r="I34" t="n">
        <v>3</v>
      </c>
      <c r="J34" t="n">
        <v>3</v>
      </c>
      <c r="K34" t="n">
        <v>3.556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1.914</v>
      </c>
      <c r="R34" t="inlineStr">
        <is>
          <t>2027 Hot 100 baseline = my estimate; Grammy: estimate (C)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Doechii</t>
        </is>
      </c>
      <c r="B35" t="inlineStr">
        <is>
          <t>No info found</t>
        </is>
      </c>
      <c r="C35" t="inlineStr">
        <is>
          <t>Grammy EV 0.3</t>
        </is>
      </c>
      <c r="D35" t="n">
        <v>0.3</v>
      </c>
      <c r="I35" t="n">
        <v>2</v>
      </c>
      <c r="J35" t="n">
        <v>3</v>
      </c>
      <c r="K35" t="n">
        <v>3.163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1.788</v>
      </c>
      <c r="R35" t="inlineStr">
        <is>
          <t>2027 Hot 100 baseline = my estimate; Grammy: estimate (C)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7">
      <c r="A37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IMF 2027 fcst %</t>
        </is>
      </c>
      <c r="E4" s="10" t="inlineStr">
        <is>
          <t>p(top 3)</t>
        </is>
      </c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Rwanda</t>
        </is>
      </c>
      <c r="B5" t="inlineStr">
        <is>
          <t>Stable; low forecast error</t>
        </is>
      </c>
      <c r="E5" t="n">
        <v>0.05</v>
      </c>
      <c r="I5" t="n">
        <v>7</v>
      </c>
      <c r="J5" t="n">
        <v>1.5</v>
      </c>
      <c r="K5" t="n">
        <v>8.709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2.932</v>
      </c>
      <c r="R5" t="inlineStr">
        <is>
          <t>prior from IMF Jul-2026 update + regional outlooks; NO country-level 2027 table retrieved (IMF API blocked) — replace with the Oct 13 WEO</t>
        </is>
      </c>
      <c r="S5" t="inlineStr">
        <is>
          <t>2026-10-08</t>
        </is>
      </c>
      <c r="T5" t="inlineStr">
        <is>
          <t>B</t>
        </is>
      </c>
      <c r="U5" t="inlineStr"/>
    </row>
    <row r="6">
      <c r="A6" s="7" t="inlineStr">
        <is>
          <t>India</t>
        </is>
      </c>
      <c r="B6" t="inlineStr">
        <is>
          <t>IMF Jul 2026: FY27 6.4%, FY28 6.7% (fiscal-year basis)</t>
        </is>
      </c>
      <c r="D6" t="n">
        <v>6.5</v>
      </c>
      <c r="E6" t="n">
        <v>0.1</v>
      </c>
      <c r="I6" t="n">
        <v>6.5</v>
      </c>
      <c r="J6" t="n">
        <v>0.8</v>
      </c>
      <c r="K6" t="n">
        <v>7.899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2.311</v>
      </c>
      <c r="R6" t="inlineStr">
        <is>
          <t>prior from IMF Jul-2026 update + regional outlooks; NO country-level 2027 table retrieved (IMF API blocked) — replace with the Oct 13 WEO</t>
        </is>
      </c>
      <c r="S6" t="inlineStr">
        <is>
          <t>2026-10-08</t>
        </is>
      </c>
      <c r="T6" t="inlineStr">
        <is>
          <t>A</t>
        </is>
      </c>
      <c r="U6" t="inlineStr"/>
    </row>
    <row r="7">
      <c r="A7" s="7" t="inlineStr">
        <is>
          <t>Ethiopia</t>
        </is>
      </c>
      <c r="B7" t="inlineStr">
        <is>
          <t>IMF projections not reported (debt restructuring) — an n/a forecast is a scoring risk</t>
        </is>
      </c>
      <c r="E7" t="n">
        <v>0.05</v>
      </c>
      <c r="I7" t="n">
        <v>6.5</v>
      </c>
      <c r="J7" t="n">
        <v>3</v>
      </c>
      <c r="K7" t="n">
        <v>7.495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4.116</v>
      </c>
      <c r="R7" t="inlineStr">
        <is>
          <t>prior from IMF Jul-2026 update + regional outlooks; NO country-level 2027 table retrieved (IMF API blocked) — replace with the Oct 13 WEO</t>
        </is>
      </c>
      <c r="S7" t="inlineStr">
        <is>
          <t>2026-10-08</t>
        </is>
      </c>
      <c r="T7" t="inlineStr">
        <is>
          <t>B</t>
        </is>
      </c>
      <c r="U7" t="inlineStr"/>
    </row>
    <row r="8">
      <c r="A8" s="11" t="inlineStr">
        <is>
          <t>Guinea</t>
        </is>
      </c>
      <c r="B8" t="inlineStr">
        <is>
          <t>Simandou iron-ore ramp</t>
        </is>
      </c>
      <c r="E8" t="n">
        <v>0.06</v>
      </c>
      <c r="I8" t="n">
        <v>6.5</v>
      </c>
      <c r="J8" t="n">
        <v>4</v>
      </c>
      <c r="K8" t="n">
        <v>7.297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4.493</v>
      </c>
      <c r="R8" t="inlineStr">
        <is>
          <t>prior from IMF Jul-2026 update + regional outlooks; NO country-level 2027 table retrieved (IMF API blocked) — replace with the Oct 13 WEO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Niger</t>
        </is>
      </c>
      <c r="B9" t="inlineStr">
        <is>
          <t>Oil pipeline; junta/security risk</t>
        </is>
      </c>
      <c r="E9" t="n">
        <v>0.1</v>
      </c>
      <c r="I9" t="n">
        <v>6</v>
      </c>
      <c r="J9" t="n">
        <v>5</v>
      </c>
      <c r="K9" t="n">
        <v>6.946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4.722</v>
      </c>
      <c r="R9" t="inlineStr">
        <is>
          <t>prior from IMF Jul-2026 update + regional outlooks; NO country-level 2027 table retrieved (IMF API blocked) — replace with the Oct 13 WEO</t>
        </is>
      </c>
      <c r="S9" t="inlineStr">
        <is>
          <t>2026-10-08</t>
        </is>
      </c>
      <c r="T9" t="inlineStr">
        <is>
          <t>B</t>
        </is>
      </c>
      <c r="U9" t="inlineStr">
        <is>
          <t>2026 = 6.7% (Forbes Africa, Apr 2026)</t>
        </is>
      </c>
    </row>
    <row r="10">
      <c r="A10" s="11" t="inlineStr">
        <is>
          <t>South Sudan</t>
        </is>
      </c>
      <c r="B10" t="inlineStr">
        <is>
          <t>Oil-pipeline dependent; 2026 printed 22%+ vs forecast ~4.5%</t>
        </is>
      </c>
      <c r="E10" t="n">
        <v>0.2</v>
      </c>
      <c r="I10" t="n">
        <v>6</v>
      </c>
      <c r="J10" t="n">
        <v>14</v>
      </c>
      <c r="K10" t="n">
        <v>6.926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5.585</v>
      </c>
      <c r="R10" t="inlineStr">
        <is>
          <t>prior from IMF Jul-2026 update + regional outlooks; NO country-level 2027 table retrieved (IMF API blocked) — replace with the Oct 13 WEO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Sources conflict on 2026 (46% vs 4%)</t>
        </is>
      </c>
    </row>
    <row r="11">
      <c r="A11" s="11" t="inlineStr">
        <is>
          <t>Senegal</t>
        </is>
      </c>
      <c r="B11" t="inlineStr">
        <is>
          <t>Hydrocarbons; hidden-debt program risk</t>
        </is>
      </c>
      <c r="E11" t="n">
        <v>0.06</v>
      </c>
      <c r="I11" t="n">
        <v>6</v>
      </c>
      <c r="J11" t="n">
        <v>3.5</v>
      </c>
      <c r="K11" t="n">
        <v>6.826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4.304</v>
      </c>
      <c r="R11" t="inlineStr">
        <is>
          <t>prior from IMF Jul-2026 update + regional outlooks; NO country-level 2027 table retrieved (IMF API blocked) — replace with the Oct 13 WEO</t>
        </is>
      </c>
      <c r="S11" t="inlineStr">
        <is>
          <t>2026-10-08</t>
        </is>
      </c>
      <c r="T11" t="inlineStr">
        <is>
          <t>B</t>
        </is>
      </c>
      <c r="U11" t="inlineStr"/>
    </row>
    <row r="12">
      <c r="A12" s="12" t="inlineStr">
        <is>
          <t>Bhutan</t>
        </is>
      </c>
      <c r="B12" t="inlineStr">
        <is>
          <t>Hydropower</t>
        </is>
      </c>
      <c r="E12" t="n">
        <v>0.04</v>
      </c>
      <c r="I12" t="n">
        <v>6</v>
      </c>
      <c r="J12" t="n">
        <v>2</v>
      </c>
      <c r="K12" t="n">
        <v>6.739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3.58</v>
      </c>
      <c r="R12" t="inlineStr">
        <is>
          <t>prior from IMF Jul-2026 update + regional outlooks; NO country-level 2027 table retrieved (IMF API blocked) — replace with the Oct 13 WEO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Uganda</t>
        </is>
      </c>
      <c r="B13" t="inlineStr">
        <is>
          <t>Oil start-up 2026-27</t>
        </is>
      </c>
      <c r="E13" t="n">
        <v>0.04</v>
      </c>
      <c r="I13" t="n">
        <v>6</v>
      </c>
      <c r="J13" t="n">
        <v>1.5</v>
      </c>
      <c r="K13" t="n">
        <v>6.699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3.159</v>
      </c>
      <c r="R13" t="inlineStr">
        <is>
          <t>prior from IMF Jul-2026 update + regional outlooks; NO country-level 2027 table retrieved (IMF API blocked) — replace with the Oct 13 WEO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Tanzania</t>
        </is>
      </c>
      <c r="B14" t="inlineStr">
        <is>
          <t>Stable</t>
        </is>
      </c>
      <c r="E14" t="n">
        <v>0.04</v>
      </c>
      <c r="I14" t="n">
        <v>6</v>
      </c>
      <c r="J14" t="n">
        <v>1.2</v>
      </c>
      <c r="K14" t="n">
        <v>6.684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2.865</v>
      </c>
      <c r="R14" t="inlineStr">
        <is>
          <t>prior from IMF Jul-2026 update + regional outlooks; NO country-level 2027 table retrieved (IMF API blocked) — replace with the Oct 13 WEO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Côte d'Ivoire</t>
        </is>
      </c>
      <c r="B15" t="inlineStr">
        <is>
          <t>Stable</t>
        </is>
      </c>
      <c r="E15" t="n">
        <v>0.04</v>
      </c>
      <c r="I15" t="n">
        <v>6</v>
      </c>
      <c r="J15" t="n">
        <v>1.2</v>
      </c>
      <c r="K15" t="n">
        <v>6.681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2.837</v>
      </c>
      <c r="R15" t="inlineStr">
        <is>
          <t>prior from IMF Jul-2026 update + regional outlooks; NO country-level 2027 table retrieved (IMF API blocked) — replace with the Oct 13 WEO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Vietnam</t>
        </is>
      </c>
      <c r="B16" t="inlineStr"/>
      <c r="E16" t="n">
        <v>0.03</v>
      </c>
      <c r="I16" t="n">
        <v>6</v>
      </c>
      <c r="J16" t="n">
        <v>1</v>
      </c>
      <c r="K16" t="n">
        <v>6.662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2.614</v>
      </c>
      <c r="R16" t="inlineStr">
        <is>
          <t>prior from IMF Jul-2026 update + regional outlooks; NO country-level 2027 table retrieved (IMF API blocked) — replace with the Oct 13 WEO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Libya</t>
        </is>
      </c>
      <c r="B17" t="inlineStr">
        <is>
          <t>Oil-output swings; conflict risk</t>
        </is>
      </c>
      <c r="E17" t="n">
        <v>0.08</v>
      </c>
      <c r="I17" t="n">
        <v>5</v>
      </c>
      <c r="J17" t="n">
        <v>9</v>
      </c>
      <c r="K17" t="n">
        <v>6.383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5.055</v>
      </c>
      <c r="R17" t="inlineStr">
        <is>
          <t>prior from IMF Jul-2026 update + regional outlooks; NO country-level 2027 table retrieved (IMF API blocked) — replace with the Oct 13 WEO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Syria</t>
        </is>
      </c>
      <c r="B18" t="inlineStr">
        <is>
          <t>Post-conflict rebound from a tiny base; poor data</t>
        </is>
      </c>
      <c r="E18" t="n">
        <v>0.1</v>
      </c>
      <c r="I18" t="n">
        <v>5</v>
      </c>
      <c r="J18" t="n">
        <v>8</v>
      </c>
      <c r="K18" t="n">
        <v>6.38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5.014</v>
      </c>
      <c r="R18" t="inlineStr">
        <is>
          <t>prior from IMF Jul-2026 update + regional outlooks; NO country-level 2027 table retrieved (IMF API blocked) — replace with the Oct 13 WEO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Gaza / West Bank</t>
        </is>
      </c>
      <c r="B19" t="inlineStr">
        <is>
          <t>Rebound lottery; data quality poor</t>
        </is>
      </c>
      <c r="E19" t="n">
        <v>0.04</v>
      </c>
      <c r="I19" t="n">
        <v>4</v>
      </c>
      <c r="J19" t="n">
        <v>10</v>
      </c>
      <c r="K19" t="n">
        <v>6.036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5.087</v>
      </c>
      <c r="R19" t="inlineStr">
        <is>
          <t>prior from IMF Jul-2026 update + regional outlooks; NO country-level 2027 table retrieved (IMF API blocked) — replace with the Oct 13 WEO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Venezuela</t>
        </is>
      </c>
      <c r="B20" t="inlineStr">
        <is>
          <t>Political transition / oil; IMF data often missing</t>
        </is>
      </c>
      <c r="E20" t="n">
        <v>0.08</v>
      </c>
      <c r="I20" t="n">
        <v>4</v>
      </c>
      <c r="J20" t="n">
        <v>9</v>
      </c>
      <c r="K20" t="n">
        <v>5.919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5.03</v>
      </c>
      <c r="R20" t="inlineStr">
        <is>
          <t>prior from IMF Jul-2026 update + regional outlooks; NO country-level 2027 table retrieved (IMF API blocked) — replace with the Oct 13 WEO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Sudan</t>
        </is>
      </c>
      <c r="B21" t="inlineStr">
        <is>
          <t>Post-war rebound only with a ceasefire</t>
        </is>
      </c>
      <c r="E21" t="n">
        <v>0.06</v>
      </c>
      <c r="I21" t="n">
        <v>4</v>
      </c>
      <c r="J21" t="n">
        <v>9</v>
      </c>
      <c r="K21" t="n">
        <v>5.833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4.983</v>
      </c>
      <c r="R21" t="inlineStr">
        <is>
          <t>prior from IMF Jul-2026 update + regional outlooks; NO country-level 2027 table retrieved (IMF API blocked) — replace with the Oct 13 WEO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Guyana</t>
        </is>
      </c>
      <c r="B22" t="inlineStr">
        <is>
          <t>Oil ramp maturing; growth fading from 20%+ years</t>
        </is>
      </c>
      <c r="E22" t="n">
        <v>0.12</v>
      </c>
      <c r="I22" t="n">
        <v>4</v>
      </c>
      <c r="J22" t="n">
        <v>8</v>
      </c>
      <c r="K22" t="n">
        <v>5.814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4.879</v>
      </c>
      <c r="R22" t="inlineStr">
        <is>
          <t>prior from IMF Jul-2026 update + regional outlooks; NO country-level 2027 table retrieved (IMF API blocked) — replace with the Oct 13 WEO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Uzbekistan</t>
        </is>
      </c>
      <c r="B23" t="inlineStr"/>
      <c r="E23" t="n">
        <v>0.02</v>
      </c>
      <c r="I23" t="n">
        <v>5.5</v>
      </c>
      <c r="J23" t="n">
        <v>1.2</v>
      </c>
      <c r="K23" t="n">
        <v>5.577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2.739</v>
      </c>
      <c r="R23" t="inlineStr">
        <is>
          <t>prior from IMF Jul-2026 update + regional outlooks; NO country-level 2027 table retrieved (IMF API blocked) — replace with the Oct 13 WEO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Philippines</t>
        </is>
      </c>
      <c r="B24" t="inlineStr"/>
      <c r="E24" t="n">
        <v>0.02</v>
      </c>
      <c r="I24" t="n">
        <v>5.5</v>
      </c>
      <c r="J24" t="n">
        <v>1</v>
      </c>
      <c r="K24" t="n">
        <v>5.506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2.498</v>
      </c>
      <c r="R24" t="inlineStr">
        <is>
          <t>prior from IMF Jul-2026 update + regional outlooks; NO country-level 2027 table retrieved (IMF API blocked) — replace with the Oct 13 WEO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5">
      <c r="A25" t="inlineStr">
        <is>
          <t>Lebanon</t>
        </is>
      </c>
      <c r="B25" t="inlineStr">
        <is>
          <t>Rebound lottery</t>
        </is>
      </c>
      <c r="E25" t="n">
        <v>0.03</v>
      </c>
      <c r="I25" t="n">
        <v>4</v>
      </c>
      <c r="J25" t="n">
        <v>6</v>
      </c>
      <c r="K25" t="n">
        <v>5.393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4.55</v>
      </c>
      <c r="R25" t="inlineStr">
        <is>
          <t>prior from IMF Jul-2026 update + regional outlooks; NO country-level 2027 table retrieved (IMF API blocked) — replace with the Oct 13 WEO</t>
        </is>
      </c>
      <c r="S25" t="inlineStr">
        <is>
          <t>2026-10-08</t>
        </is>
      </c>
      <c r="T25" s="7" t="inlineStr">
        <is>
          <t>C</t>
        </is>
      </c>
      <c r="U25" t="inlineStr"/>
    </row>
    <row r="26">
      <c r="A26" t="inlineStr">
        <is>
          <t>Ukraine</t>
        </is>
      </c>
      <c r="B26" t="inlineStr">
        <is>
          <t>Rebound lottery if ceasefire holds</t>
        </is>
      </c>
      <c r="E26" t="n">
        <v>0.04</v>
      </c>
      <c r="I26" t="n">
        <v>3.5</v>
      </c>
      <c r="J26" t="n">
        <v>6</v>
      </c>
      <c r="K26" t="n">
        <v>5.174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4.5</v>
      </c>
      <c r="R26" t="inlineStr">
        <is>
          <t>prior from IMF Jul-2026 update + regional outlooks; NO country-level 2027 table retrieved (IMF API blocked) — replace with the Oct 13 WEO</t>
        </is>
      </c>
      <c r="S26" t="inlineStr">
        <is>
          <t>2026-10-08</t>
        </is>
      </c>
      <c r="T26" s="7" t="inlineStr">
        <is>
          <t>C</t>
        </is>
      </c>
      <c r="U26" t="inlineStr"/>
    </row>
    <row r="27">
      <c r="A27" t="inlineStr">
        <is>
          <t>Mongolia</t>
        </is>
      </c>
      <c r="B27" t="inlineStr">
        <is>
          <t>Mining</t>
        </is>
      </c>
      <c r="E27" t="n">
        <v>0.03</v>
      </c>
      <c r="I27" t="n">
        <v>4.5</v>
      </c>
      <c r="J27" t="n">
        <v>3</v>
      </c>
      <c r="K27" t="n">
        <v>4.993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3.71</v>
      </c>
      <c r="R27" t="inlineStr">
        <is>
          <t>prior from IMF Jul-2026 update + regional outlooks; NO country-level 2027 table retrieved (IMF API blocked) — replace with the Oct 13 WEO</t>
        </is>
      </c>
      <c r="S27" t="inlineStr">
        <is>
          <t>2026-10-08</t>
        </is>
      </c>
      <c r="T27" s="7" t="inlineStr">
        <is>
          <t>C</t>
        </is>
      </c>
      <c r="U27" t="inlineStr"/>
    </row>
    <row r="28">
      <c r="A28" t="inlineStr">
        <is>
          <t>Bangladesh</t>
        </is>
      </c>
      <c r="B28" t="inlineStr"/>
      <c r="E28" t="n">
        <v>0.02</v>
      </c>
      <c r="I28" t="n">
        <v>5</v>
      </c>
      <c r="J28" t="n">
        <v>1.5</v>
      </c>
      <c r="K28" t="n">
        <v>4.895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2.803</v>
      </c>
      <c r="R28" t="inlineStr">
        <is>
          <t>prior from IMF Jul-2026 update + regional outlooks; NO country-level 2027 table retrieved (IMF API blocked) — replace with the Oct 13 WEO</t>
        </is>
      </c>
      <c r="S28" t="inlineStr">
        <is>
          <t>2026-10-08</t>
        </is>
      </c>
      <c r="T28" s="7" t="inlineStr">
        <is>
          <t>C</t>
        </is>
      </c>
      <c r="U28" t="inlineStr"/>
    </row>
    <row r="29">
      <c r="A29" t="inlineStr">
        <is>
          <t>Argentina</t>
        </is>
      </c>
      <c r="B29" t="inlineStr">
        <is>
          <t>Reform-driven; high uncertainty</t>
        </is>
      </c>
      <c r="E29" t="n">
        <v>0.02</v>
      </c>
      <c r="I29" t="n">
        <v>3.5</v>
      </c>
      <c r="J29" t="n">
        <v>4.5</v>
      </c>
      <c r="K29" t="n">
        <v>4.758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4.081</v>
      </c>
      <c r="R29" t="inlineStr">
        <is>
          <t>prior from IMF Jul-2026 update + regional outlooks; NO country-level 2027 table retrieved (IMF API blocked) — replace with the Oct 13 WEO</t>
        </is>
      </c>
      <c r="S29" t="inlineStr">
        <is>
          <t>2026-10-08</t>
        </is>
      </c>
      <c r="T29" s="7" t="inlineStr">
        <is>
          <t>C</t>
        </is>
      </c>
      <c r="U29" t="inlineStr"/>
    </row>
    <row r="30">
      <c r="A30" t="inlineStr">
        <is>
          <t>Armenia</t>
        </is>
      </c>
      <c r="B30" t="inlineStr"/>
      <c r="E30" t="n">
        <v>0.02</v>
      </c>
      <c r="I30" t="n">
        <v>4.5</v>
      </c>
      <c r="J30" t="n">
        <v>2.5</v>
      </c>
      <c r="K30" t="n">
        <v>4.747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3.392</v>
      </c>
      <c r="R30" t="inlineStr">
        <is>
          <t>prior from IMF Jul-2026 update + regional outlooks; NO country-level 2027 table retrieved (IMF API blocked) — replace with the Oct 13 WEO</t>
        </is>
      </c>
      <c r="S30" t="inlineStr">
        <is>
          <t>2026-10-08</t>
        </is>
      </c>
      <c r="T30" s="7" t="inlineStr">
        <is>
          <t>C</t>
        </is>
      </c>
      <c r="U30" t="inlineStr"/>
    </row>
    <row r="31">
      <c r="A31" t="inlineStr">
        <is>
          <t>China</t>
        </is>
      </c>
      <c r="B31" t="inlineStr">
        <is>
          <t>IMF Jul 2026: 2027 = 4.2%</t>
        </is>
      </c>
      <c r="D31" t="n">
        <v>4.2</v>
      </c>
      <c r="E31" t="n">
        <v>0.01</v>
      </c>
      <c r="I31" t="n">
        <v>4.2</v>
      </c>
      <c r="J31" t="n">
        <v>0.8</v>
      </c>
      <c r="K31" t="n">
        <v>3.378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1.581</v>
      </c>
      <c r="R31" t="inlineStr">
        <is>
          <t>prior from IMF Jul-2026 update + regional outlooks; NO country-level 2027 table retrieved (IMF API blocked) — replace with the Oct 13 WEO</t>
        </is>
      </c>
      <c r="S31" t="inlineStr">
        <is>
          <t>2026-10-08</t>
        </is>
      </c>
      <c r="T31" t="inlineStr">
        <is>
          <t>A</t>
        </is>
      </c>
      <c r="U31" t="inlineStr"/>
    </row>
    <row r="32">
      <c r="A32" t="inlineStr">
        <is>
          <t>Brazil</t>
        </is>
      </c>
      <c r="B32" t="inlineStr"/>
      <c r="E32" t="n">
        <v>0</v>
      </c>
      <c r="I32" t="n">
        <v>2</v>
      </c>
      <c r="J32" t="n">
        <v>1.5</v>
      </c>
      <c r="K32" t="n">
        <v>2.155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1.165</v>
      </c>
      <c r="R32" t="inlineStr">
        <is>
          <t>prior from IMF Jul-2026 update + regional outlooks; NO country-level 2027 table retrieved (IMF API blocked) — replace with the Oct 13 WEO</t>
        </is>
      </c>
      <c r="S32" t="inlineStr">
        <is>
          <t>2026-10-08</t>
        </is>
      </c>
      <c r="T32" s="7" t="inlineStr">
        <is>
          <t>C</t>
        </is>
      </c>
      <c r="U32" t="inlineStr"/>
    </row>
    <row r="33">
      <c r="A33" t="inlineStr">
        <is>
          <t>United States</t>
        </is>
      </c>
      <c r="B33" t="inlineStr">
        <is>
          <t>IMF Jul 2026: 2.2%</t>
        </is>
      </c>
      <c r="D33" t="n">
        <v>2.2</v>
      </c>
      <c r="E33" t="n">
        <v>0</v>
      </c>
      <c r="I33" t="n">
        <v>2.2</v>
      </c>
      <c r="J33" t="n">
        <v>1</v>
      </c>
      <c r="K33" t="n">
        <v>2.103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0.983</v>
      </c>
      <c r="R33" t="inlineStr">
        <is>
          <t>prior from IMF Jul-2026 update + regional outlooks; NO country-level 2027 table retrieved (IMF API blocked) — replace with the Oct 13 WEO</t>
        </is>
      </c>
      <c r="S33" t="inlineStr">
        <is>
          <t>2026-10-08</t>
        </is>
      </c>
      <c r="T33" t="inlineStr">
        <is>
          <t>A</t>
        </is>
      </c>
      <c r="U33" t="inlineStr"/>
    </row>
    <row r="34">
      <c r="A34" t="inlineStr">
        <is>
          <t>Spain</t>
        </is>
      </c>
      <c r="B34" t="inlineStr">
        <is>
          <t>Strong large economy</t>
        </is>
      </c>
      <c r="E34" t="n">
        <v>0</v>
      </c>
      <c r="I34" t="n">
        <v>2</v>
      </c>
      <c r="J34" t="n">
        <v>0.8</v>
      </c>
      <c r="K34" t="n">
        <v>1.995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0.891</v>
      </c>
      <c r="R34" t="inlineStr">
        <is>
          <t>prior from IMF Jul-2026 update + regional outlooks; NO country-level 2027 table retrieved (IMF API blocked) — replace with the Oct 13 WEO</t>
        </is>
      </c>
      <c r="S34" t="inlineStr">
        <is>
          <t>2026-10-08</t>
        </is>
      </c>
      <c r="T34" s="7" t="inlineStr">
        <is>
          <t>C</t>
        </is>
      </c>
      <c r="U34" t="inlineStr"/>
    </row>
    <row r="35">
      <c r="A35" t="inlineStr">
        <is>
          <t>Canada</t>
        </is>
      </c>
      <c r="B35" t="inlineStr"/>
      <c r="E35" t="n">
        <v>0</v>
      </c>
      <c r="I35" t="n">
        <v>1.8</v>
      </c>
      <c r="J35" t="n">
        <v>0.7</v>
      </c>
      <c r="K35" t="n">
        <v>1.949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0.865</v>
      </c>
      <c r="R35" t="inlineStr">
        <is>
          <t>prior from IMF Jul-2026 update + regional outlooks; NO country-level 2027 table retrieved (IMF API blocked) — replace with the Oct 13 WEO</t>
        </is>
      </c>
      <c r="S35" t="inlineStr">
        <is>
          <t>2026-10-08</t>
        </is>
      </c>
      <c r="T35" s="7" t="inlineStr">
        <is>
          <t>C</t>
        </is>
      </c>
      <c r="U35" t="inlineStr"/>
    </row>
    <row r="36">
      <c r="A36" t="inlineStr">
        <is>
          <t>Norway</t>
        </is>
      </c>
      <c r="B36" t="inlineStr"/>
      <c r="E36" t="n">
        <v>0</v>
      </c>
      <c r="I36" t="n">
        <v>1.7</v>
      </c>
      <c r="J36" t="n">
        <v>1</v>
      </c>
      <c r="K36" t="n">
        <v>1.933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0.889</v>
      </c>
      <c r="R36" t="inlineStr">
        <is>
          <t>prior from IMF Jul-2026 update + regional outlooks; NO country-level 2027 table retrieved (IMF API blocked) — replace with the Oct 13 WEO</t>
        </is>
      </c>
      <c r="S36" t="inlineStr">
        <is>
          <t>2026-10-08</t>
        </is>
      </c>
      <c r="T36" s="7" t="inlineStr">
        <is>
          <t>C</t>
        </is>
      </c>
      <c r="U36" t="inlineStr"/>
    </row>
    <row r="37">
      <c r="A37" t="inlineStr">
        <is>
          <t>Netherlands</t>
        </is>
      </c>
      <c r="B37" t="inlineStr"/>
      <c r="E37" t="n">
        <v>0</v>
      </c>
      <c r="I37" t="n">
        <v>1.5</v>
      </c>
      <c r="J37" t="n">
        <v>0.8</v>
      </c>
      <c r="K37" t="n">
        <v>1.871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0.842</v>
      </c>
      <c r="R37" t="inlineStr">
        <is>
          <t>prior from IMF Jul-2026 update + regional outlooks; NO country-level 2027 table retrieved (IMF API blocked) — replace with the Oct 13 WEO</t>
        </is>
      </c>
      <c r="S37" t="inlineStr">
        <is>
          <t>2026-10-08</t>
        </is>
      </c>
      <c r="T37" s="7" t="inlineStr">
        <is>
          <t>C</t>
        </is>
      </c>
      <c r="U37" t="inlineStr"/>
    </row>
    <row r="38">
      <c r="A38" t="inlineStr">
        <is>
          <t>Switzerland</t>
        </is>
      </c>
      <c r="B38" t="inlineStr"/>
      <c r="E38" t="n">
        <v>0</v>
      </c>
      <c r="I38" t="n">
        <v>1.5</v>
      </c>
      <c r="J38" t="n">
        <v>0.6</v>
      </c>
      <c r="K38" t="n">
        <v>1.849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0.819</v>
      </c>
      <c r="R38" t="inlineStr">
        <is>
          <t>prior from IMF Jul-2026 update + regional outlooks; NO country-level 2027 table retrieved (IMF API blocked) — replace with the Oct 13 WEO</t>
        </is>
      </c>
      <c r="S38" t="inlineStr">
        <is>
          <t>2026-10-08</t>
        </is>
      </c>
      <c r="T38" s="7" t="inlineStr">
        <is>
          <t>C</t>
        </is>
      </c>
      <c r="U38" t="inlineStr"/>
    </row>
    <row r="39">
      <c r="A39" t="inlineStr">
        <is>
          <t>Euro area</t>
        </is>
      </c>
      <c r="B39" t="inlineStr">
        <is>
          <t>IMF Jul 2026: 1.2% (comparator)</t>
        </is>
      </c>
      <c r="D39" t="n">
        <v>1.2</v>
      </c>
      <c r="E39" t="n">
        <v>0</v>
      </c>
      <c r="I39" t="n">
        <v>1.2</v>
      </c>
      <c r="J39" t="n">
        <v>0.8</v>
      </c>
      <c r="K39" t="n">
        <v>1.799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0.796</v>
      </c>
      <c r="R39" t="inlineStr">
        <is>
          <t>prior from IMF Jul-2026 update + regional outlooks; NO country-level 2027 table retrieved (IMF API blocked) — replace with the Oct 13 WEO</t>
        </is>
      </c>
      <c r="S39" t="inlineStr">
        <is>
          <t>2026-10-08</t>
        </is>
      </c>
      <c r="T39" t="inlineStr">
        <is>
          <t>A</t>
        </is>
      </c>
      <c r="U39" t="inlineStr"/>
    </row>
    <row r="40">
      <c r="A40" t="inlineStr">
        <is>
          <t>Germany</t>
        </is>
      </c>
      <c r="B40" t="inlineStr"/>
      <c r="E40" t="n">
        <v>0</v>
      </c>
      <c r="I40" t="n">
        <v>1</v>
      </c>
      <c r="J40" t="n">
        <v>0.9</v>
      </c>
      <c r="K40" t="n">
        <v>1.763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0.778</v>
      </c>
      <c r="R40" t="inlineStr">
        <is>
          <t>prior from IMF Jul-2026 update + regional outlooks; NO country-level 2027 table retrieved (IMF API blocked) — replace with the Oct 13 WEO</t>
        </is>
      </c>
      <c r="S40" t="inlineStr">
        <is>
          <t>2026-10-08</t>
        </is>
      </c>
      <c r="T40" s="7" t="inlineStr">
        <is>
          <t>C</t>
        </is>
      </c>
      <c r="U40" t="inlineStr"/>
    </row>
    <row r="41">
      <c r="A41" t="inlineStr">
        <is>
          <t>France</t>
        </is>
      </c>
      <c r="B41" t="inlineStr"/>
      <c r="E41" t="n">
        <v>0</v>
      </c>
      <c r="I41" t="n">
        <v>1.1</v>
      </c>
      <c r="J41" t="n">
        <v>0.7</v>
      </c>
      <c r="K41" t="n">
        <v>1.738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0.76</v>
      </c>
      <c r="R41" t="inlineStr">
        <is>
          <t>prior from IMF Jul-2026 update + regional outlooks; NO country-level 2027 table retrieved (IMF API blocked) — replace with the Oct 13 WEO</t>
        </is>
      </c>
      <c r="S41" t="inlineStr">
        <is>
          <t>2026-10-08</t>
        </is>
      </c>
      <c r="T41" s="7" t="inlineStr">
        <is>
          <t>C</t>
        </is>
      </c>
      <c r="U41" t="inlineStr"/>
    </row>
    <row r="43">
      <c r="A43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40" customWidth="1" min="21" max="21"/>
  </cols>
  <sheetData>
    <row r="1">
      <c r="A1" s="9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10" t="inlineStr">
        <is>
          <t>Candidate</t>
        </is>
      </c>
      <c r="B4" s="10" t="inlineStr">
        <is>
          <t>Detail</t>
        </is>
      </c>
      <c r="C4" s="10" t="inlineStr">
        <is>
          <t>Odds / price</t>
        </is>
      </c>
      <c r="D4" s="10" t="inlineStr">
        <is>
          <t>Direction</t>
        </is>
      </c>
      <c r="E4" s="10" t="inlineStr"/>
      <c r="F4" s="10" t="inlineStr"/>
      <c r="G4" s="10" t="inlineStr"/>
      <c r="H4" s="10" t="inlineStr"/>
      <c r="I4" s="10" t="inlineStr">
        <is>
          <t>mu</t>
        </is>
      </c>
      <c r="J4" s="10" t="inlineStr">
        <is>
          <t>sd</t>
        </is>
      </c>
      <c r="K4" s="10" t="inlineStr">
        <is>
          <t>E[rank pts] (MC)</t>
        </is>
      </c>
      <c r="L4" s="10" t="inlineStr">
        <is>
          <t>E[bonus]</t>
        </is>
      </c>
      <c r="M4" s="10" t="inlineStr">
        <is>
          <t>E[total]</t>
        </is>
      </c>
      <c r="N4" s="10" t="inlineStr">
        <is>
          <t>VOR</t>
        </is>
      </c>
      <c r="O4" s="10" t="inlineStr">
        <is>
          <t>Risk-adj VOR</t>
        </is>
      </c>
      <c r="P4" s="10" t="inlineStr">
        <is>
          <t>Tier</t>
        </is>
      </c>
      <c r="Q4" s="10" t="inlineStr">
        <is>
          <t>SD rank pts</t>
        </is>
      </c>
      <c r="R4" s="10" t="inlineStr">
        <is>
          <t>Source</t>
        </is>
      </c>
      <c r="S4" s="10" t="inlineStr">
        <is>
          <t>As of</t>
        </is>
      </c>
      <c r="T4" s="10" t="inlineStr">
        <is>
          <t>Conf</t>
        </is>
      </c>
      <c r="U4" s="10" t="inlineStr">
        <is>
          <t>Notes</t>
        </is>
      </c>
    </row>
    <row r="5">
      <c r="A5" s="7" t="inlineStr">
        <is>
          <t>RKLB (Long)</t>
        </is>
      </c>
      <c r="B5" t="inlineStr">
        <is>
          <t>Neutron first launch</t>
        </is>
      </c>
      <c r="D5" t="inlineStr">
        <is>
          <t>Long</t>
        </is>
      </c>
      <c r="I5" t="n">
        <v>20</v>
      </c>
      <c r="J5" t="n">
        <v>80</v>
      </c>
      <c r="K5" t="n">
        <v>7.315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4.028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7" t="inlineStr">
        <is>
          <t>C</t>
        </is>
      </c>
      <c r="U5" t="inlineStr"/>
    </row>
    <row r="6">
      <c r="A6" s="7" t="inlineStr">
        <is>
          <t>AMD (Long)</t>
        </is>
      </c>
      <c r="B6" t="inlineStr">
        <is>
          <t>MI400/Helios ramp 2H26-27</t>
        </is>
      </c>
      <c r="D6" t="inlineStr">
        <is>
          <t>Long</t>
        </is>
      </c>
      <c r="I6" t="n">
        <v>18</v>
      </c>
      <c r="J6" t="n">
        <v>55</v>
      </c>
      <c r="K6" t="n">
        <v>7.302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3.387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7" t="inlineStr">
        <is>
          <t>C</t>
        </is>
      </c>
      <c r="U6" t="inlineStr"/>
    </row>
    <row r="7">
      <c r="A7" s="7" t="inlineStr">
        <is>
          <t>COIN (Long)</t>
        </is>
      </c>
      <c r="B7" t="inlineStr">
        <is>
          <t>BTC-cycle beta</t>
        </is>
      </c>
      <c r="D7" t="inlineStr">
        <is>
          <t>Long</t>
        </is>
      </c>
      <c r="I7" t="n">
        <v>15</v>
      </c>
      <c r="J7" t="n">
        <v>75</v>
      </c>
      <c r="K7" t="n">
        <v>7.125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3.924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7" t="inlineStr">
        <is>
          <t>C</t>
        </is>
      </c>
      <c r="U7" t="inlineStr"/>
    </row>
    <row r="8">
      <c r="A8" s="11" t="inlineStr">
        <is>
          <t>HOOD (Long)</t>
        </is>
      </c>
      <c r="B8" t="inlineStr">
        <is>
          <t>crypto/retail volumes</t>
        </is>
      </c>
      <c r="D8" t="inlineStr">
        <is>
          <t>Long</t>
        </is>
      </c>
      <c r="I8" t="n">
        <v>15</v>
      </c>
      <c r="J8" t="n">
        <v>65</v>
      </c>
      <c r="K8" t="n">
        <v>7.077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3.706</v>
      </c>
      <c r="R8" t="inlineStr">
        <is>
          <t>my estimate: sector view + typical vol; no price data pulled (verify quotes before drafting)</t>
        </is>
      </c>
      <c r="S8" t="inlineStr">
        <is>
          <t>2026-10-08</t>
        </is>
      </c>
      <c r="T8" s="7" t="inlineStr">
        <is>
          <t>C</t>
        </is>
      </c>
      <c r="U8" t="inlineStr"/>
    </row>
    <row r="9">
      <c r="A9" s="11" t="inlineStr">
        <is>
          <t>OKLO (Long)</t>
        </is>
      </c>
      <c r="B9" t="inlineStr">
        <is>
          <t>nuclear/AI power milestones</t>
        </is>
      </c>
      <c r="D9" t="inlineStr">
        <is>
          <t>Long</t>
        </is>
      </c>
      <c r="I9" t="n">
        <v>15</v>
      </c>
      <c r="J9" t="n">
        <v>90</v>
      </c>
      <c r="K9" t="n">
        <v>7.034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4.2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7" t="inlineStr">
        <is>
          <t>C</t>
        </is>
      </c>
      <c r="U9" t="inlineStr"/>
    </row>
    <row r="10">
      <c r="A10" s="11" t="inlineStr">
        <is>
          <t>NVDA (Long)</t>
        </is>
      </c>
      <c r="B10" t="inlineStr">
        <is>
          <t>mega-cap AI; ~$221 (Sep 1); beta ~1.7</t>
        </is>
      </c>
      <c r="D10" t="inlineStr">
        <is>
          <t>Long</t>
        </is>
      </c>
      <c r="I10" t="n">
        <v>15</v>
      </c>
      <c r="J10" t="n">
        <v>45</v>
      </c>
      <c r="K10" t="n">
        <v>7.033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3.107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7" t="inlineStr">
        <is>
          <t>C</t>
        </is>
      </c>
      <c r="U10" t="inlineStr">
        <is>
          <t>consensus target $300-345; Q4 FY27 earnings Feb</t>
        </is>
      </c>
    </row>
    <row r="11">
      <c r="A11" s="11" t="inlineStr">
        <is>
          <t>AVGO (Long)</t>
        </is>
      </c>
      <c r="B11" t="inlineStr">
        <is>
          <t>custom ASIC demand</t>
        </is>
      </c>
      <c r="D11" t="inlineStr">
        <is>
          <t>Long</t>
        </is>
      </c>
      <c r="I11" t="n">
        <v>15</v>
      </c>
      <c r="J11" t="n">
        <v>42</v>
      </c>
      <c r="K11" t="n">
        <v>7.027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3.002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7" t="inlineStr">
        <is>
          <t>C</t>
        </is>
      </c>
      <c r="U11" t="inlineStr"/>
    </row>
    <row r="12">
      <c r="A12" s="12" t="inlineStr">
        <is>
          <t>CRWV (Long)</t>
        </is>
      </c>
      <c r="B12" t="inlineStr">
        <is>
          <t>neocloud; leverage</t>
        </is>
      </c>
      <c r="D12" t="inlineStr">
        <is>
          <t>Long</t>
        </is>
      </c>
      <c r="I12" t="n">
        <v>15</v>
      </c>
      <c r="J12" t="n">
        <v>90</v>
      </c>
      <c r="K12" t="n">
        <v>7.021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4.2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7" t="inlineStr">
        <is>
          <t>C</t>
        </is>
      </c>
      <c r="U12" t="inlineStr"/>
    </row>
    <row r="13">
      <c r="A13" s="12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12</v>
      </c>
      <c r="J13" t="n">
        <v>60</v>
      </c>
      <c r="K13" t="n">
        <v>6.895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3.545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7" t="inlineStr">
        <is>
          <t>C</t>
        </is>
      </c>
      <c r="U13" t="inlineStr"/>
    </row>
    <row r="14">
      <c r="A14" s="12" t="inlineStr">
        <is>
          <t>MSTR (Long)</t>
        </is>
      </c>
      <c r="B14" t="inlineStr">
        <is>
          <t>levered BTC proxy</t>
        </is>
      </c>
      <c r="D14" t="inlineStr">
        <is>
          <t>Long</t>
        </is>
      </c>
      <c r="I14" t="n">
        <v>10</v>
      </c>
      <c r="J14" t="n">
        <v>90</v>
      </c>
      <c r="K14" t="n">
        <v>6.866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4.251</v>
      </c>
      <c r="R14" t="inlineStr">
        <is>
          <t>my estimate: sector view + typical vol; no price data pulled (verify quotes before drafting)</t>
        </is>
      </c>
      <c r="S14" t="inlineStr">
        <is>
          <t>2026-10-08</t>
        </is>
      </c>
      <c r="T14" s="7" t="inlineStr">
        <is>
          <t>C</t>
        </is>
      </c>
      <c r="U14" t="inlineStr"/>
    </row>
    <row r="15">
      <c r="A15" s="12" t="inlineStr">
        <is>
          <t>SMCI (Long)</t>
        </is>
      </c>
      <c r="B15" t="inlineStr">
        <is>
          <t>high-variance AI servers</t>
        </is>
      </c>
      <c r="D15" t="inlineStr">
        <is>
          <t>Long</t>
        </is>
      </c>
      <c r="I15" t="n">
        <v>10</v>
      </c>
      <c r="J15" t="n">
        <v>80</v>
      </c>
      <c r="K15" t="n">
        <v>6.842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4.063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7" t="inlineStr">
        <is>
          <t>C</t>
        </is>
      </c>
      <c r="U15" t="inlineStr"/>
    </row>
    <row r="16">
      <c r="A16" s="12" t="inlineStr">
        <is>
          <t>IONQ (Long)</t>
        </is>
      </c>
      <c r="B16" t="inlineStr">
        <is>
          <t>quantum lottery</t>
        </is>
      </c>
      <c r="D16" t="inlineStr">
        <is>
          <t>Long</t>
        </is>
      </c>
      <c r="I16" t="n">
        <v>10</v>
      </c>
      <c r="J16" t="n">
        <v>100</v>
      </c>
      <c r="K16" t="n">
        <v>6.841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4.371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7" t="inlineStr">
        <is>
          <t>C</t>
        </is>
      </c>
      <c r="U16" t="inlineStr"/>
    </row>
    <row r="17">
      <c r="A17" s="12" t="inlineStr">
        <is>
          <t>UNH (Long)</t>
        </is>
      </c>
      <c r="B17" t="inlineStr">
        <is>
          <t>turnaround</t>
        </is>
      </c>
      <c r="D17" t="inlineStr">
        <is>
          <t>Long</t>
        </is>
      </c>
      <c r="I17" t="n">
        <v>12</v>
      </c>
      <c r="J17" t="n">
        <v>35</v>
      </c>
      <c r="K17" t="n">
        <v>6.824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2.739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7" t="inlineStr">
        <is>
          <t>C</t>
        </is>
      </c>
      <c r="U17" t="inlineStr"/>
    </row>
    <row r="18">
      <c r="A18" t="inlineStr">
        <is>
          <t>CRCL (Long)</t>
        </is>
      </c>
      <c r="B18" t="inlineStr">
        <is>
          <t>stablecoin; rate-cut sensitivity</t>
        </is>
      </c>
      <c r="D18" t="inlineStr">
        <is>
          <t>Long</t>
        </is>
      </c>
      <c r="I18" t="n">
        <v>10</v>
      </c>
      <c r="J18" t="n">
        <v>80</v>
      </c>
      <c r="K18" t="n">
        <v>6.776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4.045</v>
      </c>
      <c r="R18" t="inlineStr">
        <is>
          <t>my estimate: sector view + typical vol; no price data pulled (verify quotes before drafting)</t>
        </is>
      </c>
      <c r="S18" t="inlineStr">
        <is>
          <t>2026-10-08</t>
        </is>
      </c>
      <c r="T18" s="7" t="inlineStr">
        <is>
          <t>C</t>
        </is>
      </c>
      <c r="U18" t="inlineStr"/>
    </row>
    <row r="19">
      <c r="A19" t="inlineStr">
        <is>
          <t>MU (Long)</t>
        </is>
      </c>
      <c r="B19" t="inlineStr">
        <is>
          <t>HBM4; memory-cycle peak risk</t>
        </is>
      </c>
      <c r="D19" t="inlineStr">
        <is>
          <t>Long</t>
        </is>
      </c>
      <c r="I19" t="n">
        <v>10</v>
      </c>
      <c r="J19" t="n">
        <v>60</v>
      </c>
      <c r="K19" t="n">
        <v>6.73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3.582</v>
      </c>
      <c r="R19" t="inlineStr">
        <is>
          <t>my estimate: sector view + typical vol; no price data pulled (verify quotes before drafting)</t>
        </is>
      </c>
      <c r="S19" t="inlineStr">
        <is>
          <t>2026-10-08</t>
        </is>
      </c>
      <c r="T19" s="7" t="inlineStr">
        <is>
          <t>C</t>
        </is>
      </c>
      <c r="U19" t="inlineStr"/>
    </row>
    <row r="20">
      <c r="A20" t="inlineStr">
        <is>
          <t>PLTR (Long)</t>
        </is>
      </c>
      <c r="B20" t="inlineStr">
        <is>
          <t>momentum; valuation risk</t>
        </is>
      </c>
      <c r="D20" t="inlineStr">
        <is>
          <t>Long</t>
        </is>
      </c>
      <c r="I20" t="n">
        <v>8</v>
      </c>
      <c r="J20" t="n">
        <v>60</v>
      </c>
      <c r="K20" t="n">
        <v>6.632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3.596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7" t="inlineStr">
        <is>
          <t>C</t>
        </is>
      </c>
      <c r="U20" t="inlineStr"/>
    </row>
    <row r="21">
      <c r="A21" t="inlineStr">
        <is>
          <t>INTC (Long)</t>
        </is>
      </c>
      <c r="B21" t="inlineStr">
        <is>
          <t>foundry / 14A news; +187% in 2026 already</t>
        </is>
      </c>
      <c r="D21" t="inlineStr">
        <is>
          <t>Long</t>
        </is>
      </c>
      <c r="I21" t="n">
        <v>8</v>
      </c>
      <c r="J21" t="n">
        <v>55</v>
      </c>
      <c r="K21" t="n">
        <v>6.604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3.478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7" t="inlineStr">
        <is>
          <t>C</t>
        </is>
      </c>
      <c r="U21" t="inlineStr"/>
    </row>
    <row r="22">
      <c r="A22" t="inlineStr">
        <is>
          <t>MSTR (Short)</t>
        </is>
      </c>
      <c r="B22" t="inlineStr">
        <is>
          <t>huge variance both ways</t>
        </is>
      </c>
      <c r="D22" t="inlineStr">
        <is>
          <t>Short</t>
        </is>
      </c>
      <c r="I22" t="n">
        <v>0</v>
      </c>
      <c r="J22" t="n">
        <v>90</v>
      </c>
      <c r="K22" t="n">
        <v>6.383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4.176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7" t="inlineStr">
        <is>
          <t>C</t>
        </is>
      </c>
      <c r="U22" t="inlineStr"/>
    </row>
    <row r="23">
      <c r="A23" t="inlineStr">
        <is>
          <t>PLTR (Short)</t>
        </is>
      </c>
      <c r="B23" t="inlineStr">
        <is>
          <t>valuation short; painful if momentum persists</t>
        </is>
      </c>
      <c r="D23" t="inlineStr">
        <is>
          <t>Short</t>
        </is>
      </c>
      <c r="I23" t="n">
        <v>-3</v>
      </c>
      <c r="J23" t="n">
        <v>60</v>
      </c>
      <c r="K23" t="n">
        <v>6.07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3.506</v>
      </c>
      <c r="R23" t="inlineStr">
        <is>
          <t>my estimate: sector view + typical vol; no price data pulled (verify quotes before drafting)</t>
        </is>
      </c>
      <c r="S23" t="inlineStr">
        <is>
          <t>2026-10-08</t>
        </is>
      </c>
      <c r="T23" s="7" t="inlineStr">
        <is>
          <t>C</t>
        </is>
      </c>
      <c r="U23" t="inlineStr"/>
    </row>
    <row r="24">
      <c r="A24" t="inlineStr">
        <is>
          <t>TSLA (Short)</t>
        </is>
      </c>
      <c r="B24" t="inlineStr">
        <is>
          <t>squeeze risk</t>
        </is>
      </c>
      <c r="D24" t="inlineStr">
        <is>
          <t>Short</t>
        </is>
      </c>
      <c r="I24" t="n">
        <v>-5</v>
      </c>
      <c r="J24" t="n">
        <v>60</v>
      </c>
      <c r="K24" t="n">
        <v>5.997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3.54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7" t="inlineStr">
        <is>
          <t>C</t>
        </is>
      </c>
      <c r="U24" t="inlineStr"/>
    </row>
    <row r="26">
      <c r="A26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  <row r="6">
      <c r="A6" t="inlineStr">
        <is>
          <t>WARN</t>
        </is>
      </c>
      <c r="B6" t="inlineStr">
        <is>
          <t>Musician</t>
        </is>
      </c>
      <c r="C6" t="inlineStr">
        <is>
          <t>Olivia Dean</t>
        </is>
      </c>
      <c r="D6" t="inlineStr">
        <is>
          <t>confidence-C candidate is in the overall board top 10 — verify before relying</t>
        </is>
      </c>
    </row>
    <row r="7">
      <c r="A7" t="inlineStr">
        <is>
          <t>WARN</t>
        </is>
      </c>
      <c r="B7" t="inlineStr">
        <is>
          <t>Musician</t>
        </is>
      </c>
      <c r="C7" t="inlineStr">
        <is>
          <t>Taylor Swift</t>
        </is>
      </c>
      <c r="D7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2026-10-08T16:57:29Z</dcterms:created>
  <dcterms:modified xsi:type="dcterms:W3CDTF">2026-10-08T16:57:29Z</dcterms:modified>
</cp:coreProperties>
</file>
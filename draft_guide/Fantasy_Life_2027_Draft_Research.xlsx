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Master" sheetId="2" state="visible" r:id="rId2"/>
    <sheet name="Rosters" sheetId="3" state="visible" r:id="rId3"/>
    <sheet name="My Draft (slot 13)" sheetId="4" state="visible" r:id="rId4"/>
    <sheet name="Draft Plan" sheetId="5" state="visible" r:id="rId5"/>
    <sheet name="Draft Board" sheetId="6" state="visible" r:id="rId6"/>
    <sheet name="Assumptions" sheetId="7" state="visible" r:id="rId7"/>
    <sheet name="NFL" sheetId="8" state="visible" r:id="rId8"/>
    <sheet name="NBA" sheetId="9" state="visible" r:id="rId9"/>
    <sheet name="MLB" sheetId="10" state="visible" r:id="rId10"/>
    <sheet name="NHL" sheetId="11" state="visible" r:id="rId11"/>
    <sheet name="NCAAF" sheetId="12" state="visible" r:id="rId12"/>
    <sheet name="NCAAB" sheetId="13" state="visible" r:id="rId13"/>
    <sheet name="Tennis" sheetId="14" state="visible" r:id="rId14"/>
    <sheet name="Golf" sheetId="15" state="visible" r:id="rId15"/>
    <sheet name="NASCAR" sheetId="16" state="visible" r:id="rId16"/>
    <sheet name="MLS" sheetId="17" state="visible" r:id="rId17"/>
    <sheet name="Actor" sheetId="18" state="visible" r:id="rId18"/>
    <sheet name="Actress" sheetId="19" state="visible" r:id="rId19"/>
    <sheet name="Musician" sheetId="20" state="visible" r:id="rId20"/>
    <sheet name="Country" sheetId="21" state="visible" r:id="rId21"/>
    <sheet name="Stock" sheetId="22" state="visible" r:id="rId22"/>
    <sheet name="QA" sheetId="23" state="visible" r:id="rId23"/>
    <sheet name="Aliases" sheetId="24" state="visible" r:id="rId24"/>
  </sheets>
  <definedNames>
    <definedName name="_xlnm._FilterDatabase" localSheetId="5" hidden="1">'Draft Board'!$A$1:$O$603</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color rgb="00FFFFFF"/>
    </font>
    <font>
      <b val="1"/>
    </font>
    <font>
      <b val="1"/>
      <sz val="13"/>
    </font>
    <font>
      <b val="1"/>
      <sz val="14"/>
    </font>
    <font>
      <b val="1"/>
      <sz val="12"/>
    </font>
  </fonts>
  <fills count="8">
    <fill>
      <patternFill/>
    </fill>
    <fill>
      <patternFill patternType="gray125"/>
    </fill>
    <fill>
      <patternFill patternType="solid">
        <fgColor rgb="001F3864"/>
      </patternFill>
    </fill>
    <fill>
      <patternFill patternType="solid">
        <fgColor rgb="00F8CBAD"/>
      </patternFill>
    </fill>
    <fill>
      <patternFill patternType="solid">
        <fgColor rgb="00FFE699"/>
      </patternFill>
    </fill>
    <fill>
      <patternFill patternType="solid">
        <fgColor rgb="00C6E0B4"/>
      </patternFill>
    </fill>
    <fill>
      <patternFill patternType="solid">
        <fgColor rgb="00DDEBF7"/>
      </patternFill>
    </fill>
    <fill>
      <patternFill patternType="solid">
        <fgColor rgb="00EDEDED"/>
      </patternFill>
    </fill>
  </fills>
  <borders count="1">
    <border>
      <left/>
      <right/>
      <top/>
      <bottom/>
      <diagonal/>
    </border>
  </borders>
  <cellStyleXfs count="1">
    <xf numFmtId="0" fontId="0" fillId="0" borderId="0"/>
  </cellStyleXfs>
  <cellXfs count="20">
    <xf numFmtId="0" fontId="0" fillId="0" borderId="0" pivotButton="0" quotePrefix="0" xfId="0"/>
    <xf numFmtId="0" fontId="5" fillId="0" borderId="0" pivotButton="0" quotePrefix="0" xfId="0"/>
    <xf numFmtId="0" fontId="1" fillId="2" borderId="0" pivotButton="0" quotePrefix="0" xfId="0"/>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1" fillId="2" borderId="0" applyAlignment="1" pivotButton="0" quotePrefix="0" xfId="0">
      <alignment vertical="top" wrapText="1"/>
    </xf>
    <xf numFmtId="0" fontId="2" fillId="0" borderId="0" pivotButton="0" quotePrefix="0" xfId="0"/>
    <xf numFmtId="0" fontId="0" fillId="4" borderId="0" pivotButton="0" quotePrefix="0" xfId="0"/>
    <xf numFmtId="164" fontId="0" fillId="0" borderId="0" pivotButton="0" quotePrefix="0" xfId="0"/>
    <xf numFmtId="0" fontId="4" fillId="0" borderId="0" applyAlignment="1" pivotButton="0" quotePrefix="0" xfId="0">
      <alignment vertical="top"/>
    </xf>
    <xf numFmtId="0" fontId="0" fillId="0" borderId="0" applyAlignment="1" pivotButton="0" quotePrefix="0" xfId="0">
      <alignment vertical="top"/>
    </xf>
    <xf numFmtId="0" fontId="5" fillId="0" borderId="0" applyAlignment="1" pivotButton="0" quotePrefix="0" xfId="0">
      <alignment vertical="top"/>
    </xf>
    <xf numFmtId="0" fontId="1" fillId="2" borderId="0" applyAlignment="1" pivotButton="0" quotePrefix="0" xfId="0">
      <alignment vertical="top"/>
    </xf>
    <xf numFmtId="0" fontId="0" fillId="5" borderId="0" applyAlignment="1" pivotButton="0" quotePrefix="0" xfId="0">
      <alignment vertical="top"/>
    </xf>
    <xf numFmtId="0" fontId="0" fillId="3" borderId="0" pivotButton="0" quotePrefix="0" xfId="0"/>
    <xf numFmtId="0" fontId="0" fillId="5" borderId="0" pivotButton="0" quotePrefix="0" xfId="0"/>
    <xf numFmtId="0" fontId="3" fillId="0"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cols>
    <col width="160" customWidth="1" min="1" max="1"/>
  </cols>
  <sheetData>
    <row r="1">
      <c r="A1" s="1" t="inlineStr">
        <is>
          <t>Fantasy Life 2027 — Draft Research</t>
        </is>
      </c>
    </row>
    <row r="2">
      <c r="A2" t="inlineStr">
        <is>
          <t>Built 2026-10-22 for the Oct 25, 2026 draft. Regenerate: python3 draft_guide/build_workbook.py (data in draft_guide/data/*.json).</t>
        </is>
      </c>
    </row>
    <row r="3">
      <c r="A3" t="inlineStr"/>
    </row>
    <row r="4">
      <c r="A4" s="1" t="inlineStr">
        <is>
          <t>How to read it</t>
        </is>
      </c>
    </row>
    <row r="5">
      <c r="A5" t="inlineStr">
        <is>
          <t>Master = top-15 per category by expected league points (EV). Draft Board = every candidate across all 15 categories ranked by VOR.</t>
        </is>
      </c>
    </row>
    <row r="6">
      <c r="A6" t="inlineStr">
        <is>
          <t>EV = E[rank points among the 13 drafted picks] (Monte Carlo on mu/sd) + E[bonus] (ladder × probabilities; live formula on the Assumptions tab).</t>
        </is>
      </c>
    </row>
    <row r="7">
      <c r="A7" t="inlineStr">
        <is>
          <t>VOR = EV − EV of the replacement pick (Nth best in the category; N on Assumptions). Risk-adj VOR subtracts λ × SD of rank points.</t>
        </is>
      </c>
    </row>
    <row r="8">
      <c r="A8" t="inlineStr">
        <is>
          <t>Yellow confidence cell = C (estimate) or ladder probabilities inferred from the title price. A = exchange/book price seen; B = article reporting odds.</t>
        </is>
      </c>
    </row>
    <row r="9">
      <c r="A9" t="inlineStr"/>
    </row>
    <row r="10">
      <c r="A10" s="1" t="inlineStr">
        <is>
          <t>Timeline (league year 2027)</t>
        </is>
      </c>
    </row>
    <row r="11">
      <c r="A11" t="inlineStr">
        <is>
          <t>NFL 2026 and NCAAF 2026 are in progress (current records matter); NBA/NHL/NCAAB 2026-27 are starting; MLB/MLS/NASCAR/Golf/Tennis/Stock/Actor/Actress/Musician/Country are calendar 2027.</t>
        </is>
      </c>
    </row>
    <row r="12">
      <c r="A12" t="inlineStr">
        <is>
          <t>Oscars (Mar 2027) honour 2026 films and Grammys (Feb 2027) honour Aug 2025–Aug 2026 music → awards bonuses are priced from awards-season odds; Actor/Actress BASELINE uses 2027 releases.</t>
        </is>
      </c>
    </row>
    <row r="13">
      <c r="A13" t="inlineStr">
        <is>
          <t>Country = IMF October 2026 WEO (published Oct 13) 2027 growth, pulled from api.imf.org — final for the draft.</t>
        </is>
      </c>
    </row>
    <row r="14">
      <c r="A14" t="inlineStr"/>
    </row>
    <row r="15">
      <c r="A15" s="1" t="inlineStr">
        <is>
          <t>Assumptions to confirm</t>
        </is>
      </c>
    </row>
    <row r="16">
      <c r="A16" t="inlineStr">
        <is>
          <t>Country 2027 = GDP growth only (no Olympics/World Cup in 2027). Slot-agnostic board (replacement rank is a single tunable N per category). Each player picks one per category.</t>
        </is>
      </c>
    </row>
    <row r="17">
      <c r="A17" t="inlineStr">
        <is>
          <t>Known limits: no 2027 futures are posted yet for MLB/MLS/NASCAR/Golf/Tennis; those rows are model estimates (conf C). Rank-point EV assumes the field drafts the best candidates by mu.</t>
        </is>
      </c>
    </row>
    <row r="18">
      <c r="A18" t="inlineStr"/>
    </row>
    <row r="19">
      <c r="A19" s="1" t="inlineStr">
        <is>
          <t>How much to trust each tab (v2, Oct 8 2026)</t>
        </is>
      </c>
    </row>
    <row r="20">
      <c r="A20" t="inlineStr">
        <is>
          <t>SOLID (exchange prices, conf A): NFL, NBA, NHL, NCAAF title + conference-champion odds (Kalshi); Oscar win/nomination prices; Grammy AOTY/ROTY/SOTY/Best New Artist prices. These events are in progress or start within weeks, so they keep full weight.</t>
        </is>
      </c>
    </row>
    <row r="21">
      <c r="A21" t="inlineStr">
        <is>
          <t>PREDICTABLE: Golf (OWGR) and Tennis (ATP/WTA rankings) — the top is sticky year to year; probabilities are still my model, not posted odds.</t>
        </is>
      </c>
    </row>
    <row r="22">
      <c r="A22" t="inlineStr">
        <is>
          <t>DISCOUNTED FOR DISTANCE (v2): MLB, MLS, NASCAR score calendar 2027 with no 2027 market, so sd x2, mu pulled 40-50% toward the field, title probabilities pulled 50% toward uniform. NCAAB (not started) sd x1.6, mu 30%, probs 25%. See Assumptions → 'Certainty adjustments'.</t>
        </is>
      </c>
    </row>
    <row r="23">
      <c r="A23" t="inlineStr">
        <is>
          <t>STOCK = COIN FLIP: mu and sd forced equal for every pick (no favourites, no variance premium). The tab is a list, not a ranking; take it last.</t>
        </is>
      </c>
    </row>
    <row r="24">
      <c r="A24" t="inlineStr">
        <is>
          <t>COUNTRY: IMF October 2026 WEO 2027 growth (confidence A). The Gulf states that contracted in 2026 (Iraq, Qatar, Kuwait, Bahrain) are forecast to rebound 14-19% in 2027; their sd is wide because war-rebound forecasts miss by a lot.</t>
        </is>
      </c>
    </row>
    <row r="25">
      <c r="A25" t="inlineStr">
        <is>
          <t>SOFT: Actor/Actress baseline (Wikipedia + Box Office Mojo billed casts x my box-office/RT comps — cameos not captured; Secret Wars may slip to 2028); Musician baseline (no 2027 album dates found).</t>
        </is>
      </c>
    </row>
    <row r="26">
      <c r="A26" t="inlineStr"/>
    </row>
    <row r="27">
      <c r="A27" s="1" t="inlineStr">
        <is>
          <t>Keeper round</t>
        </is>
      </c>
    </row>
    <row r="28">
      <c r="A28" t="inlineStr">
        <is>
          <t>The draft room runs a keeper round first (one pick per player). 'Rosters' = everyone's current picks (data/rosters.json, from the 2026-league draft) with each pick's VOR and a gold best-keeper cell. 'Owned by' on the Draft Board and 'Owner' (red) on every category tab show who holds a player; '— free' = unowned. Keeper rules are not modelled: owned players stay ranked until you mark them kept.</t>
        </is>
      </c>
    </row>
    <row r="29">
      <c r="A29" t="inlineStr"/>
    </row>
    <row r="30">
      <c r="A30" s="1" t="inlineStr">
        <is>
          <t>Confidence grades now move numbers (v7)</t>
        </is>
      </c>
    </row>
    <row r="31">
      <c r="A31" t="inlineStr">
        <is>
          <t>A = exchange price seen: untouched. B/C rows get sd x1.1/x1.25 and probabilities pulled 10%/20% toward the field (C strengths 10% toward the field mean); categories with their own distance discount (NCAAB, MLB, MLS, NASCAR, Stock) are not double-counted. The board is ranked by Conf-adj VOR = VOR minus 0.3 (B) / 0.8 (C) pts (editable on Assumptions).</t>
        </is>
      </c>
    </row>
    <row r="32">
      <c r="A32" t="inlineStr"/>
    </row>
    <row r="33">
      <c r="A33" s="1" t="inlineStr">
        <is>
          <t>NFL / NBA / NHL ladders (v7)</t>
        </is>
      </c>
    </row>
    <row r="34">
      <c r="A34" t="inlineStr">
        <is>
          <t>Round probabilities come from league_sim.py: the remaining schedule and the real playoff bracket are simulated, ratings fitted to Kalshi title, conference-champion and make-playoffs prices. Total bonus points across each league now equal the league ladder (NFL 66, NBA/NHL 71) and the win% baseline is a simulated distribution.</t>
        </is>
      </c>
    </row>
    <row r="35">
      <c r="A35" t="inlineStr"/>
    </row>
    <row r="36">
      <c r="A36" s="1" t="inlineStr">
        <is>
          <t>My Draft (slot 13) tab (v10)</t>
        </is>
      </c>
    </row>
    <row r="37">
      <c r="A37" t="inlineStr">
        <is>
          <t>Korch's plan from the last slot: keep-or-draft verdict from draft_sim.py (simulated drafts with the other 12 modelled from the 2025 draft), a round-by-round plan, value picks, sleepers, things not to pay for, opponent profiles and why 2026 worked.</t>
        </is>
      </c>
    </row>
    <row r="38">
      <c r="A38" t="inlineStr"/>
    </row>
    <row r="39">
      <c r="A39" s="1" t="inlineStr">
        <is>
          <t>Draft Plan tab (v8)</t>
        </is>
      </c>
    </row>
    <row r="40">
      <c r="A40" t="inlineStr">
        <is>
          <t>Combines the 2025 draft log (when each category went) with the 2027 EV board: how much a category's best player is worth, what is left after the field has stripped it at the 2026 pace, and the last round it is still 'free'. Use it to decide which categories to take early and which to let come to you.</t>
        </is>
      </c>
    </row>
    <row r="41">
      <c r="A41" t="inlineStr"/>
    </row>
    <row r="42">
      <c r="A42" s="1" t="inlineStr">
        <is>
          <t>Draft-market bias (the edge)</t>
        </is>
      </c>
    </row>
    <row r="43">
      <c r="A43" t="inlineStr">
        <is>
          <t>The league over-drafts Grammy/Oscar names. For Musician, Actor and Actress the 'Field draft score' column (V) = baseline + w x award-EV (w on Assumptions) predicts the order your leaguemates pick in; the replacement level used for VOR is the best candidate OUTSIDE the field's first M picks.</t>
        </is>
      </c>
    </row>
    <row r="44">
      <c r="A44" t="inlineStr">
        <is>
          <t>Draft Board 'Plan' column: TARGET LATE = high EV but the field ignores it (box-office draws); overpriced = the field takes it on award buzz; let it come to you = good but the field reaches. For Actor/Actress the unexploited edge is real box-office draws.</t>
        </is>
      </c>
    </row>
    <row r="45">
      <c r="A45" t="inlineStr">
        <is>
          <t>Reading the board: NBA co-favourites and the Kalshi-priced NFL/NHL/NCAAF favourites carry the safest edge; Musician/Actor/Actress show big raw EV but are meant to be taken LATE.</t>
        </is>
      </c>
    </row>
    <row r="46">
      <c r="A46" t="inlineStr">
        <is>
          <t>Refresh: see .claude/commands/fl-draft-prep.md — new prices go in draft_guide/raw/*.json, run kalshi_overlay.py, edit data/*.json, rebuild.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s>
  <sheetData>
    <row r="1">
      <c r="A1" s="2" t="inlineStr">
        <is>
          <t>Top 15 (EV) →</t>
        </is>
      </c>
      <c r="B1" s="2" t="inlineStr">
        <is>
          <t>NFL</t>
        </is>
      </c>
      <c r="C1" s="2" t="inlineStr">
        <is>
          <t>NBA</t>
        </is>
      </c>
      <c r="D1" s="2" t="inlineStr">
        <is>
          <t>MLB</t>
        </is>
      </c>
      <c r="E1" s="2" t="inlineStr">
        <is>
          <t>NHL</t>
        </is>
      </c>
      <c r="F1" s="2" t="inlineStr">
        <is>
          <t>NCAAF</t>
        </is>
      </c>
      <c r="G1" s="2" t="inlineStr">
        <is>
          <t>NCAAB</t>
        </is>
      </c>
      <c r="H1" s="2" t="inlineStr">
        <is>
          <t>Tennis</t>
        </is>
      </c>
      <c r="I1" s="2" t="inlineStr">
        <is>
          <t>Golf</t>
        </is>
      </c>
      <c r="J1" s="2" t="inlineStr">
        <is>
          <t>NASCAR</t>
        </is>
      </c>
      <c r="K1" s="2" t="inlineStr">
        <is>
          <t>MLS</t>
        </is>
      </c>
      <c r="L1" s="2" t="inlineStr">
        <is>
          <t>Actor</t>
        </is>
      </c>
      <c r="M1" s="2" t="inlineStr">
        <is>
          <t>Actress</t>
        </is>
      </c>
      <c r="N1" s="2" t="inlineStr">
        <is>
          <t>Musician</t>
        </is>
      </c>
      <c r="O1" s="2" t="inlineStr">
        <is>
          <t>Country</t>
        </is>
      </c>
      <c r="P1" s="2" t="inlineStr">
        <is>
          <t>Stock</t>
        </is>
      </c>
    </row>
    <row r="2">
      <c r="A2" t="inlineStr">
        <is>
          <t>#1</t>
        </is>
      </c>
      <c r="B2" s="3" t="inlineStr">
        <is>
          <t>San Francisco 49ers Kalshi 9.5% · EV 17.6 · [Todd]</t>
        </is>
      </c>
      <c r="C2" s="3" t="inlineStr">
        <is>
          <t>Oklahoma City Thunder Kalshi 21.5% · EV 17.5 · [Feder]</t>
        </is>
      </c>
      <c r="D2" s="3" t="inlineStr">
        <is>
          <t>Los Angeles Dodgers · EV 12.7 · [Wu]</t>
        </is>
      </c>
      <c r="E2" s="3" t="inlineStr">
        <is>
          <t>Carolina Hurricanes Kalshi 9.5% · EV 13.9 · [Jamzee]</t>
        </is>
      </c>
      <c r="F2" s="3" t="inlineStr">
        <is>
          <t>Georgia Kalshi 16.5% · EV 16.9 · [Theo]</t>
        </is>
      </c>
      <c r="G2" s="3" t="inlineStr">
        <is>
          <t>Florida +600 · EV 14.9 · [Wu]</t>
        </is>
      </c>
      <c r="H2" s="3" t="inlineStr">
        <is>
          <t>Jannik Sinner +100 AO 2027 (pre-injury) · EV 11.5 · [Buckley]</t>
        </is>
      </c>
      <c r="I2" s="3" t="inlineStr">
        <is>
          <t>Scottie Scheffler · EV 11.7 · [Wu]</t>
        </is>
      </c>
      <c r="J2" s="3" t="inlineStr">
        <is>
          <t>Kyle Larson 2026 title: Kalshi 42.0% · EV 14.5 · [Molmen]</t>
        </is>
      </c>
      <c r="K2" s="3" t="inlineStr">
        <is>
          <t>Nashville SC 2026 Cup: Kalshi 18.0% · EV 10.1</t>
        </is>
      </c>
      <c r="L2" s="3" t="inlineStr">
        <is>
          <t>Ryan Gosling · EV 9.6</t>
        </is>
      </c>
      <c r="M2" s="3" t="inlineStr">
        <is>
          <t>Julianne Moore · EV 12.1</t>
        </is>
      </c>
      <c r="N2" s="3" t="inlineStr">
        <is>
          <t>Ella Langley Grammy EV 10.8 (raw 12.8, P(cap) 50%) · EV 20.1</t>
        </is>
      </c>
      <c r="O2" s="3" t="inlineStr">
        <is>
          <t>Iraq IMF Oct-2026 2027: 19.0% · EV 10.8</t>
        </is>
      </c>
      <c r="P2" s="3" t="inlineStr">
        <is>
          <t>MSTR (Long) · EV 7.1</t>
        </is>
      </c>
    </row>
    <row r="3">
      <c r="A3" t="inlineStr">
        <is>
          <t>#2</t>
        </is>
      </c>
      <c r="B3" s="3" t="inlineStr">
        <is>
          <t>Kansas City Chiefs Kalshi 9.5% · EV 14.8 · [Shep]</t>
        </is>
      </c>
      <c r="C3" s="3" t="inlineStr">
        <is>
          <t>San Antonio Spurs Kalshi 21.5% · EV 15.8 · [Wu]</t>
        </is>
      </c>
      <c r="D3" s="3" t="inlineStr">
        <is>
          <t>Milwaukee Brewers · EV 11.6 · [Buckley]</t>
        </is>
      </c>
      <c r="E3" s="3" t="inlineStr">
        <is>
          <t>Tampa Bay Lightning Kalshi 5.5% · EV 13.4 · [Fryar]</t>
        </is>
      </c>
      <c r="F3" s="3" t="inlineStr">
        <is>
          <t>Notre Dame Kalshi 12.5% · EV 15.5 · [Feder]</t>
        </is>
      </c>
      <c r="G3" s="3" t="inlineStr">
        <is>
          <t>Duke +600 · EV 14.7 · [Jens]</t>
        </is>
      </c>
      <c r="H3" s="3" t="inlineStr">
        <is>
          <t>Elena Rybakina +300 AO 2027 · EV 10.8</t>
        </is>
      </c>
      <c r="I3" s="3" t="inlineStr">
        <is>
          <t>Rory McIlroy · EV 11.1 · [Molmen]</t>
        </is>
      </c>
      <c r="J3" s="3" t="inlineStr">
        <is>
          <t>Denny Hamlin 2026 title: Kalshi 28.0% · EV 12.5 · [Theo]</t>
        </is>
      </c>
      <c r="K3" s="3" t="inlineStr">
        <is>
          <t>Vancouver Whitecaps FC 2026 Cup: Kalshi 23.5% · EV 10.1 · [Feder]</t>
        </is>
      </c>
      <c r="L3" s="3" t="inlineStr">
        <is>
          <t>John Malkovich · EV 9.2</t>
        </is>
      </c>
      <c r="M3" s="3" t="inlineStr">
        <is>
          <t>Kristen Bell · EV 9.1</t>
        </is>
      </c>
      <c r="N3" s="3" t="inlineStr">
        <is>
          <t>Olivia Rodrigo Grammy EV 9.4 (raw 10.3, P(cap) 31%) · EV 18.0 · [Todd]</t>
        </is>
      </c>
      <c r="O3" s="3" t="inlineStr">
        <is>
          <t>Qatar IMF Oct-2026 2027: 18.8% · EV 10.8</t>
        </is>
      </c>
      <c r="P3" s="3" t="inlineStr">
        <is>
          <t>COIN (Long) · EV 7.1 · [Tim]</t>
        </is>
      </c>
    </row>
    <row r="4">
      <c r="A4" t="inlineStr">
        <is>
          <t>#3</t>
        </is>
      </c>
      <c r="B4" s="3" t="inlineStr">
        <is>
          <t>Buffalo Bills Kalshi 10.5% · EV 14.1 · [Jens]</t>
        </is>
      </c>
      <c r="C4" s="3" t="inlineStr">
        <is>
          <t>Philadelphia 76ers Kalshi 12.5% · EV 12.8</t>
        </is>
      </c>
      <c r="D4" s="3" t="inlineStr">
        <is>
          <t>New York Yankees · EV 11.2 · [Jens]</t>
        </is>
      </c>
      <c r="E4" s="3" t="inlineStr">
        <is>
          <t>Edmonton Oilers Kalshi 8.5% · EV 13.1 · [Buckley]</t>
        </is>
      </c>
      <c r="F4" s="3" t="inlineStr">
        <is>
          <t>Miami (FL) Kalshi 14.5% · EV 15.4 · [Wu]</t>
        </is>
      </c>
      <c r="G4" s="3" t="inlineStr">
        <is>
          <t>UConn +1300 · EV 11.7 · [Fryar]</t>
        </is>
      </c>
      <c r="H4" s="3" t="inlineStr">
        <is>
          <t>Aryna Sabalenka +175 to +185 AO 2027 · EV 10.6 · [Fryar]</t>
        </is>
      </c>
      <c r="I4" s="3" t="inlineStr">
        <is>
          <t>Matt Fitzpatrick · EV 10.4</t>
        </is>
      </c>
      <c r="J4" s="3" t="inlineStr">
        <is>
          <t>Christopher Bell 2026 title: Kalshi 10.5% · EV 11.2 · [Wu]</t>
        </is>
      </c>
      <c r="K4" s="3" t="inlineStr">
        <is>
          <t>Inter Miami CF 2026 Cup: Kalshi 16.5% · EV 9.3 · [Theo]</t>
        </is>
      </c>
      <c r="L4" s="3" t="inlineStr">
        <is>
          <t>Aaron Pierre · EV 9.1</t>
        </is>
      </c>
      <c r="M4" s="3" t="inlineStr">
        <is>
          <t>Anne Hathaway · EV 8.0 · [Korch]</t>
        </is>
      </c>
      <c r="N4" s="3" t="inlineStr">
        <is>
          <t>Olivia Dean Grammy EV 8.5 (raw 9.2, P(cap) 23%) · EV 15.8</t>
        </is>
      </c>
      <c r="O4" s="3" t="inlineStr">
        <is>
          <t>Guyana IMF Oct-2026 2027: 16.8% · EV 10.1 · [Korch]</t>
        </is>
      </c>
      <c r="P4" s="3" t="inlineStr">
        <is>
          <t>AMD (Long) · EV 7.1</t>
        </is>
      </c>
    </row>
    <row r="5">
      <c r="A5" t="inlineStr">
        <is>
          <t>#4</t>
        </is>
      </c>
      <c r="B5" s="4" t="inlineStr">
        <is>
          <t>Minnesota Vikings Kalshi 3.5% · EV 12.5</t>
        </is>
      </c>
      <c r="C5" s="4" t="inlineStr">
        <is>
          <t>New York Knicks Kalshi 8.5% · EV 12.4 · [Buckley]</t>
        </is>
      </c>
      <c r="D5" s="4" t="inlineStr">
        <is>
          <t>Atlanta Braves · EV 10.5 · [Todd]</t>
        </is>
      </c>
      <c r="E5" s="4" t="inlineStr">
        <is>
          <t>Colorado Avalanche Kalshi 12.5% · EV 12.3 · [Korch]</t>
        </is>
      </c>
      <c r="F5" s="4" t="inlineStr">
        <is>
          <t>Ohio State Kalshi 12.5% · EV 15.1 · [Mitchell]</t>
        </is>
      </c>
      <c r="G5" s="4" t="inlineStr">
        <is>
          <t>Illinois +1300 · EV 11.7</t>
        </is>
      </c>
      <c r="H5" s="4" t="inlineStr">
        <is>
          <t>Carlos Alcaraz +150 AO 2027 · EV 10.4 · [Todd]</t>
        </is>
      </c>
      <c r="I5" s="4" t="inlineStr">
        <is>
          <t>Cameron Young · EV 9.8</t>
        </is>
      </c>
      <c r="J5" s="4" t="inlineStr">
        <is>
          <t>Joey Logano 2026 title: Kalshi 5.5% · EV 10.4 · [Jamzee]</t>
        </is>
      </c>
      <c r="K5" s="4" t="inlineStr">
        <is>
          <t>St. Louis City SC 2026 Cup: Kalshi 5.5% · EV 8.4</t>
        </is>
      </c>
      <c r="L5" s="4" t="inlineStr">
        <is>
          <t>Skyler Gisondo · EV 8.9</t>
        </is>
      </c>
      <c r="M5" s="4" t="inlineStr">
        <is>
          <t>Hailee Steinfeld · EV 7.4</t>
        </is>
      </c>
      <c r="N5" s="4" t="inlineStr">
        <is>
          <t>Bruno Mars Grammy EV 7.0 (raw 7.3, P(cap) 11%) · EV 15.1</t>
        </is>
      </c>
      <c r="O5" s="4" t="inlineStr">
        <is>
          <t>Kuwait IMF Oct-2026 2027: 17.1% · EV 10.1</t>
        </is>
      </c>
      <c r="P5" s="4" t="inlineStr">
        <is>
          <t>TTWO (Long) · EV 7.1 · [Molmen]</t>
        </is>
      </c>
    </row>
    <row r="6">
      <c r="A6" t="inlineStr">
        <is>
          <t>#5</t>
        </is>
      </c>
      <c r="B6" s="4" t="inlineStr">
        <is>
          <t>Baltimore Ravens Kalshi 7.5% · EV 11.7 · [Wu]</t>
        </is>
      </c>
      <c r="C6" s="4" t="inlineStr">
        <is>
          <t>Minnesota Timberwolves Kalshi 6.5% · EV 11.2 · [Todd]</t>
        </is>
      </c>
      <c r="D6" s="4" t="inlineStr">
        <is>
          <t>Tampa Bay Rays · EV 10.4</t>
        </is>
      </c>
      <c r="E6" s="4" t="inlineStr">
        <is>
          <t>Florida Panthers Kalshi 10.5% · EV 11.7 · [Todd]</t>
        </is>
      </c>
      <c r="F6" s="4" t="inlineStr">
        <is>
          <t>Texas Kalshi 3.5% · EV 12.3</t>
        </is>
      </c>
      <c r="G6" s="4" t="inlineStr">
        <is>
          <t>Michigan +1600 · EV 10.9 · [Jamzee]</t>
        </is>
      </c>
      <c r="H6" s="4" t="inlineStr">
        <is>
          <t>Alexander Zverev +700 AO 2027 · EV 10.1 · [Theo]</t>
        </is>
      </c>
      <c r="I6" s="4" t="inlineStr">
        <is>
          <t>Wyndham Clark · EV 9.3</t>
        </is>
      </c>
      <c r="J6" s="4" t="inlineStr">
        <is>
          <t>Ryan Blaney 2026 title: Kalshi 5.5% · EV 9.9 · [Fryar]</t>
        </is>
      </c>
      <c r="K6" s="4" t="inlineStr">
        <is>
          <t>FC Dallas 2026 Cup: Kalshi 4.5% · EV 8.4</t>
        </is>
      </c>
      <c r="L6" s="4" t="inlineStr">
        <is>
          <t>Matt Damon · EV 7.7 · [Molmen]</t>
        </is>
      </c>
      <c r="M6" s="4" t="inlineStr">
        <is>
          <t>Lauren Vélez · EV 7.3</t>
        </is>
      </c>
      <c r="N6" s="4" t="inlineStr">
        <is>
          <t>Taylor Swift Grammy EV 7.4 (raw 7.7, P(cap) 13%) · EV 15.1 · [Molmen]</t>
        </is>
      </c>
      <c r="O6" s="4" t="inlineStr">
        <is>
          <t>Sudan IMF Oct-2026 2027: 15.0% · EV 8.8</t>
        </is>
      </c>
      <c r="P6" s="4" t="inlineStr">
        <is>
          <t>SMCI (Long) · EV 7.0 · [Korch]</t>
        </is>
      </c>
    </row>
    <row r="7">
      <c r="A7" t="inlineStr">
        <is>
          <t>#6</t>
        </is>
      </c>
      <c r="B7" s="4" t="inlineStr">
        <is>
          <t>Jacksonville Jaguars Kalshi 6.5% · EV 11.3</t>
        </is>
      </c>
      <c r="C7" s="4" t="inlineStr">
        <is>
          <t>Boston Celtics Kalshi 4.5% · EV 10.9 · [Shep]</t>
        </is>
      </c>
      <c r="D7" s="4" t="inlineStr">
        <is>
          <t>Chicago Cubs · EV 9.9 · [Tim]</t>
        </is>
      </c>
      <c r="E7" s="4" t="inlineStr">
        <is>
          <t>Vegas Golden Knights Kalshi 7.5% · EV 10.8 · [Tim]</t>
        </is>
      </c>
      <c r="F7" s="4" t="inlineStr">
        <is>
          <t>Indiana Kalshi 7.5% · EV 11.9 · [Korch]</t>
        </is>
      </c>
      <c r="G7" s="4" t="inlineStr">
        <is>
          <t>Michigan State +2200 · EV 9.9</t>
        </is>
      </c>
      <c r="H7" s="4" t="inlineStr">
        <is>
          <t>Jessica Pegula · EV 7.7 · [Korch]</t>
        </is>
      </c>
      <c r="I7" s="4" t="inlineStr">
        <is>
          <t>Russell Henley · EV 8.8 · [Jens]</t>
        </is>
      </c>
      <c r="J7" s="4" t="inlineStr">
        <is>
          <t>William Byron 2026 title: Kalshi 0.5% · EV 8.8 · [Korch]</t>
        </is>
      </c>
      <c r="K7" s="4" t="inlineStr">
        <is>
          <t>New England Revolution 2026 Cup: Kalshi 3.5% · EV 8.3</t>
        </is>
      </c>
      <c r="L7" s="4" t="inlineStr">
        <is>
          <t>Andrew Scott · EV 7.1</t>
        </is>
      </c>
      <c r="M7" s="4" t="inlineStr">
        <is>
          <t>Kimiko Glenn · EV 7.3</t>
        </is>
      </c>
      <c r="N7" s="4" t="inlineStr">
        <is>
          <t>Rosalía Grammy EV 6.6 (raw 6.8, P(cap) 9%) · EV 11.2</t>
        </is>
      </c>
      <c r="O7" s="4" t="inlineStr">
        <is>
          <t>Bahrain IMF Oct-2026 2027: 13.9% · EV 8.7</t>
        </is>
      </c>
      <c r="P7" s="4" t="inlineStr">
        <is>
          <t>TSLA (Short) · EV 7.0 · [Shep]</t>
        </is>
      </c>
    </row>
    <row r="8">
      <c r="A8" t="inlineStr">
        <is>
          <t>#7</t>
        </is>
      </c>
      <c r="B8" s="4" t="inlineStr">
        <is>
          <t>Chicago Bears Kalshi 4.5% · EV 10.8</t>
        </is>
      </c>
      <c r="C8" s="4" t="inlineStr">
        <is>
          <t>Toronto Raptors Kalshi 2.5% · EV 9.6</t>
        </is>
      </c>
      <c r="D8" s="4" t="inlineStr">
        <is>
          <t>San Diego Padres · EV 9.9 · [Theo]</t>
        </is>
      </c>
      <c r="E8" s="4" t="inlineStr">
        <is>
          <t>Minnesota Wild Kalshi 6.5% · EV 10.6</t>
        </is>
      </c>
      <c r="F8" s="4" t="inlineStr">
        <is>
          <t>Alabama Kalshi 4.5% · EV 10.7 · [Jamzee]</t>
        </is>
      </c>
      <c r="G8" s="4" t="inlineStr">
        <is>
          <t>Houston +2500 · EV 9.7 · [Theo]</t>
        </is>
      </c>
      <c r="H8" s="4" t="inlineStr">
        <is>
          <t>Ben Shelton · EV 7.5</t>
        </is>
      </c>
      <c r="I8" s="4" t="inlineStr">
        <is>
          <t>Tommy Fleetwood · EV 8.4 · [Korch]</t>
        </is>
      </c>
      <c r="J8" s="4" t="inlineStr">
        <is>
          <t>Chase Briscoe 2026 title: Kalshi 3.5% · EV 7.1 · [Jens]</t>
        </is>
      </c>
      <c r="K8" s="4" t="inlineStr">
        <is>
          <t>Chicago Fire FC 2026 Cup: Kalshi 4.5% · EV 8.1</t>
        </is>
      </c>
      <c r="L8" s="4" t="inlineStr">
        <is>
          <t>Josh Gad · EV 6.9</t>
        </is>
      </c>
      <c r="M8" s="4" t="inlineStr">
        <is>
          <t>Adria Arjona · EV 7.2</t>
        </is>
      </c>
      <c r="N8" s="4" t="inlineStr">
        <is>
          <t>Harry Styles Grammy EV 3.5 (raw 3.5, P(cap) 1%) · EV 10.7</t>
        </is>
      </c>
      <c r="O8" s="4" t="inlineStr">
        <is>
          <t>Uganda IMF Oct-2026 2027: 9.9% · EV 6.8</t>
        </is>
      </c>
      <c r="P8" s="4" t="inlineStr">
        <is>
          <t>RKLB (Long) · EV 7.0</t>
        </is>
      </c>
    </row>
    <row r="9">
      <c r="A9" t="inlineStr">
        <is>
          <t>#8</t>
        </is>
      </c>
      <c r="B9" s="5" t="inlineStr">
        <is>
          <t>Denver Broncos Kalshi 3.5% · EV 10.2 · [Molmen]</t>
        </is>
      </c>
      <c r="C9" s="5" t="inlineStr">
        <is>
          <t>Miami Heat Kalshi 6.5% · EV 9.5</t>
        </is>
      </c>
      <c r="D9" s="5" t="inlineStr">
        <is>
          <t>Philadelphia Phillies · EV 9.9 · [Mitchell]</t>
        </is>
      </c>
      <c r="E9" s="5" t="inlineStr">
        <is>
          <t>Utah Mammoth Kalshi 3.0% · EV 9.9</t>
        </is>
      </c>
      <c r="F9" s="5" t="inlineStr">
        <is>
          <t>BYU Kalshi 3.5% · EV 8.4 · [Tim]</t>
        </is>
      </c>
      <c r="G9" s="5" t="inlineStr">
        <is>
          <t>Arizona +2500 · EV 9.7</t>
        </is>
      </c>
      <c r="H9" s="5" t="inlineStr">
        <is>
          <t>Coco Gauff · EV 7.5 · [Wu]</t>
        </is>
      </c>
      <c r="I9" s="5" t="inlineStr">
        <is>
          <t>Chris Gotterup · EV 7.9</t>
        </is>
      </c>
      <c r="J9" s="5" t="inlineStr">
        <is>
          <t>Chase Elliott 2026 title: Kalshi 1.0% · EV 7.0 · [Todd]</t>
        </is>
      </c>
      <c r="K9" s="5" t="inlineStr">
        <is>
          <t>Los Angeles FC 2026 Cup: Kalshi 5.5% · EV 8.1 · [Buckley]</t>
        </is>
      </c>
      <c r="L9" s="5" t="inlineStr">
        <is>
          <t>Brian Tyree Henry · EV 6.9</t>
        </is>
      </c>
      <c r="M9" s="5" t="inlineStr">
        <is>
          <t>Amy Adams · EV 6.9</t>
        </is>
      </c>
      <c r="N9" s="5" t="inlineStr">
        <is>
          <t>Ariana Grande Grammy EV 2.7 (raw 2.7, P(cap) 0%) · EV 10.7</t>
        </is>
      </c>
      <c r="O9" s="5" t="inlineStr">
        <is>
          <t>Saudi Arabia IMF Oct-2026 2027: 7.9% · EV 4.6</t>
        </is>
      </c>
      <c r="P9" s="5" t="inlineStr">
        <is>
          <t>HOOD (Long) · EV 7.0</t>
        </is>
      </c>
    </row>
    <row r="10">
      <c r="A10" t="inlineStr">
        <is>
          <t>#9</t>
        </is>
      </c>
      <c r="B10" s="5" t="inlineStr">
        <is>
          <t>New England Patriots Kalshi 2.5% · EV 9.5 · [Feder]</t>
        </is>
      </c>
      <c r="C10" s="5" t="inlineStr">
        <is>
          <t>Los Angeles Lakers Kalshi 3.5% · EV 9.2 · [Theo]</t>
        </is>
      </c>
      <c r="D10" s="5" t="inlineStr">
        <is>
          <t>Boston Red Sox · EV 9.6</t>
        </is>
      </c>
      <c r="E10" s="5" t="inlineStr">
        <is>
          <t>Washington Capitals Kalshi 5.5% · EV 9.5 · [Feder]</t>
        </is>
      </c>
      <c r="F10" s="5" t="inlineStr">
        <is>
          <t>Ole Miss Kalshi 4.5% · EV 8.2 · [Todd]</t>
        </is>
      </c>
      <c r="G10" s="5" t="inlineStr">
        <is>
          <t>Kansas +4000 · EV 7.7 · [Shep]</t>
        </is>
      </c>
      <c r="H10" s="5" t="inlineStr">
        <is>
          <t>Mirra Andreeva · EV 7.0</t>
        </is>
      </c>
      <c r="I10" s="5" t="inlineStr">
        <is>
          <t>Sam Burns · EV 7.4</t>
        </is>
      </c>
      <c r="J10" s="5" t="inlineStr">
        <is>
          <t>Tyler Reddick 2026 title: Kalshi 2.0% · EV 6.9 · [Feder]</t>
        </is>
      </c>
      <c r="K10" s="5" t="inlineStr">
        <is>
          <t>Houston Dynamo FC 2026 Cup: Kalshi 3.5% · EV 8.1</t>
        </is>
      </c>
      <c r="L10" s="5" t="inlineStr">
        <is>
          <t>Matt Berry · EV 6.7</t>
        </is>
      </c>
      <c r="M10" s="5" t="inlineStr">
        <is>
          <t>Inde Navarrette · EV 6.8</t>
        </is>
      </c>
      <c r="N10" s="5" t="inlineStr">
        <is>
          <t>Raye Grammy EV 5.8 (raw 5.9, P(cap) 6%) · EV 10.4</t>
        </is>
      </c>
      <c r="O10" s="5" t="inlineStr">
        <is>
          <t>Guinea IMF Oct-2026 2027: 7.8% · EV 4.4 · [Todd]</t>
        </is>
      </c>
      <c r="P10" s="5" t="inlineStr">
        <is>
          <t>TSLA (Long) · EV 7.0</t>
        </is>
      </c>
    </row>
    <row r="11">
      <c r="A11" t="inlineStr">
        <is>
          <t>#10</t>
        </is>
      </c>
      <c r="B11" s="5" t="inlineStr">
        <is>
          <t>Cincinnati Bengals Kalshi 3.5% · EV 9.4</t>
        </is>
      </c>
      <c r="C11" s="5" t="inlineStr">
        <is>
          <t>Detroit Pistons +2200 · EV 9.0</t>
        </is>
      </c>
      <c r="D11" s="5" t="inlineStr">
        <is>
          <t>Arizona Diamondbacks · EV 9.0</t>
        </is>
      </c>
      <c r="E11" s="5" t="inlineStr">
        <is>
          <t>Dallas Stars Kalshi 5.5% · EV 9.1 · [Mitchell]</t>
        </is>
      </c>
      <c r="F11" s="5" t="inlineStr">
        <is>
          <t>LSU Kalshi 4.5% · EV 7.9</t>
        </is>
      </c>
      <c r="G11" s="5" t="inlineStr">
        <is>
          <t>Kentucky · EV 7.4 · [Feder]</t>
        </is>
      </c>
      <c r="H11" s="5" t="inlineStr">
        <is>
          <t>Felix Auger-Aliassime · EV 6.7</t>
        </is>
      </c>
      <c r="I11" s="5" t="inlineStr">
        <is>
          <t>Xander Schauffele · EV 6.9 · [Tim]</t>
        </is>
      </c>
      <c r="J11" s="5" t="inlineStr">
        <is>
          <t>Shane van Gisbergen 2026 title: Kalshi 0.5% · EV 6.7 · [Mitchell]</t>
        </is>
      </c>
      <c r="K11" s="5" t="inlineStr">
        <is>
          <t>San Jose Earthquakes 2026 Cup: Kalshi 2.5% · EV 8.1</t>
        </is>
      </c>
      <c r="L11" s="5" t="inlineStr">
        <is>
          <t>Jake Johnson · EV 6.5</t>
        </is>
      </c>
      <c r="M11" s="5" t="inlineStr">
        <is>
          <t>Mia Goth · EV 6.8</t>
        </is>
      </c>
      <c r="N11" s="5" t="inlineStr">
        <is>
          <t>BTS Grammy EV 2.6 · EV 9.9 · [Theo]</t>
        </is>
      </c>
      <c r="O11" s="5" t="inlineStr">
        <is>
          <t>Ethiopia IMF Oct-2026 2027: 7.8% · EV 4.3</t>
        </is>
      </c>
      <c r="P11" s="5" t="inlineStr">
        <is>
          <t>SOFI (Long) · EV 7.0 · [Jens]</t>
        </is>
      </c>
    </row>
    <row r="12">
      <c r="A12" t="inlineStr">
        <is>
          <t>#11</t>
        </is>
      </c>
      <c r="B12" s="5" t="inlineStr">
        <is>
          <t>Detroit Lions +3500 · EV 9.1 · [Jamzee]</t>
        </is>
      </c>
      <c r="C12" s="5" t="inlineStr">
        <is>
          <t>Denver Nuggets Kalshi 2.5% · EV 8.7 · [Tim]</t>
        </is>
      </c>
      <c r="D12" s="5" t="inlineStr">
        <is>
          <t>Cleveland Guardians · EV 8.8 · [Fryar]</t>
        </is>
      </c>
      <c r="E12" s="5" t="inlineStr">
        <is>
          <t>Boston Bruins Kalshi +9900 · EV 8.6 · [Shep]</t>
        </is>
      </c>
      <c r="F12" s="5" t="inlineStr">
        <is>
          <t>Oregon Kalshi 2.0% · EV 6.4 · [Buckley]</t>
        </is>
      </c>
      <c r="G12" s="5" t="inlineStr">
        <is>
          <t>Purdue +6500 · EV 6.6 · [Korch]</t>
        </is>
      </c>
      <c r="H12" s="5" t="inlineStr">
        <is>
          <t>Daniil Medvedev · EV 6.2 · [Molmen]</t>
        </is>
      </c>
      <c r="I12" s="5" t="inlineStr">
        <is>
          <t>Collin Morikawa · EV 6.5 · [Buckley]</t>
        </is>
      </c>
      <c r="J12" s="5" t="inlineStr">
        <is>
          <t>Michael McDowell 2026 title: Kalshi 0.5% · EV 6.6</t>
        </is>
      </c>
      <c r="K12" s="5" t="inlineStr">
        <is>
          <t>Charlotte FC 2026 Cup: Kalshi 2.5% · EV 7.9 · [Tim]</t>
        </is>
      </c>
      <c r="L12" s="5" t="inlineStr">
        <is>
          <t>Shameik Moore · EV 6.5</t>
        </is>
      </c>
      <c r="M12" s="5" t="inlineStr">
        <is>
          <t>Rachel Brosnahan · EV 6.6</t>
        </is>
      </c>
      <c r="N12" s="5" t="inlineStr">
        <is>
          <t>Morgan Wallen Grammy EV 0.8 · EV 9.2</t>
        </is>
      </c>
      <c r="O12" s="5" t="inlineStr">
        <is>
          <t>United Arab Emirates IMF Oct-2026 2027: 7.7% · EV 4.2</t>
        </is>
      </c>
      <c r="P12" s="5" t="inlineStr">
        <is>
          <t>IONQ (Long) · EV 7.0</t>
        </is>
      </c>
    </row>
    <row r="13">
      <c r="A13" t="inlineStr">
        <is>
          <t>#12</t>
        </is>
      </c>
      <c r="B13" s="5" t="inlineStr">
        <is>
          <t>Seattle Seahawks Kalshi 8.5% · EV 8.9 · [Tim]</t>
        </is>
      </c>
      <c r="C13" s="5" t="inlineStr">
        <is>
          <t>Houston Rockets Kalshi 1.5% · EV 8.4 · [Korch]</t>
        </is>
      </c>
      <c r="D13" s="5" t="inlineStr">
        <is>
          <t>Pittsburgh Pirates · EV 8.8</t>
        </is>
      </c>
      <c r="E13" s="5" t="inlineStr">
        <is>
          <t>Ottawa Senators Kalshi +3900 · EV 7.9</t>
        </is>
      </c>
      <c r="F13" s="5" t="inlineStr">
        <is>
          <t>Texas Tech Kalshi 1.5% · EV 6.1 · [Molmen]</t>
        </is>
      </c>
      <c r="G13" s="5" t="inlineStr">
        <is>
          <t>Louisville · EV 6.5 · [Buckley]</t>
        </is>
      </c>
      <c r="H13" s="5" t="inlineStr">
        <is>
          <t>Linda Noskova · EV 6.1</t>
        </is>
      </c>
      <c r="I13" s="5" t="inlineStr">
        <is>
          <t>J.J. Spaun · EV 6.1 · [Mitchell]</t>
        </is>
      </c>
      <c r="J13" s="5" t="inlineStr">
        <is>
          <t>Ty Gibbs 2026 title: Kalshi 0.5% · EV 6.6</t>
        </is>
      </c>
      <c r="K13" s="5" t="inlineStr">
        <is>
          <t>Philadelphia Union 2026 Cup: Kalshi 3.5% · EV 7.8 · [Mitchell]</t>
        </is>
      </c>
      <c r="L13" s="5" t="inlineStr">
        <is>
          <t>Jason Schwartzman · EV 6.4</t>
        </is>
      </c>
      <c r="M13" s="5" t="inlineStr">
        <is>
          <t>Isabela Merced · EV 6.5</t>
        </is>
      </c>
      <c r="N13" s="5" t="inlineStr">
        <is>
          <t>Drake Grammy EV 1.4 · EV 9.2 · [Shep]</t>
        </is>
      </c>
      <c r="O13" s="5" t="inlineStr">
        <is>
          <t>Venezuela IMF Oct-2026 2027: 7.0% · EV 4.2</t>
        </is>
      </c>
      <c r="P13" s="5" t="inlineStr">
        <is>
          <t>MSTR (Short) · EV 7.0</t>
        </is>
      </c>
    </row>
    <row r="14">
      <c r="A14" t="inlineStr">
        <is>
          <t>#13</t>
        </is>
      </c>
      <c r="B14" s="5" t="inlineStr">
        <is>
          <t>Green Bay Packers +3500 · EV 8.2 · [Fryar]</t>
        </is>
      </c>
      <c r="C14" s="5" t="inlineStr">
        <is>
          <t>Indiana Pacers Kalshi 1.5% · EV 8.0</t>
        </is>
      </c>
      <c r="D14" s="5" t="inlineStr">
        <is>
          <t>Toronto Blue Jays · EV 8.7 · [Korch]</t>
        </is>
      </c>
      <c r="E14" s="5" t="inlineStr">
        <is>
          <t>New Jersey Devils Kalshi 3.5% · EV 7.5 · [Wu]</t>
        </is>
      </c>
      <c r="F14" s="5" t="inlineStr">
        <is>
          <t>Utah Kalshi 1.5% · EV 5.3</t>
        </is>
      </c>
      <c r="G14" s="5" t="inlineStr">
        <is>
          <t>Tennessee · EV 6.5</t>
        </is>
      </c>
      <c r="H14" s="5" t="inlineStr">
        <is>
          <t>Flavio Cobolli · EV 5.6</t>
        </is>
      </c>
      <c r="I14" s="5" t="inlineStr">
        <is>
          <t>Viktor Hovland · EV 5.7 · [Fryar]</t>
        </is>
      </c>
      <c r="J14" s="5" t="inlineStr">
        <is>
          <t>AJ Allmendinger 2026 title: Kalshi 0.5% · EV 6.6</t>
        </is>
      </c>
      <c r="K14" s="5" t="inlineStr">
        <is>
          <t>Seattle Sounders FC 2026 Cup: Kalshi 1.5% · EV 7.6 · [Jamzee]</t>
        </is>
      </c>
      <c r="L14" s="5" t="inlineStr">
        <is>
          <t>John Mulaney · EV 6.4</t>
        </is>
      </c>
      <c r="M14" s="5" t="inlineStr">
        <is>
          <t>Sara Sampaio · EV 6.5</t>
        </is>
      </c>
      <c r="N14" s="5" t="inlineStr">
        <is>
          <t>Bad Bunny Grammy EV 1.1 · EV 8.3 · [Mitchell]</t>
        </is>
      </c>
      <c r="O14" s="5" t="inlineStr">
        <is>
          <t>Vietnam IMF Oct-2026 2027: 7.5% · EV 4.0</t>
        </is>
      </c>
      <c r="P14" s="5" t="inlineStr">
        <is>
          <t>CRWV (Long) · EV 7.0</t>
        </is>
      </c>
    </row>
    <row r="15">
      <c r="A15" t="inlineStr">
        <is>
          <t>#14</t>
        </is>
      </c>
      <c r="B15" s="6" t="inlineStr">
        <is>
          <t>Los Angeles Rams Kalshi 11.5% · EV 7.5 · [Mitchell]</t>
        </is>
      </c>
      <c r="C15" s="6" t="inlineStr">
        <is>
          <t>Cleveland Cavaliers Kalshi 2.5% · EV 7.6 · [Jens]</t>
        </is>
      </c>
      <c r="D15" s="6" t="inlineStr">
        <is>
          <t>Baltimore Orioles · EV 8.6</t>
        </is>
      </c>
      <c r="E15" s="6" t="inlineStr">
        <is>
          <t>Montreal Canadiens Kalshi 4.5% · EV 7.5</t>
        </is>
      </c>
      <c r="F15" s="6" t="inlineStr">
        <is>
          <t>Missouri +10000 · EV 4.7</t>
        </is>
      </c>
      <c r="G15" s="6" t="inlineStr">
        <is>
          <t>Alabama · EV 6.5 · [Mitchell]</t>
        </is>
      </c>
      <c r="H15" s="6" t="inlineStr">
        <is>
          <t>Elina Svitolina · EV 5.3</t>
        </is>
      </c>
      <c r="I15" s="6" t="inlineStr">
        <is>
          <t>Si Woo Kim · EV 5.4</t>
        </is>
      </c>
      <c r="J15" s="6" t="inlineStr">
        <is>
          <t>Alex Bowman 2026 title: Kalshi 0.5% · EV 6.6</t>
        </is>
      </c>
      <c r="K15" s="6" t="inlineStr">
        <is>
          <t>LA Galaxy 2026 Cup: Kalshi 1.5% · EV 7.5 · [Molmen]</t>
        </is>
      </c>
      <c r="L15" s="6" t="inlineStr">
        <is>
          <t>Karan Soni · EV 6.4</t>
        </is>
      </c>
      <c r="M15" s="6" t="inlineStr">
        <is>
          <t>María Gabriela de Faría · EV 6.5</t>
        </is>
      </c>
      <c r="N15" s="6" t="inlineStr">
        <is>
          <t>Phoebe Bridgers Grammy EV 3.7 (raw 3.7, P(cap) 1%) · EV 8.3</t>
        </is>
      </c>
      <c r="O15" s="6" t="inlineStr">
        <is>
          <t>South Sudan IMF Oct-2026 2027: 3.9% · EV 3.8 · [Mitchell]</t>
        </is>
      </c>
      <c r="P15" s="6" t="inlineStr">
        <is>
          <t>CVNA (Short) · EV 7.0 · [Mitchell]</t>
        </is>
      </c>
    </row>
    <row r="16">
      <c r="A16" t="inlineStr">
        <is>
          <t>#15</t>
        </is>
      </c>
      <c r="B16" s="6" t="inlineStr">
        <is>
          <t>Houston Texans +4500 · EV 6.7</t>
        </is>
      </c>
      <c r="C16" s="6" t="inlineStr">
        <is>
          <t>Portland Trail Blazers · EV 7.1</t>
        </is>
      </c>
      <c r="D16" s="6" t="inlineStr">
        <is>
          <t>New York Mets · EV 8.6 · [Feder]</t>
        </is>
      </c>
      <c r="E16" s="6" t="inlineStr">
        <is>
          <t>San Jose Sharks Kalshi 4.5% · EV 7.3</t>
        </is>
      </c>
      <c r="F16" s="6" t="inlineStr">
        <is>
          <t>Tennessee Kalshi 1.5% · EV 4.2</t>
        </is>
      </c>
      <c r="G16" s="6" t="inlineStr">
        <is>
          <t>Texas Tech · EV 6.4</t>
        </is>
      </c>
      <c r="H16" s="6" t="inlineStr">
        <is>
          <t>Novak Djokovic +1600 AO 2027 · EV 5.1 · [Shep]</t>
        </is>
      </c>
      <c r="I16" s="6" t="inlineStr">
        <is>
          <t>Jon Rahm · EV 5.1 · [Shep]</t>
        </is>
      </c>
      <c r="J16" s="6" t="inlineStr">
        <is>
          <t>Riley Herbst 2026 title: Kalshi 0.5% · EV 6.6</t>
        </is>
      </c>
      <c r="K16" s="6" t="inlineStr">
        <is>
          <t>Orlando City SC 2026 Cup: Kalshi 0.5% · EV 7.4 · [Shep]</t>
        </is>
      </c>
      <c r="L16" s="6" t="inlineStr">
        <is>
          <t>Daniel Kaluuya · EV 6.4</t>
        </is>
      </c>
      <c r="M16" s="6" t="inlineStr">
        <is>
          <t>Milly Alcock · EV 6.5</t>
        </is>
      </c>
      <c r="N16" s="6" t="inlineStr">
        <is>
          <t>Justin Bieber Grammy EV 0.3 · EV 7.6 · [Fryar]</t>
        </is>
      </c>
      <c r="O16" s="6" t="inlineStr">
        <is>
          <t>Rwanda IMF Oct-2026 2027: 7.2% · EV 3.6</t>
        </is>
      </c>
      <c r="P16" s="6" t="inlineStr">
        <is>
          <t>LULU (Long) · EV 7.0 · [Wu]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36" customWidth="1" min="17" max="17"/>
  </cols>
  <sheetData>
    <row r="1">
      <c r="A1" s="7" t="inlineStr">
        <is>
          <t>Player</t>
        </is>
      </c>
      <c r="B1" s="7" t="inlineStr">
        <is>
          <t>NFL</t>
        </is>
      </c>
      <c r="C1" s="7" t="inlineStr">
        <is>
          <t>NBA</t>
        </is>
      </c>
      <c r="D1" s="7" t="inlineStr">
        <is>
          <t>MLB</t>
        </is>
      </c>
      <c r="E1" s="7" t="inlineStr">
        <is>
          <t>NHL</t>
        </is>
      </c>
      <c r="F1" s="7" t="inlineStr">
        <is>
          <t>NCAAF</t>
        </is>
      </c>
      <c r="G1" s="7" t="inlineStr">
        <is>
          <t>NCAAB</t>
        </is>
      </c>
      <c r="H1" s="7" t="inlineStr">
        <is>
          <t>Tennis</t>
        </is>
      </c>
      <c r="I1" s="7" t="inlineStr">
        <is>
          <t>Golf</t>
        </is>
      </c>
      <c r="J1" s="7" t="inlineStr">
        <is>
          <t>NASCAR</t>
        </is>
      </c>
      <c r="K1" s="7" t="inlineStr">
        <is>
          <t>MLS</t>
        </is>
      </c>
      <c r="L1" s="7" t="inlineStr">
        <is>
          <t>Actor</t>
        </is>
      </c>
      <c r="M1" s="7" t="inlineStr">
        <is>
          <t>Actress</t>
        </is>
      </c>
      <c r="N1" s="7" t="inlineStr">
        <is>
          <t>Musician</t>
        </is>
      </c>
      <c r="O1" s="7" t="inlineStr">
        <is>
          <t>Country</t>
        </is>
      </c>
      <c r="P1" s="7" t="inlineStr">
        <is>
          <t>Stock</t>
        </is>
      </c>
      <c r="Q1" s="7" t="inlineStr">
        <is>
          <t>Best keeper (by VOR)</t>
        </is>
      </c>
    </row>
    <row r="2">
      <c r="A2" s="8" t="inlineStr">
        <is>
          <t>Tim</t>
        </is>
      </c>
      <c r="B2" t="inlineStr">
        <is>
          <t>Seattle Seahawks</t>
        </is>
      </c>
      <c r="C2" t="inlineStr">
        <is>
          <t>Denver Nuggets</t>
        </is>
      </c>
      <c r="D2" t="inlineStr">
        <is>
          <t>Chicago Cubs</t>
        </is>
      </c>
      <c r="E2" s="9" t="inlineStr">
        <is>
          <t>Vegas Golden Knights</t>
        </is>
      </c>
      <c r="F2" t="inlineStr">
        <is>
          <t>BYU</t>
        </is>
      </c>
      <c r="G2" t="inlineStr">
        <is>
          <t>St. John's</t>
        </is>
      </c>
      <c r="H2" t="inlineStr">
        <is>
          <t>Madison Keys</t>
        </is>
      </c>
      <c r="I2" t="inlineStr">
        <is>
          <t>Xander Schauffele</t>
        </is>
      </c>
      <c r="J2" t="inlineStr">
        <is>
          <t>Bubba Wallace</t>
        </is>
      </c>
      <c r="K2" t="inlineStr">
        <is>
          <t>Charlotte FC</t>
        </is>
      </c>
      <c r="L2" t="inlineStr">
        <is>
          <t>Sean Penn</t>
        </is>
      </c>
      <c r="M2" t="inlineStr">
        <is>
          <t>Ariana Grande</t>
        </is>
      </c>
      <c r="N2" t="inlineStr">
        <is>
          <t>Kendrick Lamar</t>
        </is>
      </c>
      <c r="O2" t="inlineStr">
        <is>
          <t>Netherlands</t>
        </is>
      </c>
      <c r="P2" t="inlineStr">
        <is>
          <t>COIN (Long)</t>
        </is>
      </c>
      <c r="Q2" t="inlineStr">
        <is>
          <t>Vegas Golden Knights (NHL, VOR 0.3)</t>
        </is>
      </c>
    </row>
    <row r="3">
      <c r="A3" s="8" t="inlineStr">
        <is>
          <t>Wu</t>
        </is>
      </c>
      <c r="B3" t="inlineStr">
        <is>
          <t>Baltimore Ravens</t>
        </is>
      </c>
      <c r="C3" s="9" t="inlineStr">
        <is>
          <t>San Antonio Spurs</t>
        </is>
      </c>
      <c r="D3" t="inlineStr">
        <is>
          <t>Los Angeles Dodgers</t>
        </is>
      </c>
      <c r="E3" t="inlineStr">
        <is>
          <t>New Jersey Devils</t>
        </is>
      </c>
      <c r="F3" t="inlineStr">
        <is>
          <t>Miami (FL)</t>
        </is>
      </c>
      <c r="G3" t="inlineStr">
        <is>
          <t>Florida</t>
        </is>
      </c>
      <c r="H3" t="inlineStr">
        <is>
          <t>Coco Gauff</t>
        </is>
      </c>
      <c r="I3" t="inlineStr">
        <is>
          <t>Scottie Scheffler</t>
        </is>
      </c>
      <c r="J3" t="inlineStr">
        <is>
          <t>Christopher Bell</t>
        </is>
      </c>
      <c r="K3" t="inlineStr">
        <is>
          <t>Minnesota United FC</t>
        </is>
      </c>
      <c r="L3" t="inlineStr">
        <is>
          <t>Wagner Moura</t>
        </is>
      </c>
      <c r="M3" t="inlineStr">
        <is>
          <t>Zendaya</t>
        </is>
      </c>
      <c r="N3" t="inlineStr">
        <is>
          <t>FKA Twigs</t>
        </is>
      </c>
      <c r="O3" t="inlineStr">
        <is>
          <t>United States</t>
        </is>
      </c>
      <c r="P3" t="inlineStr">
        <is>
          <t>LULU (Long)</t>
        </is>
      </c>
      <c r="Q3" t="inlineStr">
        <is>
          <t>San Antonio Spurs (NBA, VOR 6.2)</t>
        </is>
      </c>
    </row>
    <row r="4">
      <c r="A4" s="8" t="inlineStr">
        <is>
          <t>Jens</t>
        </is>
      </c>
      <c r="B4" t="inlineStr">
        <is>
          <t>Buffalo Bills</t>
        </is>
      </c>
      <c r="C4" t="inlineStr">
        <is>
          <t>Cleveland Cavaliers</t>
        </is>
      </c>
      <c r="D4" t="inlineStr">
        <is>
          <t>New York Yankees</t>
        </is>
      </c>
      <c r="E4" t="inlineStr">
        <is>
          <t>Toronto Maple Leafs</t>
        </is>
      </c>
      <c r="F4" t="inlineStr">
        <is>
          <t>Georgia Tech</t>
        </is>
      </c>
      <c r="G4" s="9" t="inlineStr">
        <is>
          <t>Duke</t>
        </is>
      </c>
      <c r="H4" t="inlineStr">
        <is>
          <t>Jasmine Paolini</t>
        </is>
      </c>
      <c r="I4" t="inlineStr">
        <is>
          <t>Russell Henley</t>
        </is>
      </c>
      <c r="J4" t="inlineStr">
        <is>
          <t>Chase Briscoe</t>
        </is>
      </c>
      <c r="K4" t="inlineStr">
        <is>
          <t>San Diego FC</t>
        </is>
      </c>
      <c r="L4" t="inlineStr">
        <is>
          <t>George Clooney</t>
        </is>
      </c>
      <c r="M4" t="inlineStr">
        <is>
          <t>Amanda Seyfried</t>
        </is>
      </c>
      <c r="N4" t="inlineStr">
        <is>
          <t>Sabrina Carpenter</t>
        </is>
      </c>
      <c r="O4" t="inlineStr">
        <is>
          <t>Germany</t>
        </is>
      </c>
      <c r="P4" t="inlineStr">
        <is>
          <t>SOFI (Long)</t>
        </is>
      </c>
      <c r="Q4" t="inlineStr">
        <is>
          <t>Duke (NCAAB, VOR 5.0)</t>
        </is>
      </c>
    </row>
    <row r="5">
      <c r="A5" s="8" t="inlineStr">
        <is>
          <t>Todd</t>
        </is>
      </c>
      <c r="B5" t="inlineStr">
        <is>
          <t>San Francisco 49ers</t>
        </is>
      </c>
      <c r="C5" t="inlineStr">
        <is>
          <t>Minnesota Timberwolves</t>
        </is>
      </c>
      <c r="D5" t="inlineStr">
        <is>
          <t>Atlanta Braves</t>
        </is>
      </c>
      <c r="E5" t="inlineStr">
        <is>
          <t>Florida Panthers</t>
        </is>
      </c>
      <c r="F5" t="inlineStr">
        <is>
          <t>Ole Miss</t>
        </is>
      </c>
      <c r="G5" t="inlineStr">
        <is>
          <t>UCLA</t>
        </is>
      </c>
      <c r="H5" t="inlineStr">
        <is>
          <t>Carlos Alcaraz</t>
        </is>
      </c>
      <c r="I5" t="inlineStr">
        <is>
          <t>Patrick Cantlay</t>
        </is>
      </c>
      <c r="J5" t="inlineStr">
        <is>
          <t>Chase Elliott</t>
        </is>
      </c>
      <c r="K5" t="inlineStr">
        <is>
          <t>New York Red Bulls</t>
        </is>
      </c>
      <c r="L5" t="inlineStr">
        <is>
          <t>Leonardo DiCaprio</t>
        </is>
      </c>
      <c r="M5" t="inlineStr">
        <is>
          <t>Teyana Taylor</t>
        </is>
      </c>
      <c r="N5" s="9" t="inlineStr">
        <is>
          <t>Olivia Rodrigo</t>
        </is>
      </c>
      <c r="O5" t="inlineStr">
        <is>
          <t>Guinea</t>
        </is>
      </c>
      <c r="P5" t="inlineStr">
        <is>
          <t>NVDA (Long)</t>
        </is>
      </c>
      <c r="Q5" t="inlineStr">
        <is>
          <t>Olivia Rodrigo (Musician, VOR 7.3)</t>
        </is>
      </c>
    </row>
    <row r="6">
      <c r="A6" s="8" t="inlineStr">
        <is>
          <t>Mitchell</t>
        </is>
      </c>
      <c r="B6" t="inlineStr">
        <is>
          <t>Los Angeles Rams</t>
        </is>
      </c>
      <c r="C6" t="inlineStr">
        <is>
          <t>Golden State Warriors</t>
        </is>
      </c>
      <c r="D6" t="inlineStr">
        <is>
          <t>Philadelphia Phillies</t>
        </is>
      </c>
      <c r="E6" t="inlineStr">
        <is>
          <t>Dallas Stars</t>
        </is>
      </c>
      <c r="F6" s="9" t="inlineStr">
        <is>
          <t>Ohio State</t>
        </is>
      </c>
      <c r="G6" t="inlineStr">
        <is>
          <t>Alabama</t>
        </is>
      </c>
      <c r="H6" t="inlineStr">
        <is>
          <t>Taylor Fritz</t>
        </is>
      </c>
      <c r="I6" t="inlineStr">
        <is>
          <t>J.J. Spaun</t>
        </is>
      </c>
      <c r="J6" t="inlineStr">
        <is>
          <t>Shane van Gisbergen</t>
        </is>
      </c>
      <c r="K6" t="inlineStr">
        <is>
          <t>Philadelphia Union</t>
        </is>
      </c>
      <c r="L6" t="inlineStr">
        <is>
          <t>Pedro Pascal</t>
        </is>
      </c>
      <c r="M6" t="inlineStr">
        <is>
          <t>Charlize Theron</t>
        </is>
      </c>
      <c r="N6" t="inlineStr">
        <is>
          <t>Bad Bunny</t>
        </is>
      </c>
      <c r="O6" t="inlineStr">
        <is>
          <t>South Sudan</t>
        </is>
      </c>
      <c r="P6" t="inlineStr">
        <is>
          <t>CVNA (Short)</t>
        </is>
      </c>
      <c r="Q6" t="inlineStr">
        <is>
          <t>Ohio State (NCAAF, VOR 4.4)</t>
        </is>
      </c>
    </row>
    <row r="7">
      <c r="A7" s="8" t="inlineStr">
        <is>
          <t>Shep</t>
        </is>
      </c>
      <c r="B7" s="9" t="inlineStr">
        <is>
          <t>Kansas City Chiefs</t>
        </is>
      </c>
      <c r="C7" t="inlineStr">
        <is>
          <t>Boston Celtics</t>
        </is>
      </c>
      <c r="D7" t="inlineStr">
        <is>
          <t>Houston Astros</t>
        </is>
      </c>
      <c r="E7" t="inlineStr">
        <is>
          <t>Boston Bruins</t>
        </is>
      </c>
      <c r="F7" t="inlineStr">
        <is>
          <t>Michigan</t>
        </is>
      </c>
      <c r="G7" t="inlineStr">
        <is>
          <t>Kansas</t>
        </is>
      </c>
      <c r="H7" t="inlineStr">
        <is>
          <t>Novak Djokovic</t>
        </is>
      </c>
      <c r="I7" t="inlineStr">
        <is>
          <t>Jon Rahm</t>
        </is>
      </c>
      <c r="J7" t="inlineStr">
        <is>
          <t>Daniel Suarez</t>
        </is>
      </c>
      <c r="K7" t="inlineStr">
        <is>
          <t>Orlando City SC</t>
        </is>
      </c>
      <c r="L7" t="inlineStr">
        <is>
          <t>Jeremy Allen White</t>
        </is>
      </c>
      <c r="M7" t="inlineStr">
        <is>
          <t>Tessa Thompson</t>
        </is>
      </c>
      <c r="N7" t="inlineStr">
        <is>
          <t>Drake</t>
        </is>
      </c>
      <c r="O7" t="inlineStr">
        <is>
          <t>France</t>
        </is>
      </c>
      <c r="P7" t="inlineStr">
        <is>
          <t>TSLA (Short)</t>
        </is>
      </c>
      <c r="Q7" t="inlineStr">
        <is>
          <t>Kansas City Chiefs (NFL, VOR 4.0)</t>
        </is>
      </c>
    </row>
    <row r="8">
      <c r="A8" s="8" t="inlineStr">
        <is>
          <t>Theo</t>
        </is>
      </c>
      <c r="B8" t="inlineStr">
        <is>
          <t>Indianapolis Colts</t>
        </is>
      </c>
      <c r="C8" t="inlineStr">
        <is>
          <t>Los Angeles Lakers</t>
        </is>
      </c>
      <c r="D8" t="inlineStr">
        <is>
          <t>San Diego Padres</t>
        </is>
      </c>
      <c r="E8" t="inlineStr">
        <is>
          <t>Detroit Red Wings</t>
        </is>
      </c>
      <c r="F8" s="9" t="inlineStr">
        <is>
          <t>Georgia</t>
        </is>
      </c>
      <c r="G8" t="inlineStr">
        <is>
          <t>Houston</t>
        </is>
      </c>
      <c r="H8" t="inlineStr">
        <is>
          <t>Alexander Zverev</t>
        </is>
      </c>
      <c r="I8" t="inlineStr">
        <is>
          <t>Justin Thomas</t>
        </is>
      </c>
      <c r="J8" t="inlineStr">
        <is>
          <t>Denny Hamlin</t>
        </is>
      </c>
      <c r="K8" t="inlineStr">
        <is>
          <t>Inter Miami CF</t>
        </is>
      </c>
      <c r="L8" t="inlineStr">
        <is>
          <t>Dwayne Johnson</t>
        </is>
      </c>
      <c r="M8" t="inlineStr">
        <is>
          <t>Sydney Sweeney</t>
        </is>
      </c>
      <c r="N8" t="inlineStr">
        <is>
          <t>BTS</t>
        </is>
      </c>
      <c r="O8" t="inlineStr">
        <is>
          <t>Switzerland</t>
        </is>
      </c>
      <c r="P8" t="inlineStr">
        <is>
          <t>CMG (Long)</t>
        </is>
      </c>
      <c r="Q8" t="inlineStr">
        <is>
          <t>Georgia (NCAAF, VOR 6.2)</t>
        </is>
      </c>
    </row>
    <row r="9">
      <c r="A9" s="8" t="inlineStr">
        <is>
          <t>Feder</t>
        </is>
      </c>
      <c r="B9" t="inlineStr">
        <is>
          <t>New England Patriots</t>
        </is>
      </c>
      <c r="C9" s="9" t="inlineStr">
        <is>
          <t>Oklahoma City Thunder</t>
        </is>
      </c>
      <c r="D9" t="inlineStr">
        <is>
          <t>New York Mets</t>
        </is>
      </c>
      <c r="E9" t="inlineStr">
        <is>
          <t>Washington Capitals</t>
        </is>
      </c>
      <c r="F9" t="inlineStr">
        <is>
          <t>Notre Dame</t>
        </is>
      </c>
      <c r="G9" t="inlineStr">
        <is>
          <t>Kentucky</t>
        </is>
      </c>
      <c r="H9" t="inlineStr">
        <is>
          <t>Iga Swiatek</t>
        </is>
      </c>
      <c r="I9" t="inlineStr">
        <is>
          <t>Bryson DeChambeau</t>
        </is>
      </c>
      <c r="J9" t="inlineStr">
        <is>
          <t>Tyler Reddick</t>
        </is>
      </c>
      <c r="K9" t="inlineStr">
        <is>
          <t>Vancouver Whitecaps FC</t>
        </is>
      </c>
      <c r="L9" t="inlineStr">
        <is>
          <t>Tom Holland</t>
        </is>
      </c>
      <c r="M9" t="inlineStr">
        <is>
          <t>Cynthia Erivo</t>
        </is>
      </c>
      <c r="N9" t="inlineStr">
        <is>
          <t>Lady Gaga</t>
        </is>
      </c>
      <c r="O9" t="inlineStr">
        <is>
          <t>Brazil</t>
        </is>
      </c>
      <c r="P9" t="inlineStr">
        <is>
          <t>PLTR (Long)</t>
        </is>
      </c>
      <c r="Q9" t="inlineStr">
        <is>
          <t>Oklahoma City Thunder (NBA, VOR 7.9)</t>
        </is>
      </c>
    </row>
    <row r="10">
      <c r="A10" s="8" t="inlineStr">
        <is>
          <t>Fryar</t>
        </is>
      </c>
      <c r="B10" t="inlineStr">
        <is>
          <t>Green Bay Packers</t>
        </is>
      </c>
      <c r="C10" t="inlineStr">
        <is>
          <t>Los Angeles Clippers</t>
        </is>
      </c>
      <c r="D10" t="inlineStr">
        <is>
          <t>Cleveland Guardians</t>
        </is>
      </c>
      <c r="E10" t="inlineStr">
        <is>
          <t>Tampa Bay Lightning</t>
        </is>
      </c>
      <c r="F10" t="inlineStr">
        <is>
          <t>Texas A&amp;M</t>
        </is>
      </c>
      <c r="G10" t="inlineStr">
        <is>
          <t>UConn</t>
        </is>
      </c>
      <c r="H10" s="9" t="inlineStr">
        <is>
          <t>Aryna Sabalenka</t>
        </is>
      </c>
      <c r="I10" t="inlineStr">
        <is>
          <t>Viktor Hovland</t>
        </is>
      </c>
      <c r="J10" t="inlineStr">
        <is>
          <t>Ryan Blaney</t>
        </is>
      </c>
      <c r="K10" t="inlineStr">
        <is>
          <t>Columbus Crew</t>
        </is>
      </c>
      <c r="L10" t="inlineStr">
        <is>
          <t>Chris Hemsworth</t>
        </is>
      </c>
      <c r="M10" t="inlineStr">
        <is>
          <t>Florence Pugh</t>
        </is>
      </c>
      <c r="N10" t="inlineStr">
        <is>
          <t>Justin Bieber</t>
        </is>
      </c>
      <c r="O10" t="inlineStr">
        <is>
          <t>Norway</t>
        </is>
      </c>
      <c r="P10" t="inlineStr">
        <is>
          <t>AVGO (Long)</t>
        </is>
      </c>
      <c r="Q10" t="inlineStr">
        <is>
          <t>Aryna Sabalenka (Tennis, VOR 3.0)</t>
        </is>
      </c>
    </row>
    <row r="11">
      <c r="A11" s="8" t="inlineStr">
        <is>
          <t>Korch</t>
        </is>
      </c>
      <c r="B11" t="inlineStr">
        <is>
          <t>Philadelphia Eagles</t>
        </is>
      </c>
      <c r="C11" t="inlineStr">
        <is>
          <t>Houston Rockets</t>
        </is>
      </c>
      <c r="D11" t="inlineStr">
        <is>
          <t>Toronto Blue Jays</t>
        </is>
      </c>
      <c r="E11" t="inlineStr">
        <is>
          <t>Colorado Avalanche</t>
        </is>
      </c>
      <c r="F11" t="inlineStr">
        <is>
          <t>Indiana</t>
        </is>
      </c>
      <c r="G11" t="inlineStr">
        <is>
          <t>Purdue</t>
        </is>
      </c>
      <c r="H11" t="inlineStr">
        <is>
          <t>Jessica Pegula</t>
        </is>
      </c>
      <c r="I11" t="inlineStr">
        <is>
          <t>Tommy Fleetwood</t>
        </is>
      </c>
      <c r="J11" t="inlineStr">
        <is>
          <t>William Byron</t>
        </is>
      </c>
      <c r="K11" t="inlineStr">
        <is>
          <t>FC Cincinnati</t>
        </is>
      </c>
      <c r="L11" t="inlineStr">
        <is>
          <t>Jon Bernthal</t>
        </is>
      </c>
      <c r="M11" t="inlineStr">
        <is>
          <t>Anne Hathaway</t>
        </is>
      </c>
      <c r="N11" t="inlineStr">
        <is>
          <t>SZA</t>
        </is>
      </c>
      <c r="O11" s="9" t="inlineStr">
        <is>
          <t>Guyana</t>
        </is>
      </c>
      <c r="P11" t="inlineStr">
        <is>
          <t>SMCI (Long)</t>
        </is>
      </c>
      <c r="Q11" t="inlineStr">
        <is>
          <t>Guyana (Country, VOR 3.3)</t>
        </is>
      </c>
    </row>
    <row r="12">
      <c r="A12" s="8" t="inlineStr">
        <is>
          <t>Molmen</t>
        </is>
      </c>
      <c r="B12" t="inlineStr">
        <is>
          <t>Denver Broncos</t>
        </is>
      </c>
      <c r="C12" t="inlineStr">
        <is>
          <t>Milwaukee Bucks</t>
        </is>
      </c>
      <c r="D12" t="inlineStr">
        <is>
          <t>Texas Rangers</t>
        </is>
      </c>
      <c r="E12" t="inlineStr">
        <is>
          <t>New York Rangers</t>
        </is>
      </c>
      <c r="F12" t="inlineStr">
        <is>
          <t>Texas Tech</t>
        </is>
      </c>
      <c r="G12" t="inlineStr">
        <is>
          <t>North Carolina</t>
        </is>
      </c>
      <c r="H12" t="inlineStr">
        <is>
          <t>Daniil Medvedev</t>
        </is>
      </c>
      <c r="I12" t="inlineStr">
        <is>
          <t>Rory McIlroy</t>
        </is>
      </c>
      <c r="J12" s="9" t="inlineStr">
        <is>
          <t>Kyle Larson</t>
        </is>
      </c>
      <c r="K12" t="inlineStr">
        <is>
          <t>LA Galaxy</t>
        </is>
      </c>
      <c r="L12" t="inlineStr">
        <is>
          <t>Matt Damon</t>
        </is>
      </c>
      <c r="M12" t="inlineStr">
        <is>
          <t>Jessie Buckley</t>
        </is>
      </c>
      <c r="N12" t="inlineStr">
        <is>
          <t>Taylor Swift</t>
        </is>
      </c>
      <c r="O12" t="inlineStr">
        <is>
          <t>Argentina</t>
        </is>
      </c>
      <c r="P12" t="inlineStr">
        <is>
          <t>TTWO (Long)</t>
        </is>
      </c>
      <c r="Q12" t="inlineStr">
        <is>
          <t>Kyle Larson (NASCAR, VOR 7.5)</t>
        </is>
      </c>
    </row>
    <row r="13">
      <c r="A13" s="8" t="inlineStr">
        <is>
          <t>Jamzee</t>
        </is>
      </c>
      <c r="B13" t="inlineStr">
        <is>
          <t>Detroit Lions</t>
        </is>
      </c>
      <c r="C13" t="inlineStr">
        <is>
          <t>Orlando Magic</t>
        </is>
      </c>
      <c r="D13" t="inlineStr">
        <is>
          <t>Seattle Mariners</t>
        </is>
      </c>
      <c r="E13" t="inlineStr">
        <is>
          <t>Carolina Hurricanes</t>
        </is>
      </c>
      <c r="F13" t="inlineStr">
        <is>
          <t>Alabama</t>
        </is>
      </c>
      <c r="G13" t="inlineStr">
        <is>
          <t>Michigan</t>
        </is>
      </c>
      <c r="H13" t="inlineStr">
        <is>
          <t>Amanda Anisimova</t>
        </is>
      </c>
      <c r="I13" t="inlineStr">
        <is>
          <t>Ludvig Åberg</t>
        </is>
      </c>
      <c r="J13" s="9" t="inlineStr">
        <is>
          <t>Joey Logano</t>
        </is>
      </c>
      <c r="K13" t="inlineStr">
        <is>
          <t>Seattle Sounders FC</t>
        </is>
      </c>
      <c r="L13" t="inlineStr">
        <is>
          <t>Timothée Chalamet</t>
        </is>
      </c>
      <c r="M13" t="inlineStr">
        <is>
          <t>Emma Stone</t>
        </is>
      </c>
      <c r="N13" t="inlineStr">
        <is>
          <t>The Weeknd</t>
        </is>
      </c>
      <c r="O13" t="inlineStr">
        <is>
          <t>Spain</t>
        </is>
      </c>
      <c r="P13" t="inlineStr">
        <is>
          <t>INTC (Long)</t>
        </is>
      </c>
      <c r="Q13" t="inlineStr">
        <is>
          <t>Joey Logano (NASCAR, VOR 3.3)</t>
        </is>
      </c>
    </row>
    <row r="14">
      <c r="A14" s="8" t="inlineStr">
        <is>
          <t>Buckley</t>
        </is>
      </c>
      <c r="B14" t="inlineStr">
        <is>
          <t>Tampa Bay Buccaneers</t>
        </is>
      </c>
      <c r="C14" t="inlineStr">
        <is>
          <t>New York Knicks</t>
        </is>
      </c>
      <c r="D14" t="inlineStr">
        <is>
          <t>Milwaukee Brewers</t>
        </is>
      </c>
      <c r="E14" t="inlineStr">
        <is>
          <t>Edmonton Oilers</t>
        </is>
      </c>
      <c r="F14" t="inlineStr">
        <is>
          <t>Oregon</t>
        </is>
      </c>
      <c r="G14" t="inlineStr">
        <is>
          <t>Louisville</t>
        </is>
      </c>
      <c r="H14" s="9" t="inlineStr">
        <is>
          <t>Jannik Sinner</t>
        </is>
      </c>
      <c r="I14" t="inlineStr">
        <is>
          <t>Collin Morikawa</t>
        </is>
      </c>
      <c r="J14" t="inlineStr">
        <is>
          <t>Ross Chastain</t>
        </is>
      </c>
      <c r="K14" t="inlineStr">
        <is>
          <t>Los Angeles FC</t>
        </is>
      </c>
      <c r="L14" t="inlineStr">
        <is>
          <t>Robert Pattinson</t>
        </is>
      </c>
      <c r="M14" t="inlineStr">
        <is>
          <t>Anya Taylor-Joy</t>
        </is>
      </c>
      <c r="N14" t="inlineStr">
        <is>
          <t>Beyoncé</t>
        </is>
      </c>
      <c r="O14" t="inlineStr">
        <is>
          <t>Canada</t>
        </is>
      </c>
      <c r="P14" t="inlineStr">
        <is>
          <t>NEE (Long)</t>
        </is>
      </c>
      <c r="Q14" t="inlineStr">
        <is>
          <t>Jannik Sinner (Tennis, VOR 4.0)</t>
        </is>
      </c>
    </row>
    <row r="15">
      <c r="A15" t="inlineStr">
        <is>
          <t>Source: data/rosters.json (2026-league draft). Gold = that player's highest-VOR pick (keeper candidate). Keeper rules not modelled: owned players stay ranked on the board.</t>
        </is>
      </c>
    </row>
    <row r="16">
      <c r="A16" s="8" t="inlineStr">
        <is>
          <t>Value over replacement (VOR) of each current pick — live link to the category tabs</t>
        </is>
      </c>
    </row>
    <row r="17">
      <c r="A17" s="8" t="inlineStr">
        <is>
          <t>Tim</t>
        </is>
      </c>
      <c r="B17" s="10">
        <f>'NFL'!N16</f>
        <v/>
      </c>
      <c r="C17" s="10">
        <f>'NBA'!N15</f>
        <v/>
      </c>
      <c r="D17" s="10">
        <f>'MLB'!N10</f>
        <v/>
      </c>
      <c r="E17" s="10">
        <f>'NHL'!N10</f>
        <v/>
      </c>
      <c r="F17" s="10">
        <f>'NCAAF'!N12</f>
        <v/>
      </c>
      <c r="G17" s="10">
        <f>'NCAAB'!N26</f>
        <v/>
      </c>
      <c r="H17" s="10">
        <f>'Tennis'!N29</f>
        <v/>
      </c>
      <c r="I17" s="10">
        <f>'Golf'!N14</f>
        <v/>
      </c>
      <c r="J17" s="10">
        <f>'NASCAR'!N23</f>
        <v/>
      </c>
      <c r="K17" s="10">
        <f>'MLS'!N15</f>
        <v/>
      </c>
      <c r="L17" s="10">
        <f>'Actor'!N97</f>
        <v/>
      </c>
      <c r="M17" s="10">
        <f>'Actress'!N92</f>
        <v/>
      </c>
      <c r="N17" s="10">
        <f>'Musician'!N21</f>
        <v/>
      </c>
      <c r="O17" s="10">
        <f>'Country'!N61</f>
        <v/>
      </c>
      <c r="P17" s="10">
        <f>'Stock'!N6</f>
        <v/>
      </c>
    </row>
    <row r="18">
      <c r="A18" s="8" t="inlineStr">
        <is>
          <t>Wu</t>
        </is>
      </c>
      <c r="B18" s="10">
        <f>'NFL'!N9</f>
        <v/>
      </c>
      <c r="C18" s="10">
        <f>'NBA'!N6</f>
        <v/>
      </c>
      <c r="D18" s="10">
        <f>'MLB'!N5</f>
        <v/>
      </c>
      <c r="E18" s="10">
        <f>'NHL'!N17</f>
        <v/>
      </c>
      <c r="F18" s="10">
        <f>'NCAAF'!N7</f>
        <v/>
      </c>
      <c r="G18" s="10">
        <f>'NCAAB'!N5</f>
        <v/>
      </c>
      <c r="H18" s="10">
        <f>'Tennis'!N12</f>
        <v/>
      </c>
      <c r="I18" s="10">
        <f>'Golf'!N5</f>
        <v/>
      </c>
      <c r="J18" s="10">
        <f>'NASCAR'!N7</f>
        <v/>
      </c>
      <c r="K18" s="10">
        <f>'MLS'!N26</f>
        <v/>
      </c>
      <c r="L18" s="10">
        <f>'Actor'!N88</f>
        <v/>
      </c>
      <c r="M18" s="10">
        <f>'Actress'!N21</f>
        <v/>
      </c>
      <c r="N18" s="10">
        <f>'Musician'!N34</f>
        <v/>
      </c>
      <c r="O18" s="10">
        <f>'Country'!N57</f>
        <v/>
      </c>
      <c r="P18" s="10">
        <f>'Stock'!N19</f>
        <v/>
      </c>
    </row>
    <row r="19">
      <c r="A19" s="8" t="inlineStr">
        <is>
          <t>Jens</t>
        </is>
      </c>
      <c r="B19" s="10">
        <f>'NFL'!N7</f>
        <v/>
      </c>
      <c r="C19" s="10">
        <f>'NBA'!N18</f>
        <v/>
      </c>
      <c r="D19" s="10">
        <f>'MLB'!N7</f>
        <v/>
      </c>
      <c r="E19" s="10">
        <f>'NHL'!N23</f>
        <v/>
      </c>
      <c r="F19" s="10">
        <f>'NCAAF'!N28</f>
        <v/>
      </c>
      <c r="G19" s="10">
        <f>'NCAAB'!N6</f>
        <v/>
      </c>
      <c r="H19" s="10">
        <f>'Tennis'!N28</f>
        <v/>
      </c>
      <c r="I19" s="10">
        <f>'Golf'!N10</f>
        <v/>
      </c>
      <c r="J19" s="10">
        <f>'NASCAR'!N11</f>
        <v/>
      </c>
      <c r="K19" s="10">
        <f>'MLS'!N24</f>
        <v/>
      </c>
      <c r="L19" s="10">
        <f>'Actor'!N93</f>
        <v/>
      </c>
      <c r="M19" s="10">
        <f>'Actress'!N22</f>
        <v/>
      </c>
      <c r="N19" s="10">
        <f>'Musician'!N22</f>
        <v/>
      </c>
      <c r="O19" s="10">
        <f>'Country'!N63</f>
        <v/>
      </c>
      <c r="P19" s="10">
        <f>'Stock'!N14</f>
        <v/>
      </c>
    </row>
    <row r="20">
      <c r="A20" s="8" t="inlineStr">
        <is>
          <t>Todd</t>
        </is>
      </c>
      <c r="B20" s="10">
        <f>'NFL'!N5</f>
        <v/>
      </c>
      <c r="C20" s="10">
        <f>'NBA'!N9</f>
        <v/>
      </c>
      <c r="D20" s="10">
        <f>'MLB'!N8</f>
        <v/>
      </c>
      <c r="E20" s="10">
        <f>'NHL'!N9</f>
        <v/>
      </c>
      <c r="F20" s="10">
        <f>'NCAAF'!N13</f>
        <v/>
      </c>
      <c r="G20" s="10">
        <f>'NCAAB'!N34</f>
        <v/>
      </c>
      <c r="H20" s="10">
        <f>'Tennis'!N8</f>
        <v/>
      </c>
      <c r="I20" s="10">
        <f>'Golf'!N32</f>
        <v/>
      </c>
      <c r="J20" s="10">
        <f>'NASCAR'!N12</f>
        <v/>
      </c>
      <c r="K20" s="10">
        <f>'MLS'!N21</f>
        <v/>
      </c>
      <c r="L20" s="10">
        <f>'Actor'!N95</f>
        <v/>
      </c>
      <c r="M20" s="10">
        <f>'Actress'!N89</f>
        <v/>
      </c>
      <c r="N20" s="10">
        <f>'Musician'!N6</f>
        <v/>
      </c>
      <c r="O20" s="10">
        <f>'Country'!N13</f>
        <v/>
      </c>
      <c r="P20" s="10">
        <f>'Stock'!N22</f>
        <v/>
      </c>
    </row>
    <row r="21">
      <c r="A21" s="8" t="inlineStr">
        <is>
          <t>Mitchell</t>
        </is>
      </c>
      <c r="B21" s="10">
        <f>'NFL'!N18</f>
        <v/>
      </c>
      <c r="C21" s="10">
        <f>'NBA'!N27</f>
        <v/>
      </c>
      <c r="D21" s="10">
        <f>'MLB'!N12</f>
        <v/>
      </c>
      <c r="E21" s="10">
        <f>'NHL'!N14</f>
        <v/>
      </c>
      <c r="F21" s="10">
        <f>'NCAAF'!N8</f>
        <v/>
      </c>
      <c r="G21" s="10">
        <f>'NCAAB'!N18</f>
        <v/>
      </c>
      <c r="H21" s="10">
        <f>'Tennis'!N26</f>
        <v/>
      </c>
      <c r="I21" s="10">
        <f>'Golf'!N16</f>
        <v/>
      </c>
      <c r="J21" s="10">
        <f>'NASCAR'!N14</f>
        <v/>
      </c>
      <c r="K21" s="10">
        <f>'MLS'!N16</f>
        <v/>
      </c>
      <c r="L21" s="10">
        <f>'Actor'!N64</f>
        <v/>
      </c>
      <c r="M21" s="10">
        <f>'Actress'!N90</f>
        <v/>
      </c>
      <c r="N21" s="10">
        <f>'Musician'!N17</f>
        <v/>
      </c>
      <c r="O21" s="10">
        <f>'Country'!N18</f>
        <v/>
      </c>
      <c r="P21" s="10">
        <f>'Stock'!N18</f>
        <v/>
      </c>
    </row>
    <row r="22">
      <c r="A22" s="8" t="inlineStr">
        <is>
          <t>Shep</t>
        </is>
      </c>
      <c r="B22" s="10">
        <f>'NFL'!N6</f>
        <v/>
      </c>
      <c r="C22" s="10">
        <f>'NBA'!N10</f>
        <v/>
      </c>
      <c r="D22" s="10">
        <f>'MLB'!N20</f>
        <v/>
      </c>
      <c r="E22" s="10">
        <f>'NHL'!N15</f>
        <v/>
      </c>
      <c r="F22" s="10">
        <f>'NCAAF'!N25</f>
        <v/>
      </c>
      <c r="G22" s="10">
        <f>'NCAAB'!N13</f>
        <v/>
      </c>
      <c r="H22" s="10">
        <f>'Tennis'!N19</f>
        <v/>
      </c>
      <c r="I22" s="10">
        <f>'Golf'!N19</f>
        <v/>
      </c>
      <c r="J22" s="10">
        <f>'NASCAR'!N27</f>
        <v/>
      </c>
      <c r="K22" s="10">
        <f>'MLS'!N19</f>
        <v/>
      </c>
      <c r="L22" s="10">
        <f>'Actor'!N92</f>
        <v/>
      </c>
      <c r="M22" s="10">
        <f>'Actress'!N87</f>
        <v/>
      </c>
      <c r="N22" s="10">
        <f>'Musician'!N16</f>
        <v/>
      </c>
      <c r="O22" s="10">
        <f>'Country'!N65</f>
        <v/>
      </c>
      <c r="P22" s="10">
        <f>'Stock'!N10</f>
        <v/>
      </c>
    </row>
    <row r="23">
      <c r="A23" s="8" t="inlineStr">
        <is>
          <t>Theo</t>
        </is>
      </c>
      <c r="B23" s="10">
        <f>'NFL'!N30</f>
        <v/>
      </c>
      <c r="C23" s="10">
        <f>'NBA'!N13</f>
        <v/>
      </c>
      <c r="D23" s="10">
        <f>'MLB'!N11</f>
        <v/>
      </c>
      <c r="E23" s="10">
        <f>'NHL'!N34</f>
        <v/>
      </c>
      <c r="F23" s="10">
        <f>'NCAAF'!N5</f>
        <v/>
      </c>
      <c r="G23" s="10">
        <f>'NCAAB'!N11</f>
        <v/>
      </c>
      <c r="H23" s="10">
        <f>'Tennis'!N9</f>
        <v/>
      </c>
      <c r="I23" s="10">
        <f>'Golf'!N31</f>
        <v/>
      </c>
      <c r="J23" s="10">
        <f>'NASCAR'!N6</f>
        <v/>
      </c>
      <c r="K23" s="10">
        <f>'MLS'!N7</f>
        <v/>
      </c>
      <c r="L23" s="10">
        <f>'Actor'!N96</f>
        <v/>
      </c>
      <c r="M23" s="10">
        <f>'Actress'!N84</f>
        <v/>
      </c>
      <c r="N23" s="10">
        <f>'Musician'!N14</f>
        <v/>
      </c>
      <c r="O23" s="10">
        <f>'Country'!N64</f>
        <v/>
      </c>
      <c r="P23" s="10">
        <f>'Stock'!N23</f>
        <v/>
      </c>
    </row>
    <row r="24">
      <c r="A24" s="8" t="inlineStr">
        <is>
          <t>Feder</t>
        </is>
      </c>
      <c r="B24" s="10">
        <f>'NFL'!N13</f>
        <v/>
      </c>
      <c r="C24" s="10">
        <f>'NBA'!N5</f>
        <v/>
      </c>
      <c r="D24" s="10">
        <f>'MLB'!N19</f>
        <v/>
      </c>
      <c r="E24" s="10">
        <f>'NHL'!N13</f>
        <v/>
      </c>
      <c r="F24" s="10">
        <f>'NCAAF'!N6</f>
        <v/>
      </c>
      <c r="G24" s="10">
        <f>'NCAAB'!N14</f>
        <v/>
      </c>
      <c r="H24" s="10">
        <f>'Tennis'!N20</f>
        <v/>
      </c>
      <c r="I24" s="10">
        <f>'Golf'!N41</f>
        <v/>
      </c>
      <c r="J24" s="10">
        <f>'NASCAR'!N13</f>
        <v/>
      </c>
      <c r="K24" s="10">
        <f>'MLS'!N6</f>
        <v/>
      </c>
      <c r="L24" s="10">
        <f>'Actor'!N89</f>
        <v/>
      </c>
      <c r="M24" s="10">
        <f>'Actress'!N54</f>
        <v/>
      </c>
      <c r="N24" s="10">
        <f>'Musician'!N25</f>
        <v/>
      </c>
      <c r="O24" s="10">
        <f>'Country'!N59</f>
        <v/>
      </c>
      <c r="P24" s="10">
        <f>'Stock'!N27</f>
        <v/>
      </c>
    </row>
    <row r="25">
      <c r="A25" s="8" t="inlineStr">
        <is>
          <t>Fryar</t>
        </is>
      </c>
      <c r="B25" s="10">
        <f>'NFL'!N17</f>
        <v/>
      </c>
      <c r="C25" s="10">
        <f>'NBA'!N29</f>
        <v/>
      </c>
      <c r="D25" s="10">
        <f>'MLB'!N15</f>
        <v/>
      </c>
      <c r="E25" s="10">
        <f>'NHL'!N6</f>
        <v/>
      </c>
      <c r="F25" s="10">
        <f>'NCAAF'!N27</f>
        <v/>
      </c>
      <c r="G25" s="10">
        <f>'NCAAB'!N7</f>
        <v/>
      </c>
      <c r="H25" s="10">
        <f>'Tennis'!N7</f>
        <v/>
      </c>
      <c r="I25" s="10">
        <f>'Golf'!N17</f>
        <v/>
      </c>
      <c r="J25" s="10">
        <f>'NASCAR'!N9</f>
        <v/>
      </c>
      <c r="K25" s="10">
        <f>'MLS'!N30</f>
        <v/>
      </c>
      <c r="L25" s="10">
        <f>'Actor'!N94</f>
        <v/>
      </c>
      <c r="M25" s="10">
        <f>'Actress'!N88</f>
        <v/>
      </c>
      <c r="N25" s="10">
        <f>'Musician'!N19</f>
        <v/>
      </c>
      <c r="O25" s="10">
        <f>'Country'!N62</f>
        <v/>
      </c>
      <c r="P25" s="10">
        <f>'Stock'!N29</f>
        <v/>
      </c>
    </row>
    <row r="26">
      <c r="A26" s="8" t="inlineStr">
        <is>
          <t>Korch</t>
        </is>
      </c>
      <c r="B26" s="10">
        <f>'NFL'!N29</f>
        <v/>
      </c>
      <c r="C26" s="10">
        <f>'NBA'!N16</f>
        <v/>
      </c>
      <c r="D26" s="10">
        <f>'MLB'!N17</f>
        <v/>
      </c>
      <c r="E26" s="10">
        <f>'NHL'!N8</f>
        <v/>
      </c>
      <c r="F26" s="10">
        <f>'NCAAF'!N10</f>
        <v/>
      </c>
      <c r="G26" s="10">
        <f>'NCAAB'!N15</f>
        <v/>
      </c>
      <c r="H26" s="10">
        <f>'Tennis'!N10</f>
        <v/>
      </c>
      <c r="I26" s="10">
        <f>'Golf'!N11</f>
        <v/>
      </c>
      <c r="J26" s="10">
        <f>'NASCAR'!N10</f>
        <v/>
      </c>
      <c r="K26" s="10">
        <f>'MLS'!N23</f>
        <v/>
      </c>
      <c r="L26" s="10">
        <f>'Actor'!N98</f>
        <v/>
      </c>
      <c r="M26" s="10">
        <f>'Actress'!N7</f>
        <v/>
      </c>
      <c r="N26" s="10">
        <f>'Musician'!N24</f>
        <v/>
      </c>
      <c r="O26" s="10">
        <f>'Country'!N7</f>
        <v/>
      </c>
      <c r="P26" s="10">
        <f>'Stock'!N9</f>
        <v/>
      </c>
    </row>
    <row r="27">
      <c r="A27" s="8" t="inlineStr">
        <is>
          <t>Molmen</t>
        </is>
      </c>
      <c r="B27" s="10">
        <f>'NFL'!N12</f>
        <v/>
      </c>
      <c r="C27" s="10">
        <f>'NBA'!N33</f>
        <v/>
      </c>
      <c r="D27" s="10">
        <f>'MLB'!N22</f>
        <v/>
      </c>
      <c r="E27" s="10">
        <f>'NHL'!N22</f>
        <v/>
      </c>
      <c r="F27" s="10">
        <f>'NCAAF'!N16</f>
        <v/>
      </c>
      <c r="G27" s="10">
        <f>'NCAAB'!N24</f>
        <v/>
      </c>
      <c r="H27" s="10">
        <f>'Tennis'!N15</f>
        <v/>
      </c>
      <c r="I27" s="10">
        <f>'Golf'!N6</f>
        <v/>
      </c>
      <c r="J27" s="10">
        <f>'NASCAR'!N5</f>
        <v/>
      </c>
      <c r="K27" s="10">
        <f>'MLS'!N18</f>
        <v/>
      </c>
      <c r="L27" s="10">
        <f>'Actor'!N9</f>
        <v/>
      </c>
      <c r="M27" s="10">
        <f>'Actress'!N91</f>
        <v/>
      </c>
      <c r="N27" s="10">
        <f>'Musician'!N9</f>
        <v/>
      </c>
      <c r="O27" s="10">
        <f>'Country'!N56</f>
        <v/>
      </c>
      <c r="P27" s="10">
        <f>'Stock'!N8</f>
        <v/>
      </c>
    </row>
    <row r="28">
      <c r="A28" s="8" t="inlineStr">
        <is>
          <t>Jamzee</t>
        </is>
      </c>
      <c r="B28" s="10">
        <f>'NFL'!N15</f>
        <v/>
      </c>
      <c r="C28" s="10">
        <f>'NBA'!N22</f>
        <v/>
      </c>
      <c r="D28" s="10">
        <f>'MLB'!N23</f>
        <v/>
      </c>
      <c r="E28" s="10">
        <f>'NHL'!N5</f>
        <v/>
      </c>
      <c r="F28" s="10">
        <f>'NCAAF'!N11</f>
        <v/>
      </c>
      <c r="G28" s="10">
        <f>'NCAAB'!N9</f>
        <v/>
      </c>
      <c r="H28" s="10">
        <f>'Tennis'!N27</f>
        <v/>
      </c>
      <c r="I28" s="10">
        <f>'Golf'!N22</f>
        <v/>
      </c>
      <c r="J28" s="10">
        <f>'NASCAR'!N8</f>
        <v/>
      </c>
      <c r="K28" s="10">
        <f>'MLS'!N17</f>
        <v/>
      </c>
      <c r="L28" s="10">
        <f>'Actor'!N67</f>
        <v/>
      </c>
      <c r="M28" s="10">
        <f>'Actress'!N64</f>
        <v/>
      </c>
      <c r="N28" s="10">
        <f>'Musician'!N23</f>
        <v/>
      </c>
      <c r="O28" s="10">
        <f>'Country'!N60</f>
        <v/>
      </c>
      <c r="P28" s="10">
        <f>'Stock'!N26</f>
        <v/>
      </c>
    </row>
    <row r="29">
      <c r="A29" s="8" t="inlineStr">
        <is>
          <t>Buckley</t>
        </is>
      </c>
      <c r="B29" s="10">
        <f>'NFL'!N32</f>
        <v/>
      </c>
      <c r="C29" s="10">
        <f>'NBA'!N8</f>
        <v/>
      </c>
      <c r="D29" s="10">
        <f>'MLB'!N6</f>
        <v/>
      </c>
      <c r="E29" s="10">
        <f>'NHL'!N7</f>
        <v/>
      </c>
      <c r="F29" s="10">
        <f>'NCAAF'!N15</f>
        <v/>
      </c>
      <c r="G29" s="10">
        <f>'NCAAB'!N16</f>
        <v/>
      </c>
      <c r="H29" s="10">
        <f>'Tennis'!N5</f>
        <v/>
      </c>
      <c r="I29" s="10">
        <f>'Golf'!N15</f>
        <v/>
      </c>
      <c r="J29" s="10">
        <f>'NASCAR'!N20</f>
        <v/>
      </c>
      <c r="K29" s="10">
        <f>'MLS'!N12</f>
        <v/>
      </c>
      <c r="L29" s="10">
        <f>'Actor'!N41</f>
        <v/>
      </c>
      <c r="M29" s="10">
        <f>'Actress'!N41</f>
        <v/>
      </c>
      <c r="N29" s="10">
        <f>'Musician'!N26</f>
        <v/>
      </c>
      <c r="O29" s="10">
        <f>'Country'!N58</f>
        <v/>
      </c>
      <c r="P29" s="10">
        <f>'Stock'!N30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5"/>
  <sheetViews>
    <sheetView workbookViewId="0">
      <selection activeCell="A1" sqref="A1"/>
    </sheetView>
  </sheetViews>
  <sheetFormatPr baseColWidth="8" defaultRowHeight="15"/>
  <cols>
    <col width="14" customWidth="1" min="1" max="1"/>
    <col width="34" customWidth="1" min="2" max="2"/>
    <col width="44" customWidth="1" min="3" max="3"/>
    <col width="44" customWidth="1" min="4" max="4"/>
    <col width="44" customWidth="1" min="5" max="5"/>
  </cols>
  <sheetData>
    <row r="1">
      <c r="A1" s="11" t="inlineStr">
        <is>
          <t>Korch — 2027 draft plan from the last slot</t>
        </is>
      </c>
      <c r="B1" s="12" t="n"/>
      <c r="C1" s="12" t="n"/>
      <c r="D1" s="12" t="n"/>
      <c r="E1" s="12" t="n"/>
    </row>
    <row r="2">
      <c r="A2" s="12" t="inlineStr">
        <is>
          <t>Korch picks 13th (last) in every odd round and 1st in every even round; the keeper round also runs in draft order, so with no keeper the first three picks are back-to-back (keeper-round #13, R1 #13, R2 #14). Later pairs: 39/40, 65/66, 91/92, 117/118, 143/144, 169/170.</t>
        </is>
      </c>
      <c r="B2" s="12" t="n"/>
      <c r="C2" s="12" t="n"/>
      <c r="D2" s="12" t="n"/>
      <c r="E2" s="12" t="n"/>
    </row>
    <row r="3">
      <c r="A3" s="12" t="inlineStr">
        <is>
          <t>Simulated 80 drafts per option (draft_sim.py, as of 2026-10-22). Assumed order: Shep, Jens, Todd, Feder, Tim, Molmen, Theo, Buckley, Mitchell, Jamzee, Fryar, Wu, Korch</t>
        </is>
      </c>
      <c r="B3" s="12" t="n"/>
      <c r="C3" s="12" t="n"/>
      <c r="D3" s="12" t="n"/>
      <c r="E3" s="12" t="n"/>
    </row>
    <row r="4">
      <c r="A4" s="12" t="n"/>
      <c r="B4" s="12" t="n"/>
      <c r="C4" s="12" t="n"/>
      <c r="D4" s="12" t="n"/>
      <c r="E4" s="12" t="n"/>
    </row>
    <row r="5">
      <c r="A5" s="13" t="inlineStr">
        <is>
          <t>1. Keep or draft?  Recommendation: NO KEEPER</t>
        </is>
      </c>
      <c r="B5" s="12" t="n"/>
      <c r="C5" s="12" t="n"/>
      <c r="D5" s="12" t="n"/>
      <c r="E5" s="12" t="n"/>
    </row>
    <row r="6">
      <c r="A6" s="14" t="inlineStr">
        <is>
          <t>Option</t>
        </is>
      </c>
      <c r="B6" s="14" t="inlineStr">
        <is>
          <t>Expected 2027 EV (dropoff drafting)</t>
        </is>
      </c>
      <c r="C6" s="14" t="inlineStr">
        <is>
          <t>SD</t>
        </is>
      </c>
      <c r="D6" s="14" t="inlineStr">
        <is>
          <t>Expected EV (best-available drafting)</t>
        </is>
      </c>
      <c r="E6" s="12" t="n"/>
    </row>
    <row r="7">
      <c r="A7" s="15" t="inlineStr">
        <is>
          <t>No keeper</t>
        </is>
      </c>
      <c r="B7" s="12" t="n">
        <v>157.5</v>
      </c>
      <c r="C7" s="12" t="n">
        <v>3.1</v>
      </c>
      <c r="D7" s="12" t="n">
        <v>154.9</v>
      </c>
      <c r="E7" s="12" t="n"/>
    </row>
    <row r="8">
      <c r="A8" s="12" t="inlineStr">
        <is>
          <t>Keep Colorado Avalanche</t>
        </is>
      </c>
      <c r="B8" s="12" t="n">
        <v>152.9</v>
      </c>
      <c r="C8" s="12" t="n">
        <v>3.5</v>
      </c>
      <c r="D8" s="12" t="n">
        <v>150.3</v>
      </c>
      <c r="E8" s="12" t="n"/>
    </row>
    <row r="9">
      <c r="A9" s="12" t="inlineStr">
        <is>
          <t>Keep Indiana</t>
        </is>
      </c>
      <c r="B9" s="12" t="n">
        <v>152.1</v>
      </c>
      <c r="C9" s="12" t="n">
        <v>2.7</v>
      </c>
      <c r="D9" s="12" t="n">
        <v>148.8</v>
      </c>
      <c r="E9" s="12" t="n"/>
    </row>
    <row r="10">
      <c r="A10" s="12" t="inlineStr">
        <is>
          <t>Keep Guyana</t>
        </is>
      </c>
      <c r="B10" s="12" t="n">
        <v>151.5</v>
      </c>
      <c r="C10" s="12" t="n">
        <v>3.3</v>
      </c>
      <c r="D10" s="12" t="n">
        <v>150</v>
      </c>
      <c r="E10" s="12" t="n"/>
    </row>
    <row r="11">
      <c r="A11" s="12" t="inlineStr">
        <is>
          <t>No keeper wins in the simulation (157.5 vs 152.9 keeping the Avalanche, 152.1 Indiana, 151.5 Guyana; sd ~3). Keeping uses the keeper-round pick on a player you could replace later; not keeping turns it into a free pick at #13, right before your R1/R2 turn.</t>
        </is>
      </c>
      <c r="B11" s="12" t="n"/>
      <c r="C11" s="12" t="n"/>
      <c r="D11" s="12" t="n"/>
      <c r="E11" s="12" t="n"/>
    </row>
    <row r="12">
      <c r="A12" s="12" t="inlineStr">
        <is>
          <t>The Avalanche slid to 12.3 (4th in NHL) behind the Hurricanes 13.9, Lightning 13.4 and Oilers 13.1 (Oct 22 refresh). The sim now has Jamzee keeping Carolina and Fryar keeping Tampa Bay, so NHL thins out, but Golden Knights 10.8, Panthers 11.7 (Todd keeps Rodrigo) and Wild 10.6 still last to about R5. Keeping Colorado costs ~4.6 pts vs a free premium pick.</t>
        </is>
      </c>
      <c r="B12" s="12" t="n"/>
      <c r="C12" s="12" t="n"/>
      <c r="D12" s="12" t="n"/>
      <c r="E12" s="12" t="n"/>
    </row>
    <row r="13">
      <c r="A13" s="12" t="inlineStr">
        <is>
          <t>Guyana is no longer the clear #1 Country: the IMF October 2026 WEO puts Iraq (19.0%), Qatar (18.8%) and Kuwait (17.1%) ahead of it for 2027 (16.8%), with Sudan 15.0% and Bahrain 13.9% close behind. Six live options, and Country goes late (median R10).</t>
        </is>
      </c>
      <c r="B13" s="12" t="n"/>
      <c r="C13" s="12" t="n"/>
      <c r="D13" s="12" t="n"/>
      <c r="E13" s="12" t="n"/>
    </row>
    <row r="14">
      <c r="A14" s="12" t="inlineStr">
        <is>
          <t>What usually falls to #13 in the keeper round (Oct 22 refresh): the San Francisco 49ers (NFL #1, 17.6; Kalshi Super Bowl price now 17.5%). Todd owns them but keeps Rodrigo. Otherwise a top Musician (Langley 20.1 / Dean 15.8, both unowned). NCAAF goes at R1/R2: Texas fell again to 12.3 (title 3.5%), so Notre Dame 15.5 / Miami 15.4 are the targets if their owners keep elsewhere.</t>
        </is>
      </c>
      <c r="B14" s="12" t="n"/>
      <c r="C14" s="12" t="n"/>
      <c r="D14" s="12" t="n"/>
      <c r="E14" s="12" t="n"/>
    </row>
    <row r="15">
      <c r="A15" s="12" t="n"/>
      <c r="B15" s="12" t="n"/>
      <c r="C15" s="12" t="n"/>
      <c r="D15" s="12" t="n"/>
      <c r="E15" s="12" t="n"/>
    </row>
    <row r="16">
      <c r="A16" s="13" t="inlineStr">
        <is>
          <t>2. Round by round (no keeper, dropoff drafting): how often each category is the right pick, and who it usually is</t>
        </is>
      </c>
      <c r="B16" s="12" t="n"/>
      <c r="C16" s="12" t="n"/>
      <c r="D16" s="12" t="n"/>
      <c r="E16" s="12" t="n"/>
    </row>
    <row r="17">
      <c r="A17" s="14" t="inlineStr">
        <is>
          <t>Round</t>
        </is>
      </c>
      <c r="B17" s="14" t="inlineStr">
        <is>
          <t>Overall pick</t>
        </is>
      </c>
      <c r="C17" s="14" t="inlineStr">
        <is>
          <t>Most common pick</t>
        </is>
      </c>
      <c r="D17" s="14" t="inlineStr">
        <is>
          <t>Also</t>
        </is>
      </c>
      <c r="E17" s="14" t="inlineStr">
        <is>
          <t>Also</t>
        </is>
      </c>
    </row>
    <row r="18">
      <c r="A18" s="12" t="inlineStr">
        <is>
          <t>Keeper</t>
        </is>
      </c>
      <c r="B18" s="12" t="inlineStr">
        <is>
          <t>keeper rd #13</t>
        </is>
      </c>
      <c r="C18" s="12" t="inlineStr">
        <is>
          <t>NFL 80% (San Francisco 49ers, Denver Broncos)</t>
        </is>
      </c>
      <c r="D18" s="12" t="inlineStr">
        <is>
          <t>Musician 20% (Morgan Wallen, BTS)</t>
        </is>
      </c>
      <c r="E18" s="12" t="n"/>
    </row>
    <row r="19">
      <c r="A19" s="12" t="inlineStr">
        <is>
          <t>R1</t>
        </is>
      </c>
      <c r="B19" s="12" t="n">
        <v>13</v>
      </c>
      <c r="C19" s="12" t="inlineStr">
        <is>
          <t>NCAAB 41% (Florida, UConn)</t>
        </is>
      </c>
      <c r="D19" s="12" t="inlineStr">
        <is>
          <t>NCAAF 36% (Texas, Notre Dame)</t>
        </is>
      </c>
      <c r="E19" s="12" t="inlineStr">
        <is>
          <t>NASCAR 21% (Kyle Larson, Denny Hamlin)</t>
        </is>
      </c>
    </row>
    <row r="20">
      <c r="A20" s="12" t="inlineStr">
        <is>
          <t>R2</t>
        </is>
      </c>
      <c r="B20" s="12" t="n">
        <v>14</v>
      </c>
      <c r="C20" s="12" t="inlineStr">
        <is>
          <t>NCAAF 64% (Texas, Notre Dame)</t>
        </is>
      </c>
      <c r="D20" s="12" t="inlineStr">
        <is>
          <t>NCAAB 21% (Florida, UConn)</t>
        </is>
      </c>
      <c r="E20" s="12" t="inlineStr">
        <is>
          <t>NBA 5% (Minnesota Timberwolves, Boston Celtics)</t>
        </is>
      </c>
    </row>
    <row r="21">
      <c r="A21" s="12" t="inlineStr">
        <is>
          <t>R3</t>
        </is>
      </c>
      <c r="B21" s="12" t="n">
        <v>39</v>
      </c>
      <c r="C21" s="12" t="inlineStr">
        <is>
          <t>NASCAR 70% (Kyle Larson, Denny Hamlin)</t>
        </is>
      </c>
      <c r="D21" s="12" t="inlineStr">
        <is>
          <t>MLB 10% (Los Angeles Dodgers, Chicago Cubs)</t>
        </is>
      </c>
      <c r="E21" s="12" t="inlineStr">
        <is>
          <t>NCAAB 7% (Florida, UConn)</t>
        </is>
      </c>
    </row>
    <row r="22">
      <c r="A22" s="12" t="inlineStr">
        <is>
          <t>R4</t>
        </is>
      </c>
      <c r="B22" s="12" t="n">
        <v>40</v>
      </c>
      <c r="C22" s="12" t="inlineStr">
        <is>
          <t>NBA 39% (Minnesota Timberwolves, Boston Celtics)</t>
        </is>
      </c>
      <c r="D22" s="12" t="inlineStr">
        <is>
          <t>MLB 17% (Los Angeles Dodgers, Chicago Cubs)</t>
        </is>
      </c>
      <c r="E22" s="12" t="inlineStr">
        <is>
          <t>Golf 15% (Russell Henley, Xander Schauffele)</t>
        </is>
      </c>
    </row>
    <row r="23">
      <c r="A23" s="12" t="inlineStr">
        <is>
          <t>R5</t>
        </is>
      </c>
      <c r="B23" s="12" t="n">
        <v>65</v>
      </c>
      <c r="C23" s="12" t="inlineStr">
        <is>
          <t>NHL 38% (Vegas Golden Knights, Minnesota Wild)</t>
        </is>
      </c>
      <c r="D23" s="12" t="inlineStr">
        <is>
          <t>Tennis 23% (Elena Rybakina, Aryna Sabalenka)</t>
        </is>
      </c>
      <c r="E23" s="12" t="inlineStr">
        <is>
          <t>Country 7% (Sudan, Guyana)</t>
        </is>
      </c>
    </row>
    <row r="24">
      <c r="A24" s="12" t="inlineStr">
        <is>
          <t>R6</t>
        </is>
      </c>
      <c r="B24" s="12" t="n">
        <v>66</v>
      </c>
      <c r="C24" s="12" t="inlineStr">
        <is>
          <t>MLS 28% (Nashville SC, St. Louis City SC)</t>
        </is>
      </c>
      <c r="D24" s="12" t="inlineStr">
        <is>
          <t>NHL 24% (Vegas Golden Knights, Minnesota Wild)</t>
        </is>
      </c>
      <c r="E24" s="12" t="inlineStr">
        <is>
          <t>Tennis 16% (Elena Rybakina, Aryna Sabalenka)</t>
        </is>
      </c>
    </row>
    <row r="25">
      <c r="A25" s="12" t="inlineStr">
        <is>
          <t>R7</t>
        </is>
      </c>
      <c r="B25" s="12" t="n">
        <v>91</v>
      </c>
      <c r="C25" s="12" t="inlineStr">
        <is>
          <t>MLB 35% (Los Angeles Dodgers, Chicago Cubs)</t>
        </is>
      </c>
      <c r="D25" s="12" t="inlineStr">
        <is>
          <t>Musician 26% (Morgan Wallen, BTS)</t>
        </is>
      </c>
      <c r="E25" s="12" t="inlineStr">
        <is>
          <t>Country 12% (Sudan, Guyana)</t>
        </is>
      </c>
    </row>
    <row r="26">
      <c r="A26" s="12" t="inlineStr">
        <is>
          <t>R8</t>
        </is>
      </c>
      <c r="B26" s="12" t="n">
        <v>92</v>
      </c>
      <c r="C26" s="12" t="inlineStr">
        <is>
          <t>Country 56% (Sudan, Guyana)</t>
        </is>
      </c>
      <c r="D26" s="12" t="inlineStr">
        <is>
          <t>Golf 26% (Russell Henley, Xander Schauffele)</t>
        </is>
      </c>
      <c r="E26" s="12" t="inlineStr">
        <is>
          <t>Musician 6% (Morgan Wallen, BTS)</t>
        </is>
      </c>
    </row>
    <row r="27">
      <c r="A27" s="12" t="inlineStr">
        <is>
          <t>R9</t>
        </is>
      </c>
      <c r="B27" s="12" t="n">
        <v>117</v>
      </c>
      <c r="C27" s="12" t="inlineStr">
        <is>
          <t>Musician 28% (Morgan Wallen, BTS)</t>
        </is>
      </c>
      <c r="D27" s="12" t="inlineStr">
        <is>
          <t>NBA 25% (Minnesota Timberwolves, Boston Celtics)</t>
        </is>
      </c>
      <c r="E27" s="12" t="inlineStr">
        <is>
          <t>MLB 17% (Los Angeles Dodgers, Chicago Cubs)</t>
        </is>
      </c>
    </row>
    <row r="28">
      <c r="A28" s="12" t="inlineStr">
        <is>
          <t>R10</t>
        </is>
      </c>
      <c r="B28" s="12" t="n">
        <v>118</v>
      </c>
      <c r="C28" s="12" t="inlineStr">
        <is>
          <t>MLS 30% (Nashville SC, St. Louis City SC)</t>
        </is>
      </c>
      <c r="D28" s="12" t="inlineStr">
        <is>
          <t>Actor 19% (Josh Gad, Aaron Pierre)</t>
        </is>
      </c>
      <c r="E28" s="12" t="inlineStr">
        <is>
          <t>Musician 11% (Morgan Wallen, BTS)</t>
        </is>
      </c>
    </row>
    <row r="29">
      <c r="A29" s="12" t="inlineStr">
        <is>
          <t>R11</t>
        </is>
      </c>
      <c r="B29" s="12" t="n">
        <v>143</v>
      </c>
      <c r="C29" s="12" t="inlineStr">
        <is>
          <t>Actress 33% (Hailee Steinfeld, Lauren Vélez)</t>
        </is>
      </c>
      <c r="D29" s="12" t="inlineStr">
        <is>
          <t>MLS 26% (Nashville SC, St. Louis City SC)</t>
        </is>
      </c>
      <c r="E29" s="12" t="inlineStr">
        <is>
          <t>Tennis 17% (Elena Rybakina, Aryna Sabalenka)</t>
        </is>
      </c>
    </row>
    <row r="30">
      <c r="A30" s="12" t="inlineStr">
        <is>
          <t>R12</t>
        </is>
      </c>
      <c r="B30" s="12" t="n">
        <v>144</v>
      </c>
      <c r="C30" s="12" t="inlineStr">
        <is>
          <t>Actress 41% (Hailee Steinfeld, Lauren Vélez)</t>
        </is>
      </c>
      <c r="D30" s="12" t="inlineStr">
        <is>
          <t>Golf 20% (Russell Henley, Xander Schauffele)</t>
        </is>
      </c>
      <c r="E30" s="12" t="inlineStr">
        <is>
          <t>Tennis 17% (Elena Rybakina, Aryna Sabalenka)</t>
        </is>
      </c>
    </row>
    <row r="31">
      <c r="A31" s="12" t="inlineStr">
        <is>
          <t>R13</t>
        </is>
      </c>
      <c r="B31" s="12" t="n">
        <v>169</v>
      </c>
      <c r="C31" s="12" t="inlineStr">
        <is>
          <t>Stock 71% (MSTR (Long), COIN (Long))</t>
        </is>
      </c>
      <c r="D31" s="12" t="inlineStr">
        <is>
          <t>Actress 12% (Hailee Steinfeld, Lauren Vélez)</t>
        </is>
      </c>
      <c r="E31" s="12" t="inlineStr">
        <is>
          <t>Actor 11% (Josh Gad, Aaron Pierre)</t>
        </is>
      </c>
    </row>
    <row r="32">
      <c r="A32" s="12" t="inlineStr">
        <is>
          <t>R14</t>
        </is>
      </c>
      <c r="B32" s="12" t="n">
        <v>170</v>
      </c>
      <c r="C32" s="12" t="inlineStr">
        <is>
          <t>Actor 53% (Josh Gad, Aaron Pierre)</t>
        </is>
      </c>
      <c r="D32" s="12" t="inlineStr">
        <is>
          <t>Golf 17% (Russell Henley, Xander Schauffele)</t>
        </is>
      </c>
      <c r="E32" s="12" t="inlineStr">
        <is>
          <t>Stock 14% (MSTR (Long), COIN (Long))</t>
        </is>
      </c>
    </row>
    <row r="33">
      <c r="A33" s="12" t="inlineStr">
        <is>
          <t>Names in brackets are the players you most often end up with in that category across all rounds (for the keeper-round Musician case that means the best one left: Langley/Dean/Mars if they are still there).</t>
        </is>
      </c>
      <c r="B33" s="12" t="n"/>
      <c r="C33" s="12" t="n"/>
      <c r="D33" s="12" t="n"/>
      <c r="E33" s="12" t="n"/>
    </row>
    <row r="34">
      <c r="A34" s="12" t="inlineStr">
        <is>
          <t>Rule of thumb: take the scarce team categories (NCAAF, NCAAB, NBA, NFL) at your early turns; let NASCAR, MLS, Actor, Actress and Stock come to you — the field ignores them until the middle or the end.</t>
        </is>
      </c>
      <c r="B34" s="12" t="n"/>
      <c r="C34" s="12" t="n"/>
      <c r="D34" s="12" t="n"/>
      <c r="E34" s="12" t="n"/>
    </row>
    <row r="35">
      <c r="A35" s="12" t="n"/>
      <c r="B35" s="12" t="n"/>
      <c r="C35" s="12" t="n"/>
      <c r="D35" s="12" t="n"/>
      <c r="E35" s="12" t="n"/>
    </row>
    <row r="36">
      <c r="A36" s="13" t="inlineStr">
        <is>
          <t>3. Value picks</t>
        </is>
      </c>
      <c r="B36" s="12" t="n"/>
      <c r="C36" s="12" t="n"/>
      <c r="D36" s="12" t="n"/>
      <c r="E36" s="12" t="n"/>
    </row>
    <row r="37">
      <c r="A37" s="12" t="inlineStr">
        <is>
          <t>NASCAR</t>
        </is>
      </c>
      <c r="B37" s="12" t="inlineStr">
        <is>
          <t>Kyle Larson / Denny Hamlin</t>
        </is>
      </c>
      <c r="C37" s="12" t="inlineStr">
        <is>
          <t>#1/#2 NASCAR (14.5 / 12.5). Nobody drafted NASCAR before pick 63 last year; in the sim Larson is still there at your R1/R3 turn most of the time.</t>
        </is>
      </c>
      <c r="D37" s="12" t="n"/>
      <c r="E37" s="12" t="n"/>
    </row>
    <row r="38">
      <c r="A38" s="12" t="inlineStr">
        <is>
          <t>NCAAF</t>
        </is>
      </c>
      <c r="B38" s="12" t="inlineStr">
        <is>
          <t>Notre Dame / Miami (FL), then Texas</t>
        </is>
      </c>
      <c r="C38" s="12" t="inlineStr">
        <is>
          <t>Notre Dame 15.5 (Feder keeps OKC) and Miami 15.4 (Wu keeps the Spurs) are the realistic R1/R2 targets; Texas (12.3, unowned) is the fallback after its title odds fell to 3.5%.</t>
        </is>
      </c>
      <c r="D38" s="12" t="n"/>
      <c r="E38" s="12" t="n"/>
    </row>
    <row r="39">
      <c r="A39" s="12" t="inlineStr">
        <is>
          <t>NCAAB</t>
        </is>
      </c>
      <c r="B39" s="12" t="inlineStr">
        <is>
          <t>Florida</t>
        </is>
      </c>
      <c r="C39" s="12" t="inlineStr">
        <is>
          <t>#1 NCAAB (14.9). Wu owns it but should keep the Spurs instead.</t>
        </is>
      </c>
      <c r="D39" s="12" t="n"/>
      <c r="E39" s="12" t="n"/>
    </row>
    <row r="40">
      <c r="A40" s="12" t="inlineStr">
        <is>
          <t>NBA</t>
        </is>
      </c>
      <c r="B40" s="12" t="inlineStr">
        <is>
          <t>Philadelphia 76ers</t>
        </is>
      </c>
      <c r="C40" s="12" t="inlineStr">
        <is>
          <t>#3 NBA (12.8), unowned. NBA gets stripped fast; this is the realistic upside after OKC/SAS are kept.</t>
        </is>
      </c>
      <c r="D40" s="12" t="n"/>
      <c r="E40" s="12" t="n"/>
    </row>
    <row r="41">
      <c r="A41" s="12" t="inlineStr">
        <is>
          <t>NFL</t>
        </is>
      </c>
      <c r="B41" s="12" t="inlineStr">
        <is>
          <t>San Francisco 49ers, then Vikings / Jaguars</t>
        </is>
      </c>
      <c r="C41" s="12" t="inlineStr">
        <is>
          <t>49ers 17.6 (NFL #1; Todd keeps Rodrigo, so the 49ers are in the pool) = keeper-round target. Fallback: Vikings 12.5 / Jaguars 11.3, unowned, last to about R5.</t>
        </is>
      </c>
      <c r="D41" s="12" t="n"/>
      <c r="E41" s="12" t="n"/>
    </row>
    <row r="42">
      <c r="A42" s="12" t="inlineStr">
        <is>
          <t>NHL</t>
        </is>
      </c>
      <c r="B42" s="12" t="inlineStr">
        <is>
          <t>Golden Knights / Panthers / Wild</t>
        </is>
      </c>
      <c r="C42" s="12" t="inlineStr">
        <is>
          <t>10.6-11.7 EV and last to about R5; Carolina and Tampa Bay are likely kept.</t>
        </is>
      </c>
      <c r="D42" s="12" t="n"/>
      <c r="E42" s="12" t="n"/>
    </row>
    <row r="43">
      <c r="A43" s="12" t="inlineStr">
        <is>
          <t>Tennis</t>
        </is>
      </c>
      <c r="B43" s="12" t="inlineStr">
        <is>
          <t>Elena Rybakina</t>
        </is>
      </c>
      <c r="C43" s="12" t="inlineStr">
        <is>
          <t>#2 Tennis (10.8), unowned. Tennis is overpriced early, so wait and take what is left.</t>
        </is>
      </c>
      <c r="D43" s="12" t="n"/>
      <c r="E43" s="12" t="n"/>
    </row>
    <row r="44">
      <c r="A44" s="12" t="inlineStr">
        <is>
          <t>Golf</t>
        </is>
      </c>
      <c r="B44" s="12" t="inlineStr">
        <is>
          <t>Matt Fitzpatrick / Cameron Young</t>
        </is>
      </c>
      <c r="C44" s="12" t="inlineStr">
        <is>
          <t>Unowned 9.8-10.4 EV. Golf is overpriced early.</t>
        </is>
      </c>
      <c r="D44" s="12" t="n"/>
      <c r="E44" s="12" t="n"/>
    </row>
    <row r="45">
      <c r="A45" s="12" t="inlineStr">
        <is>
          <t>MLS</t>
        </is>
      </c>
      <c r="B45" s="12" t="inlineStr">
        <is>
          <t>Nashville / St. Louis / Vancouver</t>
        </is>
      </c>
      <c r="C45" s="12" t="inlineStr">
        <is>
          <t>The field barely drafts MLS until R7+; the best club is free to about R6.</t>
        </is>
      </c>
      <c r="D45" s="12" t="n"/>
      <c r="E45" s="12" t="n"/>
    </row>
    <row r="46">
      <c r="A46" s="12" t="inlineStr">
        <is>
          <t>Country</t>
        </is>
      </c>
      <c r="B46" s="12" t="inlineStr">
        <is>
          <t>Iraq / Qatar / Kuwait (then Guyana, Sudan, Bahrain)</t>
        </is>
      </c>
      <c r="C46" s="12" t="inlineStr">
        <is>
          <t>IMF Oct-2026 WEO 2027 growth 17-19% after the 2026 war contraction; nobody owns them and Country goes late. Wide error bars — they are rebound forecasts.</t>
        </is>
      </c>
      <c r="D46" s="12" t="n"/>
      <c r="E46" s="12" t="n"/>
    </row>
    <row r="47">
      <c r="A47" s="12" t="n"/>
      <c r="B47" s="12" t="n"/>
      <c r="C47" s="12" t="n"/>
      <c r="D47" s="12" t="n"/>
      <c r="E47" s="12" t="n"/>
    </row>
    <row r="48">
      <c r="A48" s="13" t="inlineStr">
        <is>
          <t>4. Sleepers</t>
        </is>
      </c>
      <c r="B48" s="12" t="n"/>
      <c r="C48" s="12" t="n"/>
      <c r="D48" s="12" t="n"/>
      <c r="E48" s="12" t="n"/>
    </row>
    <row r="49">
      <c r="A49" s="12" t="inlineStr">
        <is>
          <t>Country</t>
        </is>
      </c>
      <c r="B49" s="12" t="inlineStr">
        <is>
          <t>Bahrain / Sudan</t>
        </is>
      </c>
      <c r="C49" s="12" t="inlineStr">
        <is>
          <t>IMF Oct-2026: Bahrain 13.9%, Sudan 15.0% for 2027 — the fifth/sixth-best Country options, usually still there late.</t>
        </is>
      </c>
      <c r="D49" s="12" t="n"/>
      <c r="E49" s="12" t="n"/>
    </row>
    <row r="50">
      <c r="A50" s="12" t="inlineStr">
        <is>
          <t>Actor</t>
        </is>
      </c>
      <c r="B50" s="12" t="inlineStr">
        <is>
          <t>Aaron Pierre / Skyler Gisondo</t>
        </is>
      </c>
      <c r="C50" s="12" t="inlineStr">
        <is>
          <t>Starfighter + Man of Tomorrow (Superman) cast lists; real box-office draws the field ignores.</t>
        </is>
      </c>
      <c r="D50" s="12" t="n"/>
      <c r="E50" s="12" t="n"/>
    </row>
    <row r="51">
      <c r="A51" s="12" t="inlineStr">
        <is>
          <t>Actor / Actress</t>
        </is>
      </c>
      <c r="B51" s="12" t="inlineStr">
        <is>
          <t>Josh Gad / Kristen Bell</t>
        </is>
      </c>
      <c r="C51" s="12" t="inlineStr">
        <is>
          <t>Frozen 3 (Nov 24, 2027). Bell also has Sonic 4.</t>
        </is>
      </c>
      <c r="D51" s="12" t="n"/>
      <c r="E51" s="12" t="n"/>
    </row>
    <row r="52">
      <c r="A52" s="12" t="inlineStr">
        <is>
          <t>Actress</t>
        </is>
      </c>
      <c r="B52" s="12" t="inlineStr">
        <is>
          <t>Hailee Steinfeld</t>
        </is>
      </c>
      <c r="C52" s="12" t="inlineStr">
        <is>
          <t>Top-5 box-office actress on the 2027 slate with no Oscar buzz to inflate her price.</t>
        </is>
      </c>
      <c r="D52" s="12" t="n"/>
      <c r="E52" s="12" t="n"/>
    </row>
    <row r="53">
      <c r="A53" s="12" t="inlineStr">
        <is>
          <t>NCAAB</t>
        </is>
      </c>
      <c r="B53" s="12" t="inlineStr">
        <is>
          <t>Illinois / Michigan State</t>
        </is>
      </c>
      <c r="C53" s="12" t="inlineStr">
        <is>
          <t>Top-6 NCAAB EV, never drafted early.</t>
        </is>
      </c>
      <c r="D53" s="12" t="n"/>
      <c r="E53" s="12" t="n"/>
    </row>
    <row r="54">
      <c r="A54" s="12" t="inlineStr">
        <is>
          <t>MLB</t>
        </is>
      </c>
      <c r="B54" s="12" t="inlineStr">
        <is>
          <t>Tampa Bay Rays</t>
        </is>
      </c>
      <c r="C54" s="12" t="inlineStr">
        <is>
          <t>Unowned, #5 MLB EV, just won a playoff series.</t>
        </is>
      </c>
      <c r="D54" s="12" t="n"/>
      <c r="E54" s="12" t="n"/>
    </row>
    <row r="55">
      <c r="A55" s="12" t="inlineStr">
        <is>
          <t>Musician</t>
        </is>
      </c>
      <c r="B55" s="12" t="inlineStr">
        <is>
          <t>Olivia Dean / Bruno Mars</t>
        </is>
      </c>
      <c r="C55" s="12" t="inlineStr">
        <is>
          <t>Big Grammy EV without Ella Langley's price; Dean has no chart carry-over, so the field may let her slide.</t>
        </is>
      </c>
      <c r="D55" s="12" t="n"/>
      <c r="E55" s="12" t="n"/>
    </row>
    <row r="56">
      <c r="A56" s="12" t="n"/>
      <c r="B56" s="12" t="n"/>
      <c r="C56" s="12" t="n"/>
      <c r="D56" s="12" t="n"/>
      <c r="E56" s="12" t="n"/>
    </row>
    <row r="57">
      <c r="A57" s="13" t="inlineStr">
        <is>
          <t>5. Don't pay for these early</t>
        </is>
      </c>
      <c r="B57" s="12" t="n"/>
      <c r="C57" s="12" t="n"/>
      <c r="D57" s="12" t="n"/>
      <c r="E57" s="12" t="n"/>
    </row>
    <row r="58">
      <c r="A58" s="12" t="inlineStr">
        <is>
          <t>Tennis: 7 gone by R1 last year and returned 2.8 pts less than the round average. Take what is left around R6-R11.</t>
        </is>
      </c>
      <c r="B58" s="12" t="n"/>
      <c r="C58" s="12" t="n"/>
      <c r="D58" s="12" t="n"/>
      <c r="E58" s="12" t="n"/>
    </row>
    <row r="59">
      <c r="A59" s="12" t="inlineStr">
        <is>
          <t>Golf: returned 1.7 pts under the round average.</t>
        </is>
      </c>
      <c r="B59" s="12" t="n"/>
      <c r="C59" s="12" t="n"/>
      <c r="D59" s="12" t="n"/>
      <c r="E59" s="12" t="n"/>
    </row>
    <row r="60">
      <c r="A60" s="12" t="inlineStr">
        <is>
          <t>Stock: pure luck; take it in R13.</t>
        </is>
      </c>
      <c r="B60" s="12" t="n"/>
      <c r="C60" s="12" t="n"/>
      <c r="D60" s="12" t="n"/>
      <c r="E60" s="12" t="n"/>
    </row>
    <row r="61">
      <c r="A61" s="12" t="inlineStr">
        <is>
          <t>Oscar-driven actors/actresses (Julianne Moore, John Malkovich): the field overpays for Oscar buzz; their 2027 box office is small.</t>
        </is>
      </c>
      <c r="B61" s="12" t="n"/>
      <c r="C61" s="12" t="n"/>
      <c r="D61" s="12" t="n"/>
      <c r="E61" s="12" t="n"/>
    </row>
    <row r="62">
      <c r="A62" s="12" t="inlineStr">
        <is>
          <t>Country for bonus reasons: 2027 has no Olympics/World Cup, so the 13-pt Country bonuses from 2026 will not repeat.</t>
        </is>
      </c>
      <c r="B62" s="12" t="n"/>
      <c r="C62" s="12" t="n"/>
      <c r="D62" s="12" t="n"/>
      <c r="E62" s="12" t="n"/>
    </row>
    <row r="63">
      <c r="A63" s="12" t="n"/>
      <c r="B63" s="12" t="n"/>
      <c r="C63" s="12" t="n"/>
      <c r="D63" s="12" t="n"/>
      <c r="E63" s="12" t="n"/>
    </row>
    <row r="64">
      <c r="A64" s="13" t="inlineStr">
        <is>
          <t>6. How the other 12 draft (2025 draft) and what they will likely keep</t>
        </is>
      </c>
      <c r="B64" s="12" t="n"/>
      <c r="C64" s="12" t="n"/>
      <c r="D64" s="12" t="n"/>
      <c r="E64" s="12" t="n"/>
    </row>
    <row r="65">
      <c r="A65" s="12" t="inlineStr">
        <is>
          <t>Shep</t>
        </is>
      </c>
      <c r="B65" s="12" t="inlineStr">
        <is>
          <t>Kept the Chiefs (1.0 pts). Tennis R1, Music R2. Worst early returns in the league (7.4/pick R0-4). Likely keeps the Chiefs again.</t>
        </is>
      </c>
      <c r="C65" s="12" t="inlineStr">
        <is>
          <t>keeps Kansas City Chiefs ~100%</t>
        </is>
      </c>
      <c r="D65" s="12" t="n"/>
      <c r="E65" s="12" t="n"/>
    </row>
    <row r="66">
      <c r="A66" s="12" t="inlineStr">
        <is>
          <t>Jens</t>
        </is>
      </c>
      <c r="B66" s="12" t="inlineStr">
        <is>
          <t>Kept the Bills. Team sports early, Country too early (Germany, 5 pts), weak late (4.5/pick R8+). Likely keeps Duke.</t>
        </is>
      </c>
      <c r="C66" s="12" t="inlineStr">
        <is>
          <t>keeps Duke ~100%</t>
        </is>
      </c>
      <c r="D66" s="12" t="n"/>
      <c r="E66" s="12" t="n"/>
    </row>
    <row r="67">
      <c r="A67" s="12" t="inlineStr">
        <is>
          <t>Feder</t>
        </is>
      </c>
      <c r="B67" s="12" t="inlineStr">
        <is>
          <t>Kept OKC. Tennis R1 (Swiatek bust), Music R2 (Gaga). Leaves NASCAR to the end. Will keep OKC.</t>
        </is>
      </c>
      <c r="C67" s="12" t="inlineStr">
        <is>
          <t>keeps Oklahoma City Thunder ~100%</t>
        </is>
      </c>
      <c r="D67" s="12" t="n"/>
      <c r="E67" s="12" t="n"/>
    </row>
    <row r="68">
      <c r="A68" s="12" t="inlineStr">
        <is>
          <t>Todd</t>
        </is>
      </c>
      <c r="B68" s="12" t="inlineStr">
        <is>
          <t>Kept Alcaraz. NHL R1 (Panthers bust), team sports early, late Music hit (Rodrigo). Likely keeps Rodrigo.</t>
        </is>
      </c>
      <c r="C68" s="12" t="inlineStr">
        <is>
          <t>keeps Olivia Rodrigo ~100%</t>
        </is>
      </c>
      <c r="D68" s="12" t="n"/>
      <c r="E68" s="12" t="n"/>
    </row>
    <row r="69">
      <c r="A69" s="12" t="inlineStr">
        <is>
          <t>Tim</t>
        </is>
      </c>
      <c r="B69" s="12" t="inlineStr">
        <is>
          <t>No keeper. Stars early (Kendrick first, Nuggets, NHL, Golf); weakest late picks (4.6/pick R8+). Coin flip to keep the Seahawks.</t>
        </is>
      </c>
      <c r="C69" s="12" t="inlineStr">
        <is>
          <t>keeps Vegas Golden Knights ~11%</t>
        </is>
      </c>
      <c r="D69" s="12" t="n"/>
      <c r="E69" s="12" t="n"/>
    </row>
    <row r="70">
      <c r="A70" s="12" t="inlineStr">
        <is>
          <t>Theo</t>
        </is>
      </c>
      <c r="B70" s="12" t="inlineStr">
        <is>
          <t>Kept Houston. Tennis R1 (Zverev hit), NCAAF/NFL early, NASCAR R6 (Hamlin hit). Will keep Georgia.</t>
        </is>
      </c>
      <c r="C70" s="12" t="inlineStr">
        <is>
          <t>keeps Georgia ~100%</t>
        </is>
      </c>
      <c r="D70" s="12" t="n"/>
      <c r="E70" s="12" t="n"/>
    </row>
    <row r="71">
      <c r="A71" s="12" t="inlineStr">
        <is>
          <t>Mitchell</t>
        </is>
      </c>
      <c r="B71" s="12" t="inlineStr">
        <is>
          <t>Kept Ohio State. Music R1 (Bad Bunny 23 pts), MLS early (R3), Country last (South Sudan hit). Will keep Ohio State.</t>
        </is>
      </c>
      <c r="C71" s="12" t="inlineStr">
        <is>
          <t>keeps Ohio State ~100%</t>
        </is>
      </c>
      <c r="D71" s="12" t="n"/>
      <c r="E71" s="12" t="n"/>
    </row>
    <row r="72">
      <c r="A72" s="12" t="inlineStr">
        <is>
          <t>Molmen</t>
        </is>
      </c>
      <c r="B72" s="12" t="inlineStr">
        <is>
          <t>Kept Taylor Swift. Individual-sports specialist: Tennis, Golf, Actress, Country, NASCAR, MLS all by R6; punts team sports (Bucks/Rangers 1 pt). Likely keeps Swift, which leaves Larson in the pool.</t>
        </is>
      </c>
      <c r="C72" s="12" t="inlineStr">
        <is>
          <t>keeps Taylor Swift ~100%</t>
        </is>
      </c>
      <c r="D72" s="12" t="n"/>
      <c r="E72" s="12" t="n"/>
    </row>
    <row r="73">
      <c r="A73" s="12" t="inlineStr">
        <is>
          <t>Jamzee</t>
        </is>
      </c>
      <c r="B73" s="12" t="inlineStr">
        <is>
          <t>No keeper. NFL/NHL/NCAAF early, Actor R3 (Chalamet bust), great late hits (Michigan R7, Spain R9). Coin flip on Alabama.</t>
        </is>
      </c>
      <c r="C73" s="12" t="inlineStr">
        <is>
          <t>keeps Carolina Hurricanes ~99%</t>
        </is>
      </c>
      <c r="D73" s="12" t="n"/>
      <c r="E73" s="12" t="n"/>
    </row>
    <row r="74">
      <c r="A74" s="12" t="inlineStr">
        <is>
          <t>Buckley</t>
        </is>
      </c>
      <c r="B74" s="12" t="inlineStr">
        <is>
          <t>Kept Sinner. Team sports early, Music R6 (Beyonce bust). Coin flip between the Oilers/Knicks/Sinner.</t>
        </is>
      </c>
      <c r="C74" s="12" t="inlineStr">
        <is>
          <t>keeps Edmonton Oilers ~100%</t>
        </is>
      </c>
      <c r="D74" s="12" t="n"/>
      <c r="E74" s="12" t="n"/>
    </row>
    <row r="75">
      <c r="A75" s="12" t="inlineStr">
        <is>
          <t>Fryar</t>
        </is>
      </c>
      <c r="B75" s="12" t="inlineStr">
        <is>
          <t>Kept Sabalenka. NFL/NCAAF early, Country R3 (Norway hit). Coin flip on UConn.</t>
        </is>
      </c>
      <c r="C75" s="12" t="inlineStr">
        <is>
          <t>keeps Tampa Bay Lightning ~99%</t>
        </is>
      </c>
      <c r="D75" s="12" t="n"/>
      <c r="E75" s="12" t="n"/>
    </row>
    <row r="76">
      <c r="A76" s="12" t="inlineStr">
        <is>
          <t>Wu</t>
        </is>
      </c>
      <c r="B76" s="12" t="inlineStr">
        <is>
          <t>No keeper. MLB/Golf first, best late drafter after you (Spurs R14, USA R7). Should keep the Spurs; picks right before you.</t>
        </is>
      </c>
      <c r="C76" s="12" t="inlineStr">
        <is>
          <t>keeps San Antonio Spurs ~96%</t>
        </is>
      </c>
      <c r="D76" s="12" t="n"/>
      <c r="E76" s="12" t="n"/>
    </row>
    <row r="77">
      <c r="A77" s="12" t="n"/>
      <c r="B77" s="12" t="n"/>
      <c r="C77" s="12" t="n"/>
      <c r="D77" s="12" t="n"/>
      <c r="E77" s="12" t="n"/>
    </row>
    <row r="78">
      <c r="A78" s="13" t="inlineStr">
        <is>
          <t>7. Why you won 2026</t>
        </is>
      </c>
      <c r="B78" s="12" t="n"/>
      <c r="C78" s="12" t="n"/>
      <c r="D78" s="12" t="n"/>
      <c r="E78" s="12" t="n"/>
    </row>
    <row r="79">
      <c r="A79" s="12" t="inlineStr">
        <is>
          <t>+31.7 pts over the category averages.</t>
        </is>
      </c>
      <c r="B79" s="12" t="n"/>
      <c r="C79" s="12" t="n"/>
      <c r="D79" s="12" t="n"/>
      <c r="E79" s="12" t="n"/>
    </row>
    <row r="80">
      <c r="A80" s="12" t="inlineStr">
        <is>
          <t>No keeper = an extra premium pick: Indiana at the keeper-round slot scored 26 (+14.9 vs the NCAAF average).</t>
        </is>
      </c>
      <c r="B80" s="12" t="n"/>
      <c r="C80" s="12" t="n"/>
      <c r="D80" s="12" t="n"/>
      <c r="E80" s="12" t="n"/>
    </row>
    <row r="81">
      <c r="A81" s="12" t="inlineStr">
        <is>
          <t>Scarce team categories early: Avalanche R2 (+9.5), Purdue R4 (+4.1).</t>
        </is>
      </c>
      <c r="B81" s="12" t="n"/>
      <c r="C81" s="12" t="n"/>
      <c r="D81" s="12" t="n"/>
      <c r="E81" s="12" t="n"/>
    </row>
    <row r="82">
      <c r="A82" s="12" t="inlineStr">
        <is>
          <t>Individual/award categories late, after the field had moved on: Hathaway R6 (+2.5), Fleetwood R7 (+2.2), Bernthal R9 (+3.9).</t>
        </is>
      </c>
      <c r="B82" s="12" t="n"/>
      <c r="C82" s="12" t="n"/>
      <c r="D82" s="12" t="n"/>
      <c r="E82" s="12" t="n"/>
    </row>
    <row r="83">
      <c r="A83" s="12" t="inlineStr">
        <is>
          <t>Some luck at the end: SZA R14 (Grammy 13-pt bonus, +4.9), SMCI R13 (+5.0).</t>
        </is>
      </c>
      <c r="B83" s="12" t="n"/>
      <c r="C83" s="12" t="n"/>
      <c r="D83" s="12" t="n"/>
      <c r="E83" s="12" t="n"/>
    </row>
    <row r="84">
      <c r="A84" s="12" t="inlineStr">
        <is>
          <t>Leaks to fix: Blue Jays R5 (-6.4), Byron R8 (-3.0), FC Cincinnati R10 (-2.5), Rockets R3 (-2.1).</t>
        </is>
      </c>
      <c r="B84" s="12" t="n"/>
      <c r="C84" s="12" t="n"/>
      <c r="D84" s="12" t="n"/>
      <c r="E84" s="12" t="n"/>
    </row>
    <row r="85">
      <c r="A85" s="12" t="inlineStr">
        <is>
          <t>Best late-round returns in the league: 10.1 pts/pick from R8 on (everyone else 4.5-9.1).</t>
        </is>
      </c>
      <c r="B85" s="12" t="n"/>
      <c r="C85" s="12" t="n"/>
      <c r="D85" s="12" t="n"/>
      <c r="E85" s="1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9" customWidth="1" min="2" max="2"/>
    <col width="9" customWidth="1" min="3" max="3"/>
    <col width="16" customWidth="1" min="4" max="4"/>
    <col width="11" customWidth="1" min="5" max="5"/>
    <col width="11" customWidth="1" min="6" max="6"/>
    <col width="9" customWidth="1" min="7" max="7"/>
    <col width="9" customWidth="1" min="8" max="8"/>
    <col width="9" customWidth="1" min="9" max="9"/>
    <col width="9" customWidth="1" min="10" max="10"/>
    <col width="9" customWidth="1" min="11" max="11"/>
    <col width="7" customWidth="1" min="12" max="12"/>
    <col width="7" customWidth="1" min="13" max="13"/>
    <col width="10" customWidth="1" min="14" max="14"/>
    <col width="52" customWidth="1" min="15" max="15"/>
  </cols>
  <sheetData>
    <row r="1">
      <c r="A1" s="7" t="inlineStr">
        <is>
          <t>Category</t>
        </is>
      </c>
      <c r="B1" s="7" t="inlineStr">
        <is>
          <t>2026: 1st pick #</t>
        </is>
      </c>
      <c r="C1" s="7" t="inlineStr">
        <is>
          <t>2026: median rd</t>
        </is>
      </c>
      <c r="D1" s="7" t="inlineStr">
        <is>
          <t>2026: gone by R2 / R4 / R7</t>
        </is>
      </c>
      <c r="E1" s="7" t="inlineStr">
        <is>
          <t>2026: avg projected final</t>
        </is>
      </c>
      <c r="F1" s="7" t="inlineStr">
        <is>
          <t>2026: surplus vs slot</t>
        </is>
      </c>
      <c r="G1" s="7" t="inlineStr">
        <is>
          <t>2027 best EV</t>
        </is>
      </c>
      <c r="H1" s="7" t="inlineStr">
        <is>
          <t>EV left @R2</t>
        </is>
      </c>
      <c r="I1" s="7" t="inlineStr">
        <is>
          <t>EV left @R4</t>
        </is>
      </c>
      <c r="J1" s="7" t="inlineStr">
        <is>
          <t>EV left @R7</t>
        </is>
      </c>
      <c r="K1" s="7" t="inlineStr">
        <is>
          <t>Cost to wait: R2</t>
        </is>
      </c>
      <c r="L1" s="7" t="inlineStr">
        <is>
          <t>R4</t>
        </is>
      </c>
      <c r="M1" s="7" t="inlineStr">
        <is>
          <t>R7</t>
        </is>
      </c>
      <c r="N1" s="7" t="inlineStr">
        <is>
          <t>Free until round (&lt;=1 pt)</t>
        </is>
      </c>
      <c r="O1" s="7" t="inlineStr">
        <is>
          <t>Read</t>
        </is>
      </c>
    </row>
    <row r="2">
      <c r="A2" t="inlineStr">
        <is>
          <t>NFL</t>
        </is>
      </c>
      <c r="B2" t="n">
        <v>9</v>
      </c>
      <c r="C2" t="n">
        <v>3</v>
      </c>
      <c r="D2" t="inlineStr">
        <is>
          <t>7 / 10 / 10</t>
        </is>
      </c>
      <c r="E2" t="n">
        <v>10.7</v>
      </c>
      <c r="F2" t="n">
        <v>-1</v>
      </c>
      <c r="G2" t="n">
        <v>17.6</v>
      </c>
      <c r="H2" t="n">
        <v>10.2</v>
      </c>
      <c r="I2" t="n">
        <v>9.1</v>
      </c>
      <c r="J2" t="n">
        <v>9.1</v>
      </c>
      <c r="K2" t="n">
        <v>7.4</v>
      </c>
      <c r="L2" t="n">
        <v>8.5</v>
      </c>
      <c r="M2" t="n">
        <v>8.5</v>
      </c>
      <c r="N2" t="n">
        <v>0</v>
      </c>
      <c r="O2" s="3" t="inlineStr">
        <is>
          <t>TAKE EARLY (R1-2): by R1 the field has taken 5 and the best left is 11.3 vs 17.6</t>
        </is>
      </c>
    </row>
    <row r="3">
      <c r="A3" t="inlineStr">
        <is>
          <t>NBA</t>
        </is>
      </c>
      <c r="B3" t="n">
        <v>1</v>
      </c>
      <c r="C3" t="n">
        <v>4</v>
      </c>
      <c r="D3" t="inlineStr">
        <is>
          <t>4 / 9 / 11</t>
        </is>
      </c>
      <c r="E3" t="n">
        <v>11.1</v>
      </c>
      <c r="F3" t="n">
        <v>-0.2</v>
      </c>
      <c r="G3" t="n">
        <v>17.5</v>
      </c>
      <c r="H3" t="n">
        <v>11.2</v>
      </c>
      <c r="I3" t="n">
        <v>9</v>
      </c>
      <c r="J3" t="n">
        <v>8.4</v>
      </c>
      <c r="K3" t="n">
        <v>6.2</v>
      </c>
      <c r="L3" t="n">
        <v>8.5</v>
      </c>
      <c r="M3" t="n">
        <v>9.1</v>
      </c>
      <c r="N3" t="n">
        <v>0</v>
      </c>
      <c r="O3" s="3" t="inlineStr">
        <is>
          <t>TAKE EARLY (R1-2): by R1 the field has taken 4 and the best left is 11.2 vs 17.5</t>
        </is>
      </c>
    </row>
    <row r="4">
      <c r="A4" t="inlineStr">
        <is>
          <t>MLB</t>
        </is>
      </c>
      <c r="B4" t="n">
        <v>30</v>
      </c>
      <c r="C4" t="n">
        <v>6</v>
      </c>
      <c r="D4" t="inlineStr">
        <is>
          <t>1 / 4 / 8</t>
        </is>
      </c>
      <c r="E4" t="n">
        <v>10.4</v>
      </c>
      <c r="F4" t="n">
        <v>0.8</v>
      </c>
      <c r="G4" t="n">
        <v>12.7</v>
      </c>
      <c r="H4" t="n">
        <v>11.6</v>
      </c>
      <c r="I4" t="n">
        <v>10.4</v>
      </c>
      <c r="J4" t="n">
        <v>9.6</v>
      </c>
      <c r="K4" t="n">
        <v>1.2</v>
      </c>
      <c r="L4" t="n">
        <v>2.3</v>
      </c>
      <c r="M4" t="n">
        <v>3.2</v>
      </c>
      <c r="N4" t="n">
        <v>0</v>
      </c>
      <c r="O4" s="6" t="inlineStr">
        <is>
          <t>FLEXIBLE: within 1 pt through R0; by R5 you still get most of it</t>
        </is>
      </c>
    </row>
    <row r="5">
      <c r="A5" t="inlineStr">
        <is>
          <t>NHL</t>
        </is>
      </c>
      <c r="B5" t="n">
        <v>4</v>
      </c>
      <c r="C5" t="n">
        <v>7</v>
      </c>
      <c r="D5" t="inlineStr">
        <is>
          <t>4 / 6 / 8</t>
        </is>
      </c>
      <c r="E5" t="n">
        <v>10</v>
      </c>
      <c r="F5" t="n">
        <v>-0.6</v>
      </c>
      <c r="G5" t="n">
        <v>13.9</v>
      </c>
      <c r="H5" t="n">
        <v>11.7</v>
      </c>
      <c r="I5" t="n">
        <v>10.6</v>
      </c>
      <c r="J5" t="n">
        <v>9.5</v>
      </c>
      <c r="K5" t="n">
        <v>2.2</v>
      </c>
      <c r="L5" t="n">
        <v>3.3</v>
      </c>
      <c r="M5" t="n">
        <v>4.4</v>
      </c>
      <c r="N5" t="n">
        <v>1</v>
      </c>
      <c r="O5" s="3" t="inlineStr">
        <is>
          <t>TAKE BY R2: from R3 the best left drops 3+ pts below the top</t>
        </is>
      </c>
    </row>
    <row r="6">
      <c r="A6" t="inlineStr">
        <is>
          <t>NCAAF</t>
        </is>
      </c>
      <c r="B6" t="n">
        <v>14</v>
      </c>
      <c r="C6" t="n">
        <v>3</v>
      </c>
      <c r="D6" t="inlineStr">
        <is>
          <t>7 / 9 / 10</t>
        </is>
      </c>
      <c r="E6" t="n">
        <v>11.1</v>
      </c>
      <c r="F6" t="n">
        <v>-0.1</v>
      </c>
      <c r="G6" t="n">
        <v>16.9</v>
      </c>
      <c r="H6" t="n">
        <v>8.4</v>
      </c>
      <c r="I6" t="n">
        <v>7.9</v>
      </c>
      <c r="J6" t="n">
        <v>6.4</v>
      </c>
      <c r="K6" t="n">
        <v>8.5</v>
      </c>
      <c r="L6" t="n">
        <v>9</v>
      </c>
      <c r="M6" t="n">
        <v>10.4</v>
      </c>
      <c r="N6" t="n">
        <v>0</v>
      </c>
      <c r="O6" s="3" t="inlineStr">
        <is>
          <t>TAKE EARLY (R1-2): by R2 the field has taken 7 and the best left is 8.4 vs 16.9</t>
        </is>
      </c>
    </row>
    <row r="7">
      <c r="A7" t="inlineStr">
        <is>
          <t>NCAAB</t>
        </is>
      </c>
      <c r="B7" t="n">
        <v>24</v>
      </c>
      <c r="C7" t="n">
        <v>7</v>
      </c>
      <c r="D7" t="inlineStr">
        <is>
          <t>2 / 6 / 9</t>
        </is>
      </c>
      <c r="E7" t="n">
        <v>10.3</v>
      </c>
      <c r="F7" t="n">
        <v>0.1</v>
      </c>
      <c r="G7" t="n">
        <v>14.9</v>
      </c>
      <c r="H7" t="n">
        <v>11.7</v>
      </c>
      <c r="I7" t="n">
        <v>9.699999999999999</v>
      </c>
      <c r="J7" t="n">
        <v>7.4</v>
      </c>
      <c r="K7" t="n">
        <v>3.2</v>
      </c>
      <c r="L7" t="n">
        <v>5.2</v>
      </c>
      <c r="M7" t="n">
        <v>7.5</v>
      </c>
      <c r="N7" t="n">
        <v>1</v>
      </c>
      <c r="O7" s="3" t="inlineStr">
        <is>
          <t>TAKE EARLY (R1-2): by R2 the field has taken 2 and the best left is 11.7 vs 14.9</t>
        </is>
      </c>
    </row>
    <row r="8">
      <c r="A8" t="inlineStr">
        <is>
          <t>Tennis</t>
        </is>
      </c>
      <c r="B8" t="n">
        <v>6</v>
      </c>
      <c r="C8" t="n">
        <v>6</v>
      </c>
      <c r="D8" t="inlineStr">
        <is>
          <t>7 / 8 / 10</t>
        </is>
      </c>
      <c r="E8" t="n">
        <v>9</v>
      </c>
      <c r="F8" t="n">
        <v>-2.9</v>
      </c>
      <c r="G8" t="n">
        <v>11.5</v>
      </c>
      <c r="H8" t="n">
        <v>7.5</v>
      </c>
      <c r="I8" t="n">
        <v>7</v>
      </c>
      <c r="J8" t="n">
        <v>6.2</v>
      </c>
      <c r="K8" t="n">
        <v>4</v>
      </c>
      <c r="L8" t="n">
        <v>4.5</v>
      </c>
      <c r="M8" t="n">
        <v>5.4</v>
      </c>
      <c r="N8" t="n">
        <v>0</v>
      </c>
      <c r="O8" s="3" t="inlineStr">
        <is>
          <t>TAKE EARLY (R1-2): by R1 the field has taken 7 and the best left is 7.5 vs 11.5</t>
        </is>
      </c>
    </row>
    <row r="9">
      <c r="A9" t="inlineStr">
        <is>
          <t>Golf</t>
        </is>
      </c>
      <c r="B9" t="n">
        <v>2</v>
      </c>
      <c r="C9" t="n">
        <v>7</v>
      </c>
      <c r="D9" t="inlineStr">
        <is>
          <t>2 / 3 / 7</t>
        </is>
      </c>
      <c r="E9" t="n">
        <v>7.8</v>
      </c>
      <c r="F9" t="n">
        <v>-1.8</v>
      </c>
      <c r="G9" t="n">
        <v>11.7</v>
      </c>
      <c r="H9" t="n">
        <v>10.4</v>
      </c>
      <c r="I9" t="n">
        <v>9.800000000000001</v>
      </c>
      <c r="J9" t="n">
        <v>7.9</v>
      </c>
      <c r="K9" t="n">
        <v>1.3</v>
      </c>
      <c r="L9" t="n">
        <v>1.9</v>
      </c>
      <c r="M9" t="n">
        <v>3.8</v>
      </c>
      <c r="N9" t="n">
        <v>1</v>
      </c>
      <c r="O9" s="6" t="inlineStr">
        <is>
          <t>FLEXIBLE: within 1 pt through R1; by R5 you still get most of it</t>
        </is>
      </c>
    </row>
    <row r="10">
      <c r="A10" t="inlineStr">
        <is>
          <t>NASCAR</t>
        </is>
      </c>
      <c r="B10" t="n">
        <v>63</v>
      </c>
      <c r="C10" t="n">
        <v>8</v>
      </c>
      <c r="D10" t="inlineStr">
        <is>
          <t>0 / 0 / 6</t>
        </is>
      </c>
      <c r="E10" t="n">
        <v>9.699999999999999</v>
      </c>
      <c r="F10" t="n">
        <v>0.8</v>
      </c>
      <c r="G10" t="n">
        <v>14.5</v>
      </c>
      <c r="H10" t="n">
        <v>14.5</v>
      </c>
      <c r="I10" t="n">
        <v>14.5</v>
      </c>
      <c r="J10" t="n">
        <v>7.1</v>
      </c>
      <c r="K10" t="n">
        <v>0</v>
      </c>
      <c r="L10" t="n">
        <v>0</v>
      </c>
      <c r="M10" t="n">
        <v>7.5</v>
      </c>
      <c r="N10" t="n">
        <v>4</v>
      </c>
      <c r="O10" s="4" t="inlineStr">
        <is>
          <t>WAIT: the field leaves it alone until ~R5; the best player is free through R4</t>
        </is>
      </c>
    </row>
    <row r="11">
      <c r="A11" t="inlineStr">
        <is>
          <t>MLS</t>
        </is>
      </c>
      <c r="B11" t="n">
        <v>31</v>
      </c>
      <c r="C11" t="n">
        <v>10</v>
      </c>
      <c r="D11" t="inlineStr">
        <is>
          <t>0 / 1 / 5</t>
        </is>
      </c>
      <c r="E11" t="n">
        <v>9.699999999999999</v>
      </c>
      <c r="F11" t="n">
        <v>1.3</v>
      </c>
      <c r="G11" t="n">
        <v>10.1</v>
      </c>
      <c r="H11" t="n">
        <v>10.1</v>
      </c>
      <c r="I11" t="n">
        <v>10.1</v>
      </c>
      <c r="J11" t="n">
        <v>8.300000000000001</v>
      </c>
      <c r="K11" t="n">
        <v>0</v>
      </c>
      <c r="L11" t="n">
        <v>0.1</v>
      </c>
      <c r="M11" t="n">
        <v>1.9</v>
      </c>
      <c r="N11" t="n">
        <v>6</v>
      </c>
      <c r="O11" s="4" t="inlineStr">
        <is>
          <t>WAIT: the field leaves it alone until ~R7; the best player is free through R6</t>
        </is>
      </c>
    </row>
    <row r="12">
      <c r="A12" t="inlineStr">
        <is>
          <t>Actor</t>
        </is>
      </c>
      <c r="B12" t="n">
        <v>38</v>
      </c>
      <c r="C12" t="n">
        <v>8</v>
      </c>
      <c r="D12" t="inlineStr">
        <is>
          <t>0 / 1 / 5</t>
        </is>
      </c>
      <c r="E12" t="n">
        <v>8.6</v>
      </c>
      <c r="F12" t="n">
        <v>-0.6</v>
      </c>
      <c r="G12" t="n">
        <v>9.6</v>
      </c>
      <c r="H12" t="n">
        <v>9.6</v>
      </c>
      <c r="I12" t="n">
        <v>9.199999999999999</v>
      </c>
      <c r="J12" t="n">
        <v>7.1</v>
      </c>
      <c r="K12" t="n">
        <v>0</v>
      </c>
      <c r="L12" t="n">
        <v>0.4</v>
      </c>
      <c r="M12" t="n">
        <v>2.6</v>
      </c>
      <c r="N12" t="n">
        <v>4</v>
      </c>
      <c r="O12" s="4" t="inlineStr">
        <is>
          <t>WAIT: the field leaves it alone until ~R5; the best player is free through R4</t>
        </is>
      </c>
    </row>
    <row r="13">
      <c r="A13" t="inlineStr">
        <is>
          <t>Actress</t>
        </is>
      </c>
      <c r="B13" t="n">
        <v>37</v>
      </c>
      <c r="C13" t="n">
        <v>8</v>
      </c>
      <c r="D13" t="inlineStr">
        <is>
          <t>0 / 1 / 5</t>
        </is>
      </c>
      <c r="E13" t="n">
        <v>8.5</v>
      </c>
      <c r="F13" t="n">
        <v>-0.5</v>
      </c>
      <c r="G13" t="n">
        <v>12.1</v>
      </c>
      <c r="H13" t="n">
        <v>12.1</v>
      </c>
      <c r="I13" t="n">
        <v>9.1</v>
      </c>
      <c r="J13" t="n">
        <v>7.3</v>
      </c>
      <c r="K13" t="n">
        <v>0</v>
      </c>
      <c r="L13" t="n">
        <v>3</v>
      </c>
      <c r="M13" t="n">
        <v>4.8</v>
      </c>
      <c r="N13" t="n">
        <v>2</v>
      </c>
      <c r="O13" s="3" t="inlineStr">
        <is>
          <t>TAKE BY R2: from R3 the best left drops 3+ pts below the top</t>
        </is>
      </c>
    </row>
    <row r="14">
      <c r="A14" t="inlineStr">
        <is>
          <t>Musician</t>
        </is>
      </c>
      <c r="B14" t="n">
        <v>5</v>
      </c>
      <c r="C14" t="n">
        <v>9</v>
      </c>
      <c r="D14" t="inlineStr">
        <is>
          <t>5 / 5 / 6</t>
        </is>
      </c>
      <c r="E14" t="n">
        <v>12.1</v>
      </c>
      <c r="F14" t="n">
        <v>2.2</v>
      </c>
      <c r="G14" t="n">
        <v>20.1</v>
      </c>
      <c r="H14" t="n">
        <v>11.2</v>
      </c>
      <c r="I14" t="n">
        <v>11.2</v>
      </c>
      <c r="J14" t="n">
        <v>10.7</v>
      </c>
      <c r="K14" t="n">
        <v>8.9</v>
      </c>
      <c r="L14" t="n">
        <v>8.9</v>
      </c>
      <c r="M14" t="n">
        <v>9.300000000000001</v>
      </c>
      <c r="N14" t="n">
        <v>0</v>
      </c>
      <c r="O14" s="3" t="inlineStr">
        <is>
          <t>TAKE EARLY (R1-2): by R1 the field has taken 3 and the best left is 15.1 vs 20.1</t>
        </is>
      </c>
    </row>
    <row r="15">
      <c r="A15" t="inlineStr">
        <is>
          <t>Country</t>
        </is>
      </c>
      <c r="B15" t="n">
        <v>35</v>
      </c>
      <c r="C15" t="n">
        <v>10</v>
      </c>
      <c r="D15" t="inlineStr">
        <is>
          <t>0 / 2 / 4</t>
        </is>
      </c>
      <c r="E15" t="n">
        <v>12.1</v>
      </c>
      <c r="F15" t="n">
        <v>3.9</v>
      </c>
      <c r="G15" t="n">
        <v>10.8</v>
      </c>
      <c r="H15" t="n">
        <v>10.8</v>
      </c>
      <c r="I15" t="n">
        <v>10.1</v>
      </c>
      <c r="J15" t="n">
        <v>8.800000000000001</v>
      </c>
      <c r="K15" t="n">
        <v>0</v>
      </c>
      <c r="L15" t="n">
        <v>0.7</v>
      </c>
      <c r="M15" t="n">
        <v>2.1</v>
      </c>
      <c r="N15" t="n">
        <v>6</v>
      </c>
      <c r="O15" s="4" t="inlineStr">
        <is>
          <t>WAIT: the field leaves it alone until ~R7; the best player is free through R6</t>
        </is>
      </c>
    </row>
    <row r="16">
      <c r="A16" t="inlineStr">
        <is>
          <t>Stock</t>
        </is>
      </c>
      <c r="B16" t="n">
        <v>158</v>
      </c>
      <c r="C16" t="n">
        <v>13</v>
      </c>
      <c r="D16" t="inlineStr">
        <is>
          <t>0 / 0 / 0</t>
        </is>
      </c>
      <c r="E16" t="n">
        <v>7</v>
      </c>
      <c r="F16" t="n">
        <v>-1</v>
      </c>
      <c r="G16" t="n">
        <v>7.1</v>
      </c>
      <c r="H16" t="n">
        <v>7.1</v>
      </c>
      <c r="I16" t="n">
        <v>7.1</v>
      </c>
      <c r="J16" t="n">
        <v>7.1</v>
      </c>
      <c r="K16" t="n">
        <v>0</v>
      </c>
      <c r="L16" t="n">
        <v>0</v>
      </c>
      <c r="M16" t="n">
        <v>0</v>
      </c>
      <c r="N16" t="n">
        <v>14</v>
      </c>
      <c r="O16" s="6" t="inlineStr">
        <is>
          <t>COIN FLIP: take last, no edge</t>
        </is>
      </c>
    </row>
    <row r="18">
      <c r="A18" t="inlineStr">
        <is>
          <t>How to read: assumes the field strips each category in order of 2027 EV at the pace it did in the 2025 draft (keeper round + snake). 'EV left @Rk' = best player still there after the 2026-style number of teams are gone by round k.</t>
        </is>
      </c>
    </row>
    <row r="19">
      <c r="A19" t="inlineStr">
        <is>
          <t>Free until round = last round where the best player left is within 1 pt of the best on the board. WAIT = the field leaves the category alone; TAKE EARLY = it strips it fast.</t>
        </is>
      </c>
    </row>
    <row r="20">
      <c r="A20" t="inlineStr">
        <is>
          <t>2026 payoff: projected final = current points + projected remaining (MLS / NASCAR / MLB bonuses are not realised yet). Surplus = projected final minus the average pick in that round.</t>
        </is>
      </c>
    </row>
    <row r="21">
      <c r="A21" t="inlineStr">
        <is>
          <t>Caveats: Country's 2026 surplus is the Olympics/World Cup bonus (13 pts) which does not exist in 2027. Musician surplus is the Feb-2026 Grammy bonus (repeats in Feb 2027). Per-pick surplus is mostly luck; category averages are the signal.</t>
        </is>
      </c>
    </row>
    <row r="22">
      <c r="A22" t="inlineStr">
        <is>
          <t>The field does not draft by my EV order (it overweights Grammy/Oscar names), so Musician/Actor/Actress availability is approximate. Keepers may change who is already gone before round 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0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30" customWidth="1" min="3" max="3"/>
    <col width="11" customWidth="1" min="4" max="4"/>
    <col width="10" customWidth="1" min="5" max="5"/>
    <col width="9" customWidth="1" min="6" max="6"/>
    <col width="12" customWidth="1" min="7" max="7"/>
    <col width="9" customWidth="1" min="8" max="8"/>
    <col width="22" customWidth="1" min="9" max="9"/>
    <col width="40" customWidth="1" min="10" max="10"/>
    <col width="6" customWidth="1" min="11" max="11"/>
    <col width="40" customWidth="1" min="12" max="12"/>
    <col width="11" customWidth="1" min="13" max="13"/>
    <col width="44" customWidth="1" min="14" max="14"/>
    <col width="11" customWidth="1" min="15" max="15"/>
  </cols>
  <sheetData>
    <row r="1">
      <c r="A1" s="2" t="inlineStr">
        <is>
          <t>Rank</t>
        </is>
      </c>
      <c r="B1" s="2" t="inlineStr">
        <is>
          <t>Category</t>
        </is>
      </c>
      <c r="C1" s="2" t="inlineStr">
        <is>
          <t>Candidate</t>
        </is>
      </c>
      <c r="D1" s="2" t="inlineStr">
        <is>
          <t>Owned by</t>
        </is>
      </c>
      <c r="E1" s="2" t="inlineStr">
        <is>
          <t>E[total]</t>
        </is>
      </c>
      <c r="F1" s="2" t="inlineStr">
        <is>
          <t>VOR</t>
        </is>
      </c>
      <c r="G1" s="2" t="inlineStr">
        <is>
          <t>Risk-adj VOR</t>
        </is>
      </c>
      <c r="H1" s="2" t="inlineStr">
        <is>
          <t>Tier in category</t>
        </is>
      </c>
      <c r="I1" s="2" t="inlineStr">
        <is>
          <t>Odds / price</t>
        </is>
      </c>
      <c r="J1" s="2" t="inlineStr">
        <is>
          <t>Detail</t>
        </is>
      </c>
      <c r="K1" s="2" t="inlineStr">
        <is>
          <t>Conf</t>
        </is>
      </c>
      <c r="L1" s="2" t="inlineStr">
        <is>
          <t>Source</t>
        </is>
      </c>
      <c r="M1" s="2" t="inlineStr">
        <is>
          <t>As of</t>
        </is>
      </c>
      <c r="N1" s="2" t="inlineStr">
        <is>
          <t>Plan</t>
        </is>
      </c>
      <c r="O1" s="2" t="inlineStr">
        <is>
          <t>Conf-adj VOR</t>
        </is>
      </c>
    </row>
    <row r="2">
      <c r="A2" s="9" t="n">
        <v>1</v>
      </c>
      <c r="B2" t="inlineStr">
        <is>
          <t>Musician</t>
        </is>
      </c>
      <c r="C2" t="inlineStr">
        <is>
          <t>Ella Langley</t>
        </is>
      </c>
      <c r="D2" t="inlineStr">
        <is>
          <t>— free</t>
        </is>
      </c>
      <c r="E2">
        <f>'Musician'!M5</f>
        <v/>
      </c>
      <c r="F2">
        <f>'Musician'!N5</f>
        <v/>
      </c>
      <c r="G2">
        <f>'Musician'!O5</f>
        <v/>
      </c>
      <c r="H2" t="n">
        <v>1</v>
      </c>
      <c r="I2" t="inlineStr">
        <is>
          <t>Grammy EV 10.8 (raw 12.8, P(cap) 50%)</t>
        </is>
      </c>
      <c r="J2" t="inlineStr">
        <is>
          <t>2026 raw 128; charting now: Choosin' Texas (#2); Be Her (#13); Loving Life Again (#16); carry-over 9.0 + new hits 8.9 (lambda 1.10, P(~0) 12%)</t>
        </is>
      </c>
      <c r="K2" t="inlineStr">
        <is>
          <t>C</t>
        </is>
      </c>
      <c r="L2" t="inlineStr">
        <is>
          <t>2027 Hot 100 baseline = my estimate; Grammy: Kalshi KXGRAM*-69 prices (A) + estimates for other categories (C)</t>
        </is>
      </c>
      <c r="M2" t="inlineStr">
        <is>
          <t>2026-10-08</t>
        </is>
      </c>
      <c r="N2" t="inlineStr">
        <is>
          <t>Good but the field reaches for it: let it come to you</t>
        </is>
      </c>
      <c r="O2">
        <f>'Musician'!Y5</f>
        <v/>
      </c>
    </row>
    <row r="3">
      <c r="A3" s="9" t="n">
        <v>2</v>
      </c>
      <c r="B3" t="inlineStr">
        <is>
          <t>NBA</t>
        </is>
      </c>
      <c r="C3" t="inlineStr">
        <is>
          <t>Oklahoma City Thunder</t>
        </is>
      </c>
      <c r="D3" s="16" t="inlineStr">
        <is>
          <t>Feder</t>
        </is>
      </c>
      <c r="E3">
        <f>'NBA'!M5</f>
        <v/>
      </c>
      <c r="F3">
        <f>'NBA'!N5</f>
        <v/>
      </c>
      <c r="G3">
        <f>'NBA'!O5</f>
        <v/>
      </c>
      <c r="H3" t="n">
        <v>1</v>
      </c>
      <c r="I3" t="inlineStr">
        <is>
          <t>Kalshi 21.5%</t>
        </is>
      </c>
      <c r="J3" t="inlineStr">
        <is>
          <t>West; win total 62.5</t>
        </is>
      </c>
      <c r="K3" t="inlineStr">
        <is>
          <t>A</t>
        </is>
      </c>
      <c r="L3" t="inlineStr">
        <is>
          <t>KXNBA-27 exchange mid-price, pulled 2026-10-08; p(final)=KXNBAEAST/KXNBAWEST-27 Kalshi mid | league_sim.py: full-schedule + real playoff bracket Monte Carlo, ratings fitted to Kalshi</t>
        </is>
      </c>
      <c r="M3" t="inlineStr">
        <is>
          <t>2026-10-08</t>
        </is>
      </c>
      <c r="N3" t="inlineStr"/>
      <c r="O3">
        <f>'NBA'!Y5</f>
        <v/>
      </c>
    </row>
    <row r="4">
      <c r="A4" s="9" t="n">
        <v>3</v>
      </c>
      <c r="B4" t="inlineStr">
        <is>
          <t>NFL</t>
        </is>
      </c>
      <c r="C4" t="inlineStr">
        <is>
          <t>San Francisco 49ers</t>
        </is>
      </c>
      <c r="D4" s="16" t="inlineStr">
        <is>
          <t>Todd</t>
        </is>
      </c>
      <c r="E4">
        <f>'NFL'!M5</f>
        <v/>
      </c>
      <c r="F4">
        <f>'NFL'!N5</f>
        <v/>
      </c>
      <c r="G4">
        <f>'NFL'!O5</f>
        <v/>
      </c>
      <c r="H4" t="n">
        <v>1</v>
      </c>
      <c r="I4" t="inlineStr">
        <is>
          <t>Kalshi 9.5%</t>
        </is>
      </c>
      <c r="J4" t="inlineStr">
        <is>
          <t>4-0, NFC West</t>
        </is>
      </c>
      <c r="K4" t="inlineStr">
        <is>
          <t>A</t>
        </is>
      </c>
      <c r="L4" t="inlineStr">
        <is>
          <t>KXSB-27 exchange mid-price, pulled 2026-10-08; p(final)=KXNFLAFCCHAMP/KXNFLNFCCHAMP-27 Kalshi mid | league_sim.py: full-schedule + real playoff bracket Monte Carlo, ratings fitted to Kalshi</t>
        </is>
      </c>
      <c r="M4" t="inlineStr">
        <is>
          <t>2026-10-08</t>
        </is>
      </c>
      <c r="N4" t="inlineStr"/>
      <c r="O4">
        <f>'NFL'!Y5</f>
        <v/>
      </c>
    </row>
    <row r="5">
      <c r="A5" s="9" t="n">
        <v>4</v>
      </c>
      <c r="B5" t="inlineStr">
        <is>
          <t>NASCAR</t>
        </is>
      </c>
      <c r="C5" t="inlineStr">
        <is>
          <t>Kyle Larson</t>
        </is>
      </c>
      <c r="D5" s="16" t="inlineStr">
        <is>
          <t>Molmen</t>
        </is>
      </c>
      <c r="E5">
        <f>'NASCAR'!M5</f>
        <v/>
      </c>
      <c r="F5">
        <f>'NASCAR'!N5</f>
        <v/>
      </c>
      <c r="G5">
        <f>'NASCAR'!O5</f>
        <v/>
      </c>
      <c r="H5" t="n">
        <v>1</v>
      </c>
      <c r="I5" t="inlineStr">
        <is>
          <t>2026 title: Kalshi 42.0%</t>
        </is>
      </c>
      <c r="J5" t="inlineStr">
        <is>
          <t>2,318 pts, leads Chase after Las Vegas</t>
        </is>
      </c>
      <c r="K5" t="inlineStr">
        <is>
          <t>C</t>
        </is>
      </c>
      <c r="L5" t="inlineStr">
        <is>
          <t>User-supplied final Cup standings 2021-2026(proj.), recency-weighted (decay 0.65/yr, nascar_model.py) for drivers in the table; others = field prior blended with 2026 Kalshi title price (shrunk). No 2027 market exists.</t>
        </is>
      </c>
      <c r="M5" t="inlineStr">
        <is>
          <t>2026-10-08</t>
        </is>
      </c>
      <c r="N5" t="inlineStr">
        <is>
          <t>low confidence: far-out event</t>
        </is>
      </c>
      <c r="O5">
        <f>'NASCAR'!Y5</f>
        <v/>
      </c>
    </row>
    <row r="6">
      <c r="A6" s="9" t="n">
        <v>5</v>
      </c>
      <c r="B6" t="inlineStr">
        <is>
          <t>Musician</t>
        </is>
      </c>
      <c r="C6" t="inlineStr">
        <is>
          <t>Olivia Rodrigo</t>
        </is>
      </c>
      <c r="D6" s="16" t="inlineStr">
        <is>
          <t>Todd</t>
        </is>
      </c>
      <c r="E6">
        <f>'Musician'!M6</f>
        <v/>
      </c>
      <c r="F6">
        <f>'Musician'!N6</f>
        <v/>
      </c>
      <c r="G6">
        <f>'Musician'!O6</f>
        <v/>
      </c>
      <c r="H6" t="n">
        <v>1</v>
      </c>
      <c r="I6" t="inlineStr">
        <is>
          <t>Grammy EV 9.4 (raw 10.3, P(cap) 31%)</t>
        </is>
      </c>
      <c r="J6" t="inlineStr">
        <is>
          <t>2026 raw 17; charting now: Drop Dead (#23); The Cure (#22); Stupid Song (#8); carry-over 6.1 + new hits 8.9 (lambda 1.10, P(~0) 17%)</t>
        </is>
      </c>
      <c r="K6" t="inlineStr">
        <is>
          <t>C</t>
        </is>
      </c>
      <c r="L6" t="inlineStr">
        <is>
          <t>2027 Hot 100 baseline = my estimate; Grammy: Kalshi KXGRAM*-69 prices (A) + estimates for other categories (C)</t>
        </is>
      </c>
      <c r="M6" t="inlineStr">
        <is>
          <t>2026-10-08</t>
        </is>
      </c>
      <c r="N6" t="inlineStr">
        <is>
          <t>Good but the field reaches for it: let it come to you</t>
        </is>
      </c>
      <c r="O6">
        <f>'Musician'!Y6</f>
        <v/>
      </c>
    </row>
    <row r="7">
      <c r="A7" s="9" t="n">
        <v>6</v>
      </c>
      <c r="B7" t="inlineStr">
        <is>
          <t>NBA</t>
        </is>
      </c>
      <c r="C7" t="inlineStr">
        <is>
          <t>San Antonio Spurs</t>
        </is>
      </c>
      <c r="D7" s="16" t="inlineStr">
        <is>
          <t>Wu</t>
        </is>
      </c>
      <c r="E7">
        <f>'NBA'!M6</f>
        <v/>
      </c>
      <c r="F7">
        <f>'NBA'!N6</f>
        <v/>
      </c>
      <c r="G7">
        <f>'NBA'!O6</f>
        <v/>
      </c>
      <c r="H7" t="n">
        <v>1</v>
      </c>
      <c r="I7" t="inlineStr">
        <is>
          <t>Kalshi 21.5%</t>
        </is>
      </c>
      <c r="J7" t="inlineStr">
        <is>
          <t>West; win total 59.5</t>
        </is>
      </c>
      <c r="K7" t="inlineStr">
        <is>
          <t>A</t>
        </is>
      </c>
      <c r="L7" t="inlineStr">
        <is>
          <t>KXNBA-27 exchange mid-price, pulled 2026-10-08; p(final)=KXNBAEAST/KXNBAWEST-27 Kalshi mid | league_sim.py: full-schedule + real playoff bracket Monte Carlo, ratings fitted to Kalshi</t>
        </is>
      </c>
      <c r="M7" t="inlineStr">
        <is>
          <t>2026-10-08</t>
        </is>
      </c>
      <c r="N7" t="inlineStr"/>
      <c r="O7">
        <f>'NBA'!Y6</f>
        <v/>
      </c>
    </row>
    <row r="8">
      <c r="A8" s="9" t="n">
        <v>7</v>
      </c>
      <c r="B8" t="inlineStr">
        <is>
          <t>NCAAF</t>
        </is>
      </c>
      <c r="C8" t="inlineStr">
        <is>
          <t>Georgia</t>
        </is>
      </c>
      <c r="D8" s="16" t="inlineStr">
        <is>
          <t>Theo</t>
        </is>
      </c>
      <c r="E8">
        <f>'NCAAF'!M5</f>
        <v/>
      </c>
      <c r="F8">
        <f>'NCAAF'!N5</f>
        <v/>
      </c>
      <c r="G8">
        <f>'NCAAF'!O5</f>
        <v/>
      </c>
      <c r="H8" t="n">
        <v>1</v>
      </c>
      <c r="I8" t="inlineStr">
        <is>
          <t>Kalshi 16.5%</t>
        </is>
      </c>
      <c r="J8" t="inlineStr">
        <is>
          <t>AP #2, 5-0, SEC</t>
        </is>
      </c>
      <c r="K8" t="inlineStr">
        <is>
          <t>A</t>
        </is>
      </c>
      <c r="L8" t="inlineStr">
        <is>
          <t>KXNCAAF-27 exchange mid-price, pulled 2026-10-22</t>
        </is>
      </c>
      <c r="M8" t="inlineStr">
        <is>
          <t>2026-10-22</t>
        </is>
      </c>
      <c r="N8" t="inlineStr"/>
      <c r="O8">
        <f>'NCAAF'!Y5</f>
        <v/>
      </c>
    </row>
    <row r="9">
      <c r="A9" s="9" t="n">
        <v>8</v>
      </c>
      <c r="B9" t="inlineStr">
        <is>
          <t>NCAAB</t>
        </is>
      </c>
      <c r="C9" t="inlineStr">
        <is>
          <t>Florida</t>
        </is>
      </c>
      <c r="D9" s="16" t="inlineStr">
        <is>
          <t>Wu</t>
        </is>
      </c>
      <c r="E9">
        <f>'NCAAB'!M5</f>
        <v/>
      </c>
      <c r="F9">
        <f>'NCAAB'!N5</f>
        <v/>
      </c>
      <c r="G9">
        <f>'NCAAB'!O5</f>
        <v/>
      </c>
      <c r="H9" t="n">
        <v>1</v>
      </c>
      <c r="I9" t="inlineStr">
        <is>
          <t>+600</t>
        </is>
      </c>
      <c r="J9" t="inlineStr"/>
      <c r="K9" t="inlineStr">
        <is>
          <t>B</t>
        </is>
      </c>
      <c r="L9" t="inlineStr">
        <is>
          <t>CBS Sports title odds 2026-08-04</t>
        </is>
      </c>
      <c r="M9" t="inlineStr">
        <is>
          <t>2026-10-08</t>
        </is>
      </c>
      <c r="N9" t="inlineStr">
        <is>
          <t>low confidence: far-out event</t>
        </is>
      </c>
      <c r="O9">
        <f>'NCAAB'!Y5</f>
        <v/>
      </c>
    </row>
    <row r="10">
      <c r="A10" s="9" t="n">
        <v>9</v>
      </c>
      <c r="B10" t="inlineStr">
        <is>
          <t>NCAAF</t>
        </is>
      </c>
      <c r="C10" t="inlineStr">
        <is>
          <t>Notre Dame</t>
        </is>
      </c>
      <c r="D10" s="16" t="inlineStr">
        <is>
          <t>Feder</t>
        </is>
      </c>
      <c r="E10">
        <f>'NCAAF'!M6</f>
        <v/>
      </c>
      <c r="F10">
        <f>'NCAAF'!N6</f>
        <v/>
      </c>
      <c r="G10">
        <f>'NCAAF'!O6</f>
        <v/>
      </c>
      <c r="H10" t="n">
        <v>1</v>
      </c>
      <c r="I10" t="inlineStr">
        <is>
          <t>Kalshi 12.5%</t>
        </is>
      </c>
      <c r="J10" t="inlineStr">
        <is>
          <t>AP #3, 5-0, Ind</t>
        </is>
      </c>
      <c r="K10" t="inlineStr">
        <is>
          <t>A</t>
        </is>
      </c>
      <c r="L10" t="inlineStr">
        <is>
          <t>KXNCAAF-27 exchange mid-price, pulled 2026-10-22</t>
        </is>
      </c>
      <c r="M10" t="inlineStr">
        <is>
          <t>2026-10-22</t>
        </is>
      </c>
      <c r="N10" t="inlineStr"/>
      <c r="O10">
        <f>'NCAAF'!Y6</f>
        <v/>
      </c>
    </row>
    <row r="11">
      <c r="A11" s="9" t="n">
        <v>10</v>
      </c>
      <c r="B11" t="inlineStr">
        <is>
          <t>NCAAF</t>
        </is>
      </c>
      <c r="C11" t="inlineStr">
        <is>
          <t>Miami (FL)</t>
        </is>
      </c>
      <c r="D11" s="16" t="inlineStr">
        <is>
          <t>Wu</t>
        </is>
      </c>
      <c r="E11">
        <f>'NCAAF'!M7</f>
        <v/>
      </c>
      <c r="F11">
        <f>'NCAAF'!N7</f>
        <v/>
      </c>
      <c r="G11">
        <f>'NCAAF'!O7</f>
        <v/>
      </c>
      <c r="H11" t="n">
        <v>1</v>
      </c>
      <c r="I11" t="inlineStr">
        <is>
          <t>Kalshi 14.5%</t>
        </is>
      </c>
      <c r="J11" t="inlineStr">
        <is>
          <t>AP #4, 5-0, ACC</t>
        </is>
      </c>
      <c r="K11" t="inlineStr">
        <is>
          <t>A</t>
        </is>
      </c>
      <c r="L11" t="inlineStr">
        <is>
          <t>KXNCAAF-27 exchange mid-price, pulled 2026-10-22</t>
        </is>
      </c>
      <c r="M11" t="inlineStr">
        <is>
          <t>2026-10-22</t>
        </is>
      </c>
      <c r="N11" t="inlineStr"/>
      <c r="O11">
        <f>'NCAAF'!Y7</f>
        <v/>
      </c>
    </row>
    <row r="12">
      <c r="A12" s="9" t="n">
        <v>11</v>
      </c>
      <c r="B12" t="inlineStr">
        <is>
          <t>NASCAR</t>
        </is>
      </c>
      <c r="C12" t="inlineStr">
        <is>
          <t>Denny Hamlin</t>
        </is>
      </c>
      <c r="D12" s="16" t="inlineStr">
        <is>
          <t>Theo</t>
        </is>
      </c>
      <c r="E12">
        <f>'NASCAR'!M6</f>
        <v/>
      </c>
      <c r="F12">
        <f>'NASCAR'!N6</f>
        <v/>
      </c>
      <c r="G12">
        <f>'NASCAR'!O6</f>
        <v/>
      </c>
      <c r="H12" t="n">
        <v>1</v>
      </c>
      <c r="I12" t="inlineStr">
        <is>
          <t>2026 title: Kalshi 28.0%</t>
        </is>
      </c>
      <c r="J12" t="inlineStr">
        <is>
          <t>2,278 pts (2nd)</t>
        </is>
      </c>
      <c r="K12" t="inlineStr">
        <is>
          <t>C</t>
        </is>
      </c>
      <c r="L12" t="inlineStr">
        <is>
          <t>User-supplied final Cup standings 2021-2026(proj.), recency-weighted (decay 0.65/yr, nascar_model.py) for drivers in the table; others = field prior blended with 2026 Kalshi title price (shrunk). No 2027 market exists.</t>
        </is>
      </c>
      <c r="M12" t="inlineStr">
        <is>
          <t>2026-10-08</t>
        </is>
      </c>
      <c r="N12" t="inlineStr">
        <is>
          <t>low confidence: far-out event</t>
        </is>
      </c>
      <c r="O12">
        <f>'NASCAR'!Y6</f>
        <v/>
      </c>
    </row>
    <row r="13">
      <c r="A13" s="9" t="n">
        <v>12</v>
      </c>
      <c r="B13" t="inlineStr">
        <is>
          <t>NCAAB</t>
        </is>
      </c>
      <c r="C13" t="inlineStr">
        <is>
          <t>Duke</t>
        </is>
      </c>
      <c r="D13" s="16" t="inlineStr">
        <is>
          <t>Jens</t>
        </is>
      </c>
      <c r="E13">
        <f>'NCAAB'!M6</f>
        <v/>
      </c>
      <c r="F13">
        <f>'NCAAB'!N6</f>
        <v/>
      </c>
      <c r="G13">
        <f>'NCAAB'!O6</f>
        <v/>
      </c>
      <c r="H13" t="n">
        <v>1</v>
      </c>
      <c r="I13" t="inlineStr">
        <is>
          <t>+600</t>
        </is>
      </c>
      <c r="J13" t="inlineStr"/>
      <c r="K13" t="inlineStr">
        <is>
          <t>B</t>
        </is>
      </c>
      <c r="L13" t="inlineStr">
        <is>
          <t>CBS Sports title odds 2026-08-04</t>
        </is>
      </c>
      <c r="M13" t="inlineStr">
        <is>
          <t>2026-10-08</t>
        </is>
      </c>
      <c r="N13" t="inlineStr">
        <is>
          <t>low confidence: far-out event</t>
        </is>
      </c>
      <c r="O13">
        <f>'NCAAB'!Y6</f>
        <v/>
      </c>
    </row>
    <row r="14">
      <c r="A14" s="9" t="n">
        <v>13</v>
      </c>
      <c r="B14" t="inlineStr">
        <is>
          <t>NCAAF</t>
        </is>
      </c>
      <c r="C14" t="inlineStr">
        <is>
          <t>Ohio State</t>
        </is>
      </c>
      <c r="D14" s="16" t="inlineStr">
        <is>
          <t>Mitchell</t>
        </is>
      </c>
      <c r="E14">
        <f>'NCAAF'!M8</f>
        <v/>
      </c>
      <c r="F14">
        <f>'NCAAF'!N8</f>
        <v/>
      </c>
      <c r="G14">
        <f>'NCAAF'!O8</f>
        <v/>
      </c>
      <c r="H14" t="n">
        <v>2</v>
      </c>
      <c r="I14" t="inlineStr">
        <is>
          <t>Kalshi 12.5%</t>
        </is>
      </c>
      <c r="J14" t="inlineStr">
        <is>
          <t>AP #5, 4-1, Big Ten</t>
        </is>
      </c>
      <c r="K14" t="inlineStr">
        <is>
          <t>A</t>
        </is>
      </c>
      <c r="L14" t="inlineStr">
        <is>
          <t>KXNCAAF-27 exchange mid-price, pulled 2026-10-22</t>
        </is>
      </c>
      <c r="M14" t="inlineStr">
        <is>
          <t>2026-10-22</t>
        </is>
      </c>
      <c r="N14" t="inlineStr"/>
      <c r="O14">
        <f>'NCAAF'!Y8</f>
        <v/>
      </c>
    </row>
    <row r="15">
      <c r="A15" s="9" t="n">
        <v>14</v>
      </c>
      <c r="B15" t="inlineStr">
        <is>
          <t>Musician</t>
        </is>
      </c>
      <c r="C15" t="inlineStr">
        <is>
          <t>Olivia Dean</t>
        </is>
      </c>
      <c r="D15" t="inlineStr">
        <is>
          <t>— free</t>
        </is>
      </c>
      <c r="E15">
        <f>'Musician'!M7</f>
        <v/>
      </c>
      <c r="F15">
        <f>'Musician'!N7</f>
        <v/>
      </c>
      <c r="G15">
        <f>'Musician'!O7</f>
        <v/>
      </c>
      <c r="H15" t="n">
        <v>1</v>
      </c>
      <c r="I15" t="inlineStr">
        <is>
          <t>Grammy EV 8.5 (raw 9.2, P(cap) 23%)</t>
        </is>
      </c>
      <c r="J15" t="inlineStr">
        <is>
          <t>2026 raw 61; charting now: none charting; carry-over 0.0 + new hits 9.0 (lambda 1.10, P(~0) 33%)</t>
        </is>
      </c>
      <c r="K15" t="inlineStr">
        <is>
          <t>C</t>
        </is>
      </c>
      <c r="L15" t="inlineStr">
        <is>
          <t>2027 Hot 100 baseline = my estimate; Grammy: Kalshi KXGRAM*-69 prices (A) + estimates for other categories (C)</t>
        </is>
      </c>
      <c r="M15" t="inlineStr">
        <is>
          <t>2026-10-08</t>
        </is>
      </c>
      <c r="N15" t="inlineStr">
        <is>
          <t>Good but the field reaches for it: let it come to you</t>
        </is>
      </c>
      <c r="O15">
        <f>'Musician'!Y7</f>
        <v/>
      </c>
    </row>
    <row r="16">
      <c r="A16" s="9" t="n">
        <v>15</v>
      </c>
      <c r="B16" t="inlineStr">
        <is>
          <t>Country</t>
        </is>
      </c>
      <c r="C16" t="inlineStr">
        <is>
          <t>Iraq</t>
        </is>
      </c>
      <c r="D16" t="inlineStr">
        <is>
          <t>— free</t>
        </is>
      </c>
      <c r="E16">
        <f>'Country'!M5</f>
        <v/>
      </c>
      <c r="F16">
        <f>'Country'!N5</f>
        <v/>
      </c>
      <c r="G16">
        <f>'Country'!O5</f>
        <v/>
      </c>
      <c r="H16" t="n">
        <v>1</v>
      </c>
      <c r="I16" t="inlineStr">
        <is>
          <t>IMF Oct-2026 2027: 19.0%</t>
        </is>
      </c>
      <c r="J16" t="inlineStr">
        <is>
          <t>IMF Oct-2026: 2025 -0.414, 2026 -16.02, 2027 18.986 | war/rebound path: very wide forecast error</t>
        </is>
      </c>
      <c r="K16" t="inlineStr">
        <is>
          <t>A</t>
        </is>
      </c>
      <c r="L16" t="inlineStr">
        <is>
          <t>IMF World Economic Outlook, October 2026 (published 2026-10-13), api.imf.org SDMX dataflow IMF.RES/WEO NGDP_RPCH, pulled via Actions runner</t>
        </is>
      </c>
      <c r="M16" t="inlineStr">
        <is>
          <t>2026-10-13</t>
        </is>
      </c>
      <c r="N16" t="inlineStr"/>
      <c r="O16">
        <f>'Country'!Y5</f>
        <v/>
      </c>
    </row>
    <row r="17">
      <c r="A17" s="17" t="n">
        <v>16</v>
      </c>
      <c r="B17" t="inlineStr">
        <is>
          <t>NFL</t>
        </is>
      </c>
      <c r="C17" t="inlineStr">
        <is>
          <t>Kansas City Chiefs</t>
        </is>
      </c>
      <c r="D17" s="16" t="inlineStr">
        <is>
          <t>Shep</t>
        </is>
      </c>
      <c r="E17">
        <f>'NFL'!M6</f>
        <v/>
      </c>
      <c r="F17">
        <f>'NFL'!N6</f>
        <v/>
      </c>
      <c r="G17">
        <f>'NFL'!O6</f>
        <v/>
      </c>
      <c r="H17" t="n">
        <v>1</v>
      </c>
      <c r="I17" t="inlineStr">
        <is>
          <t>Kalshi 9.5%</t>
        </is>
      </c>
      <c r="J17" t="inlineStr">
        <is>
          <t>4-0, AFC West</t>
        </is>
      </c>
      <c r="K17" t="inlineStr">
        <is>
          <t>A</t>
        </is>
      </c>
      <c r="L17" t="inlineStr">
        <is>
          <t>KXSB-27 exchange mid-price, pulled 2026-10-08; p(final)=KXNFLAFCCHAMP/KXNFLNFCCHAMP-27 Kalshi mid | league_sim.py: full-schedule + real playoff bracket Monte Carlo, ratings fitted to Kalshi</t>
        </is>
      </c>
      <c r="M17" t="inlineStr">
        <is>
          <t>2026-10-08</t>
        </is>
      </c>
      <c r="N17" t="inlineStr"/>
      <c r="O17">
        <f>'NFL'!Y6</f>
        <v/>
      </c>
    </row>
    <row r="18">
      <c r="A18" s="17" t="n">
        <v>17</v>
      </c>
      <c r="B18" t="inlineStr">
        <is>
          <t>Country</t>
        </is>
      </c>
      <c r="C18" t="inlineStr">
        <is>
          <t>Qatar</t>
        </is>
      </c>
      <c r="D18" t="inlineStr">
        <is>
          <t>— free</t>
        </is>
      </c>
      <c r="E18">
        <f>'Country'!M6</f>
        <v/>
      </c>
      <c r="F18">
        <f>'Country'!N6</f>
        <v/>
      </c>
      <c r="G18">
        <f>'Country'!O6</f>
        <v/>
      </c>
      <c r="H18" t="n">
        <v>1</v>
      </c>
      <c r="I18" t="inlineStr">
        <is>
          <t>IMF Oct-2026 2027: 18.8%</t>
        </is>
      </c>
      <c r="J18" t="inlineStr">
        <is>
          <t>IMF Oct-2026: 2025 1.808, 2026 -15.583, 2027 18.755 | war/rebound path: very wide forecast error</t>
        </is>
      </c>
      <c r="K18" t="inlineStr">
        <is>
          <t>A</t>
        </is>
      </c>
      <c r="L18" t="inlineStr">
        <is>
          <t>IMF World Economic Outlook, October 2026 (published 2026-10-13), api.imf.org SDMX dataflow IMF.RES/WEO NGDP_RPCH, pulled via Actions runner</t>
        </is>
      </c>
      <c r="M18" t="inlineStr">
        <is>
          <t>2026-10-13</t>
        </is>
      </c>
      <c r="N18" t="inlineStr"/>
      <c r="O18">
        <f>'Country'!Y6</f>
        <v/>
      </c>
    </row>
    <row r="19">
      <c r="A19" s="17" t="n">
        <v>18</v>
      </c>
      <c r="B19" t="inlineStr">
        <is>
          <t>Actress</t>
        </is>
      </c>
      <c r="C19" t="inlineStr">
        <is>
          <t>Julianne Moore</t>
        </is>
      </c>
      <c r="D19" t="inlineStr">
        <is>
          <t>— free</t>
        </is>
      </c>
      <c r="E19">
        <f>'Actress'!M5</f>
        <v/>
      </c>
      <c r="F19">
        <f>'Actress'!N5</f>
        <v/>
      </c>
      <c r="G19">
        <f>'Actress'!O5</f>
        <v/>
      </c>
      <c r="H19" t="n">
        <v>1</v>
      </c>
      <c r="J19" t="inlineStr">
        <is>
          <t>no 2027 film found in Wikipedia's cast lists</t>
        </is>
      </c>
      <c r="K19" t="inlineStr">
        <is>
          <t>C</t>
        </is>
      </c>
      <c r="L19" t="inlineStr">
        <is>
          <t>Wikipedia 'List of American films of 2027' casts (Actions-runner pull 2026-10-08) x comp-based box office/RT estimates; cast lists are billed leads only (cameos not captured)</t>
        </is>
      </c>
      <c r="M19" t="inlineStr">
        <is>
          <t>2026-10-08</t>
        </is>
      </c>
      <c r="N19" t="inlineStr">
        <is>
          <t>Good but the field reaches for it: let it come to you</t>
        </is>
      </c>
      <c r="O19">
        <f>'Actress'!Y5</f>
        <v/>
      </c>
    </row>
    <row r="20">
      <c r="A20" s="17" t="n">
        <v>19</v>
      </c>
      <c r="B20" t="inlineStr">
        <is>
          <t>Tennis</t>
        </is>
      </c>
      <c r="C20" t="inlineStr">
        <is>
          <t>Jannik Sinner</t>
        </is>
      </c>
      <c r="D20" s="16" t="inlineStr">
        <is>
          <t>Buckley</t>
        </is>
      </c>
      <c r="E20">
        <f>'Tennis'!M5</f>
        <v/>
      </c>
      <c r="F20">
        <f>'Tennis'!N5</f>
        <v/>
      </c>
      <c r="G20">
        <f>'Tennis'!O5</f>
        <v/>
      </c>
      <c r="H20" t="n">
        <v>1</v>
      </c>
      <c r="I20" t="inlineStr">
        <is>
          <t>+100 AO 2027 (pre-injury)</t>
        </is>
      </c>
      <c r="J20" t="inlineStr">
        <is>
          <t>ATP 1 (2026-10-08)</t>
        </is>
      </c>
      <c r="K20" t="inlineStr">
        <is>
          <t>B</t>
        </is>
      </c>
      <c r="L20" t="inlineStr">
        <is>
          <t>ATP rank from league standings pull (A) / WTA via Olympics.com Oct 5; AO odds VegasInsider/Johnnybet Oct 2026; probabilities = agent estimates</t>
        </is>
      </c>
      <c r="M20" t="inlineStr">
        <is>
          <t>2026-10-08</t>
        </is>
      </c>
      <c r="N20" t="inlineStr"/>
      <c r="O20">
        <f>'Tennis'!Y5</f>
        <v/>
      </c>
    </row>
    <row r="21">
      <c r="A21" s="17" t="n">
        <v>20</v>
      </c>
      <c r="B21" t="inlineStr">
        <is>
          <t>Musician</t>
        </is>
      </c>
      <c r="C21" t="inlineStr">
        <is>
          <t>Bruno Mars</t>
        </is>
      </c>
      <c r="D21" t="inlineStr">
        <is>
          <t>— free</t>
        </is>
      </c>
      <c r="E21">
        <f>'Musician'!M8</f>
        <v/>
      </c>
      <c r="F21">
        <f>'Musician'!N8</f>
        <v/>
      </c>
      <c r="G21">
        <f>'Musician'!O8</f>
        <v/>
      </c>
      <c r="H21" t="n">
        <v>2</v>
      </c>
      <c r="I21" t="inlineStr">
        <is>
          <t>Grammy EV 7.0 (raw 7.3, P(cap) 11%)</t>
        </is>
      </c>
      <c r="J21" t="inlineStr">
        <is>
          <t>2026 raw 34; charting now: I Just Might (#11); Risk It All (#14); carry-over 2.9 + new hits 8.9 (lambda 1.10, P(~0) 24%)</t>
        </is>
      </c>
      <c r="K21" t="inlineStr">
        <is>
          <t>C</t>
        </is>
      </c>
      <c r="L21" t="inlineStr">
        <is>
          <t>2027 Hot 100 baseline = my estimate; Grammy: Kalshi KXGRAM*-69 prices (A) + estimates for other categories (C)</t>
        </is>
      </c>
      <c r="M21" t="inlineStr">
        <is>
          <t>2026-10-08</t>
        </is>
      </c>
      <c r="N21" t="inlineStr">
        <is>
          <t>Good but the field reaches for it: let it come to you</t>
        </is>
      </c>
      <c r="O21">
        <f>'Musician'!Y8</f>
        <v/>
      </c>
    </row>
    <row r="22">
      <c r="A22" s="17" t="n">
        <v>21</v>
      </c>
      <c r="B22" t="inlineStr">
        <is>
          <t>Musician</t>
        </is>
      </c>
      <c r="C22" t="inlineStr">
        <is>
          <t>Taylor Swift</t>
        </is>
      </c>
      <c r="D22" s="16" t="inlineStr">
        <is>
          <t>Molmen</t>
        </is>
      </c>
      <c r="E22">
        <f>'Musician'!M9</f>
        <v/>
      </c>
      <c r="F22">
        <f>'Musician'!N9</f>
        <v/>
      </c>
      <c r="G22">
        <f>'Musician'!O9</f>
        <v/>
      </c>
      <c r="H22" t="n">
        <v>2</v>
      </c>
      <c r="I22" t="inlineStr">
        <is>
          <t>Grammy EV 7.4 (raw 7.7, P(cap) 13%)</t>
        </is>
      </c>
      <c r="J22" t="inlineStr">
        <is>
          <t>2026 raw 61; charting now: Patient Zero (#1); carry-over 1.6 + new hits 8.8 (lambda 1.10, P(~0) 27%)</t>
        </is>
      </c>
      <c r="K22" t="inlineStr">
        <is>
          <t>C</t>
        </is>
      </c>
      <c r="L22" t="inlineStr">
        <is>
          <t>2027 Hot 100 baseline = my estimate; Grammy: Kalshi KXGRAM*-69 prices (A) + estimates for other categories (C)</t>
        </is>
      </c>
      <c r="M22" t="inlineStr">
        <is>
          <t>2026-10-08</t>
        </is>
      </c>
      <c r="N22" t="inlineStr">
        <is>
          <t>Good but the field reaches for it: let it come to you</t>
        </is>
      </c>
      <c r="O22">
        <f>'Musician'!Y9</f>
        <v/>
      </c>
    </row>
    <row r="23">
      <c r="A23" s="17" t="n">
        <v>22</v>
      </c>
      <c r="B23" t="inlineStr">
        <is>
          <t>Country</t>
        </is>
      </c>
      <c r="C23" t="inlineStr">
        <is>
          <t>Guyana</t>
        </is>
      </c>
      <c r="D23" s="16" t="inlineStr">
        <is>
          <t>Korch</t>
        </is>
      </c>
      <c r="E23">
        <f>'Country'!M7</f>
        <v/>
      </c>
      <c r="F23">
        <f>'Country'!N7</f>
        <v/>
      </c>
      <c r="G23">
        <f>'Country'!O7</f>
        <v/>
      </c>
      <c r="H23" t="n">
        <v>1</v>
      </c>
      <c r="I23" t="inlineStr">
        <is>
          <t>IMF Oct-2026 2027: 16.8%</t>
        </is>
      </c>
      <c r="J23" t="inlineStr">
        <is>
          <t>IMF Oct-2026: 2025 19.31, 2026 22.325, 2027 16.789 | commodity-driven: wide forecast error</t>
        </is>
      </c>
      <c r="K23" t="inlineStr">
        <is>
          <t>A</t>
        </is>
      </c>
      <c r="L23" t="inlineStr">
        <is>
          <t>IMF World Economic Outlook, October 2026 (published 2026-10-13), api.imf.org SDMX dataflow IMF.RES/WEO NGDP_RPCH, pulled via Actions runner</t>
        </is>
      </c>
      <c r="M23" t="inlineStr">
        <is>
          <t>2026-10-13</t>
        </is>
      </c>
      <c r="N23" t="inlineStr"/>
      <c r="O23">
        <f>'Country'!Y7</f>
        <v/>
      </c>
    </row>
    <row r="24">
      <c r="A24" s="17" t="n">
        <v>23</v>
      </c>
      <c r="B24" t="inlineStr">
        <is>
          <t>NFL</t>
        </is>
      </c>
      <c r="C24" t="inlineStr">
        <is>
          <t>Buffalo Bills</t>
        </is>
      </c>
      <c r="D24" s="16" t="inlineStr">
        <is>
          <t>Jens</t>
        </is>
      </c>
      <c r="E24">
        <f>'NFL'!M7</f>
        <v/>
      </c>
      <c r="F24">
        <f>'NFL'!N7</f>
        <v/>
      </c>
      <c r="G24">
        <f>'NFL'!O7</f>
        <v/>
      </c>
      <c r="H24" t="n">
        <v>1</v>
      </c>
      <c r="I24" t="inlineStr">
        <is>
          <t>Kalshi 10.5%</t>
        </is>
      </c>
      <c r="J24" t="inlineStr">
        <is>
          <t>3-1, AFC East</t>
        </is>
      </c>
      <c r="K24" t="inlineStr">
        <is>
          <t>A</t>
        </is>
      </c>
      <c r="L24" t="inlineStr">
        <is>
          <t>KXSB-27 exchange mid-price, pulled 2026-10-08; p(final)=KXNFLAFCCHAMP/KXNFLNFCCHAMP-27 Kalshi mid | league_sim.py: full-schedule + real playoff bracket Monte Carlo, ratings fitted to Kalshi</t>
        </is>
      </c>
      <c r="M24" t="inlineStr">
        <is>
          <t>2026-10-08</t>
        </is>
      </c>
      <c r="N24" t="inlineStr"/>
      <c r="O24">
        <f>'NFL'!Y7</f>
        <v/>
      </c>
    </row>
    <row r="25">
      <c r="A25" s="17" t="n">
        <v>24</v>
      </c>
      <c r="B25" t="inlineStr">
        <is>
          <t>NASCAR</t>
        </is>
      </c>
      <c r="C25" t="inlineStr">
        <is>
          <t>Christopher Bell</t>
        </is>
      </c>
      <c r="D25" s="16" t="inlineStr">
        <is>
          <t>Wu</t>
        </is>
      </c>
      <c r="E25">
        <f>'NASCAR'!M7</f>
        <v/>
      </c>
      <c r="F25">
        <f>'NASCAR'!N7</f>
        <v/>
      </c>
      <c r="G25">
        <f>'NASCAR'!O7</f>
        <v/>
      </c>
      <c r="H25" t="n">
        <v>1</v>
      </c>
      <c r="I25" t="inlineStr">
        <is>
          <t>2026 title: Kalshi 10.5%</t>
        </is>
      </c>
      <c r="J25" t="inlineStr">
        <is>
          <t>2,263 pts (3rd)</t>
        </is>
      </c>
      <c r="K25" t="inlineStr">
        <is>
          <t>C</t>
        </is>
      </c>
      <c r="L25" t="inlineStr">
        <is>
          <t>User-supplied final Cup standings 2021-2026(proj.), recency-weighted (decay 0.65/yr, nascar_model.py) for drivers in the table; others = field prior blended with 2026 Kalshi title price (shrunk). No 2027 market exists.</t>
        </is>
      </c>
      <c r="M25" t="inlineStr">
        <is>
          <t>2026-10-08</t>
        </is>
      </c>
      <c r="N25" t="inlineStr">
        <is>
          <t>low confidence: far-out event</t>
        </is>
      </c>
      <c r="O25">
        <f>'NASCAR'!Y7</f>
        <v/>
      </c>
    </row>
    <row r="26">
      <c r="A26" s="17" t="n">
        <v>25</v>
      </c>
      <c r="B26" t="inlineStr">
        <is>
          <t>NHL</t>
        </is>
      </c>
      <c r="C26" t="inlineStr">
        <is>
          <t>Carolina Hurricanes</t>
        </is>
      </c>
      <c r="D26" s="16" t="inlineStr">
        <is>
          <t>Jamzee</t>
        </is>
      </c>
      <c r="E26">
        <f>'NHL'!M5</f>
        <v/>
      </c>
      <c r="F26">
        <f>'NHL'!N5</f>
        <v/>
      </c>
      <c r="G26">
        <f>'NHL'!O5</f>
        <v/>
      </c>
      <c r="H26" t="n">
        <v>1</v>
      </c>
      <c r="I26" t="inlineStr">
        <is>
          <t>Kalshi 9.5%</t>
        </is>
      </c>
      <c r="J26" t="inlineStr">
        <is>
          <t>East</t>
        </is>
      </c>
      <c r="K26" t="inlineStr">
        <is>
          <t>A</t>
        </is>
      </c>
      <c r="L26" t="inlineStr">
        <is>
          <t>KXNHL-27 exchange mid-price, pulled 2026-10-08; p(final)=KXNHLEAST/KXNHLWEST-27 Kalshi mid | league_sim.py: full-schedule + real playoff bracket Monte Carlo, ratings fitted to Kalshi</t>
        </is>
      </c>
      <c r="M26" t="inlineStr">
        <is>
          <t>2026-10-08</t>
        </is>
      </c>
      <c r="N26" t="inlineStr"/>
      <c r="O26">
        <f>'NHL'!Y5</f>
        <v/>
      </c>
    </row>
    <row r="27">
      <c r="A27" s="17" t="n">
        <v>26</v>
      </c>
      <c r="B27" t="inlineStr">
        <is>
          <t>Country</t>
        </is>
      </c>
      <c r="C27" t="inlineStr">
        <is>
          <t>Kuwait</t>
        </is>
      </c>
      <c r="D27" t="inlineStr">
        <is>
          <t>— free</t>
        </is>
      </c>
      <c r="E27">
        <f>'Country'!M8</f>
        <v/>
      </c>
      <c r="F27">
        <f>'Country'!N8</f>
        <v/>
      </c>
      <c r="G27">
        <f>'Country'!O8</f>
        <v/>
      </c>
      <c r="H27" t="n">
        <v>2</v>
      </c>
      <c r="I27" t="inlineStr">
        <is>
          <t>IMF Oct-2026 2027: 17.1%</t>
        </is>
      </c>
      <c r="J27" t="inlineStr">
        <is>
          <t>IMF Oct-2026: 2025 2.732, 2026 -16.74, 2027 17.125 | war/rebound path: very wide forecast error</t>
        </is>
      </c>
      <c r="K27" t="inlineStr">
        <is>
          <t>A</t>
        </is>
      </c>
      <c r="L27" t="inlineStr">
        <is>
          <t>IMF World Economic Outlook, October 2026 (published 2026-10-13), api.imf.org SDMX dataflow IMF.RES/WEO NGDP_RPCH, pulled via Actions runner</t>
        </is>
      </c>
      <c r="M27" t="inlineStr">
        <is>
          <t>2026-10-13</t>
        </is>
      </c>
      <c r="N27" t="inlineStr"/>
      <c r="O27">
        <f>'Country'!Y8</f>
        <v/>
      </c>
    </row>
    <row r="28">
      <c r="A28" s="17" t="n">
        <v>27</v>
      </c>
      <c r="B28" t="inlineStr">
        <is>
          <t>NBA</t>
        </is>
      </c>
      <c r="C28" t="inlineStr">
        <is>
          <t>Philadelphia 76ers</t>
        </is>
      </c>
      <c r="D28" t="inlineStr">
        <is>
          <t>— free</t>
        </is>
      </c>
      <c r="E28">
        <f>'NBA'!M7</f>
        <v/>
      </c>
      <c r="F28">
        <f>'NBA'!N7</f>
        <v/>
      </c>
      <c r="G28">
        <f>'NBA'!O7</f>
        <v/>
      </c>
      <c r="H28" t="n">
        <v>1</v>
      </c>
      <c r="I28" t="inlineStr">
        <is>
          <t>Kalshi 12.5%</t>
        </is>
      </c>
      <c r="J28" t="inlineStr">
        <is>
          <t>East; win total 50.5</t>
        </is>
      </c>
      <c r="K28" t="inlineStr">
        <is>
          <t>A</t>
        </is>
      </c>
      <c r="L28" t="inlineStr">
        <is>
          <t>KXNBA-27 exchange mid-price, pulled 2026-10-08; p(final)=KXNBAEAST/KXNBAWEST-27 Kalshi mid | league_sim.py: full-schedule + real playoff bracket Monte Carlo, ratings fitted to Kalshi</t>
        </is>
      </c>
      <c r="M28" t="inlineStr">
        <is>
          <t>2026-10-08</t>
        </is>
      </c>
      <c r="N28" t="inlineStr"/>
      <c r="O28">
        <f>'NBA'!Y7</f>
        <v/>
      </c>
    </row>
    <row r="29">
      <c r="A29" s="17" t="n">
        <v>28</v>
      </c>
      <c r="B29" t="inlineStr">
        <is>
          <t>Tennis</t>
        </is>
      </c>
      <c r="C29" t="inlineStr">
        <is>
          <t>Elena Rybakina</t>
        </is>
      </c>
      <c r="D29" t="inlineStr">
        <is>
          <t>— free</t>
        </is>
      </c>
      <c r="E29">
        <f>'Tennis'!M6</f>
        <v/>
      </c>
      <c r="F29">
        <f>'Tennis'!N6</f>
        <v/>
      </c>
      <c r="G29">
        <f>'Tennis'!O6</f>
        <v/>
      </c>
      <c r="H29" t="n">
        <v>1</v>
      </c>
      <c r="I29" t="inlineStr">
        <is>
          <t>+300 AO 2027</t>
        </is>
      </c>
      <c r="J29" t="inlineStr">
        <is>
          <t>WTA 1 (2026-10-08)</t>
        </is>
      </c>
      <c r="K29" t="inlineStr">
        <is>
          <t>B</t>
        </is>
      </c>
      <c r="L29" t="inlineStr">
        <is>
          <t>ATP rank from league standings pull (A) / WTA via Olympics.com Oct 5; AO odds VegasInsider/Johnnybet Oct 2026; probabilities = agent estimates</t>
        </is>
      </c>
      <c r="M29" t="inlineStr">
        <is>
          <t>2026-10-08</t>
        </is>
      </c>
      <c r="N29" t="inlineStr"/>
      <c r="O29">
        <f>'Tennis'!Y6</f>
        <v/>
      </c>
    </row>
    <row r="30">
      <c r="A30" s="17" t="n">
        <v>29</v>
      </c>
      <c r="B30" t="inlineStr">
        <is>
          <t>NBA</t>
        </is>
      </c>
      <c r="C30" t="inlineStr">
        <is>
          <t>New York Knicks</t>
        </is>
      </c>
      <c r="D30" s="16" t="inlineStr">
        <is>
          <t>Buckley</t>
        </is>
      </c>
      <c r="E30">
        <f>'NBA'!M8</f>
        <v/>
      </c>
      <c r="F30">
        <f>'NBA'!N8</f>
        <v/>
      </c>
      <c r="G30">
        <f>'NBA'!O8</f>
        <v/>
      </c>
      <c r="H30" t="n">
        <v>2</v>
      </c>
      <c r="I30" t="inlineStr">
        <is>
          <t>Kalshi 8.5%</t>
        </is>
      </c>
      <c r="J30" t="inlineStr">
        <is>
          <t>East; win total 52.5</t>
        </is>
      </c>
      <c r="K30" t="inlineStr">
        <is>
          <t>A</t>
        </is>
      </c>
      <c r="L30" t="inlineStr">
        <is>
          <t>KXNBA-27 exchange mid-price, pulled 2026-10-08; p(final)=KXNBAEAST/KXNBAWEST-27 Kalshi mid | league_sim.py: full-schedule + real playoff bracket Monte Carlo, ratings fitted to Kalshi</t>
        </is>
      </c>
      <c r="M30" t="inlineStr">
        <is>
          <t>2026-10-08</t>
        </is>
      </c>
      <c r="N30" t="inlineStr"/>
      <c r="O30">
        <f>'NBA'!Y8</f>
        <v/>
      </c>
    </row>
    <row r="31">
      <c r="A31" s="17" t="n">
        <v>30</v>
      </c>
      <c r="B31" t="inlineStr">
        <is>
          <t>NHL</t>
        </is>
      </c>
      <c r="C31" t="inlineStr">
        <is>
          <t>Tampa Bay Lightning</t>
        </is>
      </c>
      <c r="D31" s="16" t="inlineStr">
        <is>
          <t>Fryar</t>
        </is>
      </c>
      <c r="E31">
        <f>'NHL'!M6</f>
        <v/>
      </c>
      <c r="F31">
        <f>'NHL'!N6</f>
        <v/>
      </c>
      <c r="G31">
        <f>'NHL'!O6</f>
        <v/>
      </c>
      <c r="H31" t="n">
        <v>1</v>
      </c>
      <c r="I31" t="inlineStr">
        <is>
          <t>Kalshi 5.5%</t>
        </is>
      </c>
      <c r="J31" t="inlineStr">
        <is>
          <t>East</t>
        </is>
      </c>
      <c r="K31" t="inlineStr">
        <is>
          <t>A</t>
        </is>
      </c>
      <c r="L31" t="inlineStr">
        <is>
          <t>KXNHL-27 exchange mid-price, pulled 2026-10-08; p(final)=KXNHLEAST/KXNHLWEST-27 Kalshi mid | league_sim.py: full-schedule + real playoff bracket Monte Carlo, ratings fitted to Kalshi</t>
        </is>
      </c>
      <c r="M31" t="inlineStr">
        <is>
          <t>2026-10-08</t>
        </is>
      </c>
      <c r="N31" t="inlineStr"/>
      <c r="O31">
        <f>'NHL'!Y6</f>
        <v/>
      </c>
    </row>
    <row r="32">
      <c r="A32" s="17" t="n">
        <v>31</v>
      </c>
      <c r="B32" t="inlineStr">
        <is>
          <t>Tennis</t>
        </is>
      </c>
      <c r="C32" t="inlineStr">
        <is>
          <t>Aryna Sabalenka</t>
        </is>
      </c>
      <c r="D32" s="16" t="inlineStr">
        <is>
          <t>Fryar</t>
        </is>
      </c>
      <c r="E32">
        <f>'Tennis'!M7</f>
        <v/>
      </c>
      <c r="F32">
        <f>'Tennis'!N7</f>
        <v/>
      </c>
      <c r="G32">
        <f>'Tennis'!O7</f>
        <v/>
      </c>
      <c r="H32" t="n">
        <v>1</v>
      </c>
      <c r="I32" t="inlineStr">
        <is>
          <t>+175 to +185 AO 2027</t>
        </is>
      </c>
      <c r="J32" t="inlineStr">
        <is>
          <t>WTA 2 (2026-10-08)</t>
        </is>
      </c>
      <c r="K32" t="inlineStr">
        <is>
          <t>B</t>
        </is>
      </c>
      <c r="L32" t="inlineStr">
        <is>
          <t>ATP rank from league standings pull (A) / WTA via Olympics.com Oct 5; AO odds VegasInsider/Johnnybet Oct 2026; probabilities = agent estimates</t>
        </is>
      </c>
      <c r="M32" t="inlineStr">
        <is>
          <t>2026-10-08</t>
        </is>
      </c>
      <c r="N32" t="inlineStr"/>
      <c r="O32">
        <f>'Tennis'!Y7</f>
        <v/>
      </c>
    </row>
    <row r="33">
      <c r="A33" s="17" t="n">
        <v>32</v>
      </c>
      <c r="B33" t="inlineStr">
        <is>
          <t>Tennis</t>
        </is>
      </c>
      <c r="C33" t="inlineStr">
        <is>
          <t>Carlos Alcaraz</t>
        </is>
      </c>
      <c r="D33" s="16" t="inlineStr">
        <is>
          <t>Todd</t>
        </is>
      </c>
      <c r="E33">
        <f>'Tennis'!M8</f>
        <v/>
      </c>
      <c r="F33">
        <f>'Tennis'!N8</f>
        <v/>
      </c>
      <c r="G33">
        <f>'Tennis'!O8</f>
        <v/>
      </c>
      <c r="H33" t="n">
        <v>2</v>
      </c>
      <c r="I33" t="inlineStr">
        <is>
          <t>+150 AO 2027</t>
        </is>
      </c>
      <c r="J33" t="inlineStr">
        <is>
          <t>ATP 3 (2026-10-08)</t>
        </is>
      </c>
      <c r="K33" t="inlineStr">
        <is>
          <t>B</t>
        </is>
      </c>
      <c r="L33" t="inlineStr">
        <is>
          <t>ATP rank from league standings pull (A) / WTA via Olympics.com Oct 5; AO odds VegasInsider/Johnnybet Oct 2026; probabilities = agent estimates</t>
        </is>
      </c>
      <c r="M33" t="inlineStr">
        <is>
          <t>2026-10-08</t>
        </is>
      </c>
      <c r="N33" t="inlineStr"/>
      <c r="O33">
        <f>'Tennis'!Y8</f>
        <v/>
      </c>
    </row>
    <row r="34">
      <c r="A34" s="17" t="n">
        <v>33</v>
      </c>
      <c r="B34" t="inlineStr">
        <is>
          <t>Golf</t>
        </is>
      </c>
      <c r="C34" t="inlineStr">
        <is>
          <t>Scottie Scheffler</t>
        </is>
      </c>
      <c r="D34" s="16" t="inlineStr">
        <is>
          <t>Wu</t>
        </is>
      </c>
      <c r="E34">
        <f>'Golf'!M5</f>
        <v/>
      </c>
      <c r="F34">
        <f>'Golf'!N5</f>
        <v/>
      </c>
      <c r="G34">
        <f>'Golf'!O5</f>
        <v/>
      </c>
      <c r="H34" t="n">
        <v>1</v>
      </c>
      <c r="J34" t="inlineStr">
        <is>
          <t>OWGR 1 (2026-10-08)</t>
        </is>
      </c>
      <c r="K34" t="inlineStr">
        <is>
          <t>C</t>
        </is>
      </c>
      <c r="L34" t="inlineStr">
        <is>
          <t>OWGR rank from league standings pull (A); major-win probabilities = model (rank-weighted share of 4 majors)</t>
        </is>
      </c>
      <c r="M34" t="inlineStr">
        <is>
          <t>2026-10-08</t>
        </is>
      </c>
      <c r="N34" t="inlineStr"/>
      <c r="O34">
        <f>'Golf'!Y5</f>
        <v/>
      </c>
    </row>
    <row r="35">
      <c r="A35" s="17" t="n">
        <v>34</v>
      </c>
      <c r="B35" t="inlineStr">
        <is>
          <t>NASCAR</t>
        </is>
      </c>
      <c r="C35" t="inlineStr">
        <is>
          <t>Joey Logano</t>
        </is>
      </c>
      <c r="D35" s="16" t="inlineStr">
        <is>
          <t>Jamzee</t>
        </is>
      </c>
      <c r="E35">
        <f>'NASCAR'!M8</f>
        <v/>
      </c>
      <c r="F35">
        <f>'NASCAR'!N8</f>
        <v/>
      </c>
      <c r="G35">
        <f>'NASCAR'!O8</f>
        <v/>
      </c>
      <c r="H35" t="n">
        <v>2</v>
      </c>
      <c r="I35" t="inlineStr">
        <is>
          <t>2026 title: Kalshi 5.5%</t>
        </is>
      </c>
      <c r="J35" t="inlineStr">
        <is>
          <t>2,247 pts (4th)</t>
        </is>
      </c>
      <c r="K35" t="inlineStr">
        <is>
          <t>C</t>
        </is>
      </c>
      <c r="L35" t="inlineStr">
        <is>
          <t>User-supplied final Cup standings 2021-2026(proj.), recency-weighted (decay 0.65/yr, nascar_model.py) for drivers in the table; others = field prior blended with 2026 Kalshi title price (shrunk). No 2027 market exists.</t>
        </is>
      </c>
      <c r="M35" t="inlineStr">
        <is>
          <t>2026-10-08</t>
        </is>
      </c>
      <c r="N35" t="inlineStr">
        <is>
          <t>low confidence: far-out event</t>
        </is>
      </c>
      <c r="O35">
        <f>'NASCAR'!Y8</f>
        <v/>
      </c>
    </row>
    <row r="36">
      <c r="A36" s="17" t="n">
        <v>35</v>
      </c>
      <c r="B36" t="inlineStr">
        <is>
          <t>NHL</t>
        </is>
      </c>
      <c r="C36" t="inlineStr">
        <is>
          <t>Edmonton Oilers</t>
        </is>
      </c>
      <c r="D36" s="16" t="inlineStr">
        <is>
          <t>Buckley</t>
        </is>
      </c>
      <c r="E36">
        <f>'NHL'!M7</f>
        <v/>
      </c>
      <c r="F36">
        <f>'NHL'!N7</f>
        <v/>
      </c>
      <c r="G36">
        <f>'NHL'!O7</f>
        <v/>
      </c>
      <c r="H36" t="n">
        <v>1</v>
      </c>
      <c r="I36" t="inlineStr">
        <is>
          <t>Kalshi 8.5%</t>
        </is>
      </c>
      <c r="J36" t="inlineStr">
        <is>
          <t>West</t>
        </is>
      </c>
      <c r="K36" t="inlineStr">
        <is>
          <t>A</t>
        </is>
      </c>
      <c r="L36" t="inlineStr">
        <is>
          <t>KXNHL-27 exchange mid-price, pulled 2026-10-08; p(final)=KXNHLEAST/KXNHLWEST-27 Kalshi mid | league_sim.py: full-schedule + real playoff bracket Monte Carlo, ratings fitted to Kalshi</t>
        </is>
      </c>
      <c r="M36" t="inlineStr">
        <is>
          <t>2026-10-08</t>
        </is>
      </c>
      <c r="N36" t="inlineStr"/>
      <c r="O36">
        <f>'NHL'!Y7</f>
        <v/>
      </c>
    </row>
    <row r="37">
      <c r="A37" s="17" t="n">
        <v>36</v>
      </c>
      <c r="B37" t="inlineStr">
        <is>
          <t>Tennis</t>
        </is>
      </c>
      <c r="C37" t="inlineStr">
        <is>
          <t>Alexander Zverev</t>
        </is>
      </c>
      <c r="D37" s="16" t="inlineStr">
        <is>
          <t>Theo</t>
        </is>
      </c>
      <c r="E37">
        <f>'Tennis'!M9</f>
        <v/>
      </c>
      <c r="F37">
        <f>'Tennis'!N9</f>
        <v/>
      </c>
      <c r="G37">
        <f>'Tennis'!O9</f>
        <v/>
      </c>
      <c r="H37" t="n">
        <v>2</v>
      </c>
      <c r="I37" t="inlineStr">
        <is>
          <t>+700 AO 2027</t>
        </is>
      </c>
      <c r="J37" t="inlineStr">
        <is>
          <t>ATP 2 (2026-10-08)</t>
        </is>
      </c>
      <c r="K37" t="inlineStr">
        <is>
          <t>B</t>
        </is>
      </c>
      <c r="L37" t="inlineStr">
        <is>
          <t>ATP rank from league standings pull (A) / WTA via Olympics.com Oct 5; AO odds VegasInsider/Johnnybet Oct 2026; probabilities = agent estimates</t>
        </is>
      </c>
      <c r="M37" t="inlineStr">
        <is>
          <t>2026-10-08</t>
        </is>
      </c>
      <c r="N37" t="inlineStr"/>
      <c r="O37">
        <f>'Tennis'!Y9</f>
        <v/>
      </c>
    </row>
    <row r="38">
      <c r="A38" s="17" t="n">
        <v>37</v>
      </c>
      <c r="B38" t="inlineStr">
        <is>
          <t>NASCAR</t>
        </is>
      </c>
      <c r="C38" t="inlineStr">
        <is>
          <t>Ryan Blaney</t>
        </is>
      </c>
      <c r="D38" s="16" t="inlineStr">
        <is>
          <t>Fryar</t>
        </is>
      </c>
      <c r="E38">
        <f>'NASCAR'!M9</f>
        <v/>
      </c>
      <c r="F38">
        <f>'NASCAR'!N9</f>
        <v/>
      </c>
      <c r="G38">
        <f>'NASCAR'!O9</f>
        <v/>
      </c>
      <c r="H38" t="n">
        <v>2</v>
      </c>
      <c r="I38" t="inlineStr">
        <is>
          <t>2026 title: Kalshi 5.5%</t>
        </is>
      </c>
      <c r="J38" t="inlineStr">
        <is>
          <t>2,238 pts (5th)</t>
        </is>
      </c>
      <c r="K38" t="inlineStr">
        <is>
          <t>C</t>
        </is>
      </c>
      <c r="L38" t="inlineStr">
        <is>
          <t>User-supplied final Cup standings 2021-2026(proj.), recency-weighted (decay 0.65/yr, nascar_model.py) for drivers in the table; others = field prior blended with 2026 Kalshi title price (shrunk). No 2027 market exists.</t>
        </is>
      </c>
      <c r="M38" t="inlineStr">
        <is>
          <t>2026-10-08</t>
        </is>
      </c>
      <c r="N38" t="inlineStr">
        <is>
          <t>low confidence: far-out event</t>
        </is>
      </c>
      <c r="O38">
        <f>'NASCAR'!Y9</f>
        <v/>
      </c>
    </row>
    <row r="39">
      <c r="A39" s="17" t="n">
        <v>38</v>
      </c>
      <c r="B39" t="inlineStr">
        <is>
          <t>MLB</t>
        </is>
      </c>
      <c r="C39" t="inlineStr">
        <is>
          <t>Los Angeles Dodgers</t>
        </is>
      </c>
      <c r="D39" s="16" t="inlineStr">
        <is>
          <t>Wu</t>
        </is>
      </c>
      <c r="E39">
        <f>'MLB'!M5</f>
        <v/>
      </c>
      <c r="F39">
        <f>'MLB'!N5</f>
        <v/>
      </c>
      <c r="G39">
        <f>'MLB'!O5</f>
        <v/>
      </c>
      <c r="H39" t="n">
        <v>1</v>
      </c>
      <c r="J39" t="inlineStr">
        <is>
          <t>2026: 100-62 (.6173)</t>
        </is>
      </c>
      <c r="K39" t="inlineStr">
        <is>
          <t>C</t>
        </is>
      </c>
      <c r="L39" t="inlineStr">
        <is>
          <t>2026 win% from league standings (A); title prob = model estimate — no 2027 World Series odds posted</t>
        </is>
      </c>
      <c r="M39" t="inlineStr">
        <is>
          <t>2026-10-08</t>
        </is>
      </c>
      <c r="N39" t="inlineStr">
        <is>
          <t>low confidence: far-out event</t>
        </is>
      </c>
      <c r="O39">
        <f>'MLB'!Y5</f>
        <v/>
      </c>
    </row>
    <row r="40">
      <c r="A40" s="17" t="n">
        <v>39</v>
      </c>
      <c r="B40" t="inlineStr">
        <is>
          <t>Golf</t>
        </is>
      </c>
      <c r="C40" t="inlineStr">
        <is>
          <t>Rory McIlroy</t>
        </is>
      </c>
      <c r="D40" s="16" t="inlineStr">
        <is>
          <t>Molmen</t>
        </is>
      </c>
      <c r="E40">
        <f>'Golf'!M6</f>
        <v/>
      </c>
      <c r="F40">
        <f>'Golf'!N6</f>
        <v/>
      </c>
      <c r="G40">
        <f>'Golf'!O6</f>
        <v/>
      </c>
      <c r="H40" t="n">
        <v>1</v>
      </c>
      <c r="J40" t="inlineStr">
        <is>
          <t>OWGR 2 (2026-10-08)</t>
        </is>
      </c>
      <c r="K40" t="inlineStr">
        <is>
          <t>C</t>
        </is>
      </c>
      <c r="L40" t="inlineStr">
        <is>
          <t>OWGR rank from league standings pull (A); major-win probabilities = model (rank-weighted share of 4 majors)</t>
        </is>
      </c>
      <c r="M40" t="inlineStr">
        <is>
          <t>2026-10-08</t>
        </is>
      </c>
      <c r="N40" t="inlineStr"/>
      <c r="O40">
        <f>'Golf'!Y6</f>
        <v/>
      </c>
    </row>
    <row r="41">
      <c r="A41" s="17" t="n">
        <v>40</v>
      </c>
      <c r="B41" t="inlineStr">
        <is>
          <t>Country</t>
        </is>
      </c>
      <c r="C41" t="inlineStr">
        <is>
          <t>Sudan</t>
        </is>
      </c>
      <c r="D41" t="inlineStr">
        <is>
          <t>— free</t>
        </is>
      </c>
      <c r="E41">
        <f>'Country'!M9</f>
        <v/>
      </c>
      <c r="F41">
        <f>'Country'!N9</f>
        <v/>
      </c>
      <c r="G41">
        <f>'Country'!O9</f>
        <v/>
      </c>
      <c r="H41" t="n">
        <v>2</v>
      </c>
      <c r="I41" t="inlineStr">
        <is>
          <t>IMF Oct-2026 2027: 15.0%</t>
        </is>
      </c>
      <c r="J41" t="inlineStr">
        <is>
          <t>IMF Oct-2026: 2025 n/a, 2026 7.0, 2027 15.0 | war/rebound path: very wide forecast error</t>
        </is>
      </c>
      <c r="K41" t="inlineStr">
        <is>
          <t>A</t>
        </is>
      </c>
      <c r="L41" t="inlineStr">
        <is>
          <t>IMF World Economic Outlook, October 2026 (published 2026-10-13), api.imf.org SDMX dataflow IMF.RES/WEO NGDP_RPCH, pulled via Actions runner</t>
        </is>
      </c>
      <c r="M41" t="inlineStr">
        <is>
          <t>2026-10-13</t>
        </is>
      </c>
      <c r="N41" t="inlineStr"/>
      <c r="O41">
        <f>'Country'!Y9</f>
        <v/>
      </c>
    </row>
    <row r="42">
      <c r="A42" s="17" t="n">
        <v>41</v>
      </c>
      <c r="B42" t="inlineStr">
        <is>
          <t>Country</t>
        </is>
      </c>
      <c r="C42" t="inlineStr">
        <is>
          <t>Bahrain</t>
        </is>
      </c>
      <c r="D42" t="inlineStr">
        <is>
          <t>— free</t>
        </is>
      </c>
      <c r="E42">
        <f>'Country'!M10</f>
        <v/>
      </c>
      <c r="F42">
        <f>'Country'!N10</f>
        <v/>
      </c>
      <c r="G42">
        <f>'Country'!O10</f>
        <v/>
      </c>
      <c r="H42" t="n">
        <v>2</v>
      </c>
      <c r="I42" t="inlineStr">
        <is>
          <t>IMF Oct-2026 2027: 13.9%</t>
        </is>
      </c>
      <c r="J42" t="inlineStr">
        <is>
          <t>IMF Oct-2026: 2025 3.481, 2026 -11.262, 2027 13.941 | war/rebound path: very wide forecast error</t>
        </is>
      </c>
      <c r="K42" t="inlineStr">
        <is>
          <t>A</t>
        </is>
      </c>
      <c r="L42" t="inlineStr">
        <is>
          <t>IMF World Economic Outlook, October 2026 (published 2026-10-13), api.imf.org SDMX dataflow IMF.RES/WEO NGDP_RPCH, pulled via Actions runner</t>
        </is>
      </c>
      <c r="M42" t="inlineStr">
        <is>
          <t>2026-10-13</t>
        </is>
      </c>
      <c r="N42" t="inlineStr"/>
      <c r="O42">
        <f>'Country'!Y10</f>
        <v/>
      </c>
    </row>
    <row r="43">
      <c r="A43" s="17" t="n">
        <v>42</v>
      </c>
      <c r="B43" t="inlineStr">
        <is>
          <t>NFL</t>
        </is>
      </c>
      <c r="C43" t="inlineStr">
        <is>
          <t>Minnesota Vikings</t>
        </is>
      </c>
      <c r="D43" t="inlineStr">
        <is>
          <t>— free</t>
        </is>
      </c>
      <c r="E43">
        <f>'NFL'!M8</f>
        <v/>
      </c>
      <c r="F43">
        <f>'NFL'!N8</f>
        <v/>
      </c>
      <c r="G43">
        <f>'NFL'!O8</f>
        <v/>
      </c>
      <c r="H43" t="n">
        <v>2</v>
      </c>
      <c r="I43" t="inlineStr">
        <is>
          <t>Kalshi 3.5%</t>
        </is>
      </c>
      <c r="J43" t="inlineStr">
        <is>
          <t>4-0, NFC North</t>
        </is>
      </c>
      <c r="K43" t="inlineStr">
        <is>
          <t>A</t>
        </is>
      </c>
      <c r="L43" t="inlineStr">
        <is>
          <t>KXSB-27 exchange mid-price, pulled 2026-10-08; p(final)=KXNFLAFCCHAMP/KXNFLNFCCHAMP-27 Kalshi mid | league_sim.py: full-schedule + real playoff bracket Monte Carlo, ratings fitted to Kalshi</t>
        </is>
      </c>
      <c r="M43" t="inlineStr">
        <is>
          <t>2026-10-08</t>
        </is>
      </c>
      <c r="N43" t="inlineStr"/>
      <c r="O43">
        <f>'NFL'!Y8</f>
        <v/>
      </c>
    </row>
    <row r="44">
      <c r="A44" s="17" t="n">
        <v>43</v>
      </c>
      <c r="B44" t="inlineStr">
        <is>
          <t>NHL</t>
        </is>
      </c>
      <c r="C44" t="inlineStr">
        <is>
          <t>Colorado Avalanche</t>
        </is>
      </c>
      <c r="D44" s="16" t="inlineStr">
        <is>
          <t>Korch</t>
        </is>
      </c>
      <c r="E44">
        <f>'NHL'!M8</f>
        <v/>
      </c>
      <c r="F44">
        <f>'NHL'!N8</f>
        <v/>
      </c>
      <c r="G44">
        <f>'NHL'!O8</f>
        <v/>
      </c>
      <c r="H44" t="n">
        <v>2</v>
      </c>
      <c r="I44" t="inlineStr">
        <is>
          <t>Kalshi 12.5%</t>
        </is>
      </c>
      <c r="J44" t="inlineStr">
        <is>
          <t>West</t>
        </is>
      </c>
      <c r="K44" t="inlineStr">
        <is>
          <t>A</t>
        </is>
      </c>
      <c r="L44" t="inlineStr">
        <is>
          <t>KXNHL-27 exchange mid-price, pulled 2026-10-08; p(final)=KXNHLEAST/KXNHLWEST-27 Kalshi mid | league_sim.py: full-schedule + real playoff bracket Monte Carlo, ratings fitted to Kalshi</t>
        </is>
      </c>
      <c r="M44" t="inlineStr">
        <is>
          <t>2026-10-08</t>
        </is>
      </c>
      <c r="N44" t="inlineStr"/>
      <c r="O44">
        <f>'NHL'!Y8</f>
        <v/>
      </c>
    </row>
    <row r="45">
      <c r="A45" s="17" t="n">
        <v>44</v>
      </c>
      <c r="B45" t="inlineStr">
        <is>
          <t>NCAAB</t>
        </is>
      </c>
      <c r="C45" t="inlineStr">
        <is>
          <t>UConn</t>
        </is>
      </c>
      <c r="D45" s="16" t="inlineStr">
        <is>
          <t>Fryar</t>
        </is>
      </c>
      <c r="E45">
        <f>'NCAAB'!M7</f>
        <v/>
      </c>
      <c r="F45">
        <f>'NCAAB'!N7</f>
        <v/>
      </c>
      <c r="G45">
        <f>'NCAAB'!O7</f>
        <v/>
      </c>
      <c r="H45" t="n">
        <v>1</v>
      </c>
      <c r="I45" t="inlineStr">
        <is>
          <t>+1300</t>
        </is>
      </c>
      <c r="J45" t="inlineStr"/>
      <c r="K45" t="inlineStr">
        <is>
          <t>B</t>
        </is>
      </c>
      <c r="L45" t="inlineStr">
        <is>
          <t>CBS Sports title odds 2026-08-04</t>
        </is>
      </c>
      <c r="M45" t="inlineStr">
        <is>
          <t>2026-10-08</t>
        </is>
      </c>
      <c r="N45" t="inlineStr">
        <is>
          <t>low confidence: far-out event</t>
        </is>
      </c>
      <c r="O45">
        <f>'NCAAB'!Y7</f>
        <v/>
      </c>
    </row>
    <row r="46">
      <c r="A46" s="17" t="n">
        <v>45</v>
      </c>
      <c r="B46" t="inlineStr">
        <is>
          <t>NCAAB</t>
        </is>
      </c>
      <c r="C46" t="inlineStr">
        <is>
          <t>Illinois</t>
        </is>
      </c>
      <c r="D46" t="inlineStr">
        <is>
          <t>— free</t>
        </is>
      </c>
      <c r="E46">
        <f>'NCAAB'!M8</f>
        <v/>
      </c>
      <c r="F46">
        <f>'NCAAB'!N8</f>
        <v/>
      </c>
      <c r="G46">
        <f>'NCAAB'!O8</f>
        <v/>
      </c>
      <c r="H46" t="n">
        <v>2</v>
      </c>
      <c r="I46" t="inlineStr">
        <is>
          <t>+1300</t>
        </is>
      </c>
      <c r="J46" t="inlineStr"/>
      <c r="K46" t="inlineStr">
        <is>
          <t>B</t>
        </is>
      </c>
      <c r="L46" t="inlineStr">
        <is>
          <t>CBS Sports title odds 2026-08-04</t>
        </is>
      </c>
      <c r="M46" t="inlineStr">
        <is>
          <t>2026-10-08</t>
        </is>
      </c>
      <c r="N46" t="inlineStr">
        <is>
          <t>low confidence: far-out event</t>
        </is>
      </c>
      <c r="O46">
        <f>'NCAAB'!Y8</f>
        <v/>
      </c>
    </row>
    <row r="47">
      <c r="A47" s="17" t="n">
        <v>46</v>
      </c>
      <c r="B47" t="inlineStr">
        <is>
          <t>NBA</t>
        </is>
      </c>
      <c r="C47" t="inlineStr">
        <is>
          <t>Minnesota Timberwolves</t>
        </is>
      </c>
      <c r="D47" s="16" t="inlineStr">
        <is>
          <t>Todd</t>
        </is>
      </c>
      <c r="E47">
        <f>'NBA'!M9</f>
        <v/>
      </c>
      <c r="F47">
        <f>'NBA'!N9</f>
        <v/>
      </c>
      <c r="G47">
        <f>'NBA'!O9</f>
        <v/>
      </c>
      <c r="H47" t="n">
        <v>2</v>
      </c>
      <c r="I47" t="inlineStr">
        <is>
          <t>Kalshi 6.5%</t>
        </is>
      </c>
      <c r="J47" t="inlineStr">
        <is>
          <t>West; win total 48.5</t>
        </is>
      </c>
      <c r="K47" t="inlineStr">
        <is>
          <t>A</t>
        </is>
      </c>
      <c r="L47" t="inlineStr">
        <is>
          <t>KXNBA-27 exchange mid-price, pulled 2026-10-08; p(final)=KXNBAEAST/KXNBAWEST-27 Kalshi mid | league_sim.py: full-schedule + real playoff bracket Monte Carlo, ratings fitted to Kalshi</t>
        </is>
      </c>
      <c r="M47" t="inlineStr">
        <is>
          <t>2026-10-08</t>
        </is>
      </c>
      <c r="N47" t="inlineStr"/>
      <c r="O47">
        <f>'NBA'!Y9</f>
        <v/>
      </c>
    </row>
    <row r="48">
      <c r="A48" s="17" t="n">
        <v>47</v>
      </c>
      <c r="B48" t="inlineStr">
        <is>
          <t>NCAAF</t>
        </is>
      </c>
      <c r="C48" t="inlineStr">
        <is>
          <t>Texas</t>
        </is>
      </c>
      <c r="D48" t="inlineStr">
        <is>
          <t>— free</t>
        </is>
      </c>
      <c r="E48">
        <f>'NCAAF'!M9</f>
        <v/>
      </c>
      <c r="F48">
        <f>'NCAAF'!N9</f>
        <v/>
      </c>
      <c r="G48">
        <f>'NCAAF'!O9</f>
        <v/>
      </c>
      <c r="H48" t="n">
        <v>2</v>
      </c>
      <c r="I48" t="inlineStr">
        <is>
          <t>Kalshi 3.5%</t>
        </is>
      </c>
      <c r="J48" t="inlineStr">
        <is>
          <t>AP #1, 4-0, SEC</t>
        </is>
      </c>
      <c r="K48" t="inlineStr">
        <is>
          <t>A</t>
        </is>
      </c>
      <c r="L48" t="inlineStr">
        <is>
          <t>KXNCAAF-27 exchange mid-price, pulled 2026-10-22</t>
        </is>
      </c>
      <c r="M48" t="inlineStr">
        <is>
          <t>2026-10-22</t>
        </is>
      </c>
      <c r="N48" t="inlineStr"/>
      <c r="O48">
        <f>'NCAAF'!Y9</f>
        <v/>
      </c>
    </row>
    <row r="49">
      <c r="A49" s="17" t="n">
        <v>48</v>
      </c>
      <c r="B49" t="inlineStr">
        <is>
          <t>NBA</t>
        </is>
      </c>
      <c r="C49" t="inlineStr">
        <is>
          <t>Boston Celtics</t>
        </is>
      </c>
      <c r="D49" s="16" t="inlineStr">
        <is>
          <t>Shep</t>
        </is>
      </c>
      <c r="E49">
        <f>'NBA'!M10</f>
        <v/>
      </c>
      <c r="F49">
        <f>'NBA'!N10</f>
        <v/>
      </c>
      <c r="G49">
        <f>'NBA'!O10</f>
        <v/>
      </c>
      <c r="H49" t="n">
        <v>2</v>
      </c>
      <c r="I49" t="inlineStr">
        <is>
          <t>Kalshi 4.5%</t>
        </is>
      </c>
      <c r="J49" t="inlineStr">
        <is>
          <t>East; win total 51.5</t>
        </is>
      </c>
      <c r="K49" t="inlineStr">
        <is>
          <t>A</t>
        </is>
      </c>
      <c r="L49" t="inlineStr">
        <is>
          <t>KXNBA-27 exchange mid-price, pulled 2026-10-08; p(final)=KXNBAEAST/KXNBAWEST-27 Kalshi mid | league_sim.py: full-schedule + real playoff bracket Monte Carlo, ratings fitted to Kalshi</t>
        </is>
      </c>
      <c r="M49" t="inlineStr">
        <is>
          <t>2026-10-08</t>
        </is>
      </c>
      <c r="N49" t="inlineStr"/>
      <c r="O49">
        <f>'NBA'!Y10</f>
        <v/>
      </c>
    </row>
    <row r="50">
      <c r="A50" s="17" t="n">
        <v>49</v>
      </c>
      <c r="B50" t="inlineStr">
        <is>
          <t>Golf</t>
        </is>
      </c>
      <c r="C50" t="inlineStr">
        <is>
          <t>Matt Fitzpatrick</t>
        </is>
      </c>
      <c r="D50" t="inlineStr">
        <is>
          <t>— free</t>
        </is>
      </c>
      <c r="E50">
        <f>'Golf'!M7</f>
        <v/>
      </c>
      <c r="F50">
        <f>'Golf'!N7</f>
        <v/>
      </c>
      <c r="G50">
        <f>'Golf'!O7</f>
        <v/>
      </c>
      <c r="H50" t="n">
        <v>1</v>
      </c>
      <c r="J50" t="inlineStr">
        <is>
          <t>OWGR 3 (2026-10-08)</t>
        </is>
      </c>
      <c r="K50" t="inlineStr">
        <is>
          <t>C</t>
        </is>
      </c>
      <c r="L50" t="inlineStr">
        <is>
          <t>OWGR rank from league standings pull (A); major-win probabilities = model (rank-weighted share of 4 majors)</t>
        </is>
      </c>
      <c r="M50" t="inlineStr">
        <is>
          <t>2026-10-08</t>
        </is>
      </c>
      <c r="N50" t="inlineStr"/>
      <c r="O50">
        <f>'Golf'!Y7</f>
        <v/>
      </c>
    </row>
    <row r="51">
      <c r="A51" s="17" t="n">
        <v>50</v>
      </c>
      <c r="B51" t="inlineStr">
        <is>
          <t>NCAAF</t>
        </is>
      </c>
      <c r="C51" t="inlineStr">
        <is>
          <t>Indiana</t>
        </is>
      </c>
      <c r="D51" s="16" t="inlineStr">
        <is>
          <t>Korch</t>
        </is>
      </c>
      <c r="E51">
        <f>'NCAAF'!M10</f>
        <v/>
      </c>
      <c r="F51">
        <f>'NCAAF'!N10</f>
        <v/>
      </c>
      <c r="G51">
        <f>'NCAAF'!O10</f>
        <v/>
      </c>
      <c r="H51" t="n">
        <v>2</v>
      </c>
      <c r="I51" t="inlineStr">
        <is>
          <t>Kalshi 7.5%</t>
        </is>
      </c>
      <c r="J51" t="inlineStr">
        <is>
          <t>AP #7, 5-0, Big Ten</t>
        </is>
      </c>
      <c r="K51" t="inlineStr">
        <is>
          <t>A</t>
        </is>
      </c>
      <c r="L51" t="inlineStr">
        <is>
          <t>KXNCAAF-27 exchange mid-price, pulled 2026-10-22</t>
        </is>
      </c>
      <c r="M51" t="inlineStr">
        <is>
          <t>2026-10-22</t>
        </is>
      </c>
      <c r="N51" t="inlineStr"/>
      <c r="O51">
        <f>'NCAAF'!Y10</f>
        <v/>
      </c>
    </row>
    <row r="52">
      <c r="A52" t="n">
        <v>51</v>
      </c>
      <c r="B52" t="inlineStr">
        <is>
          <t>MLS</t>
        </is>
      </c>
      <c r="C52" t="inlineStr">
        <is>
          <t>Nashville SC</t>
        </is>
      </c>
      <c r="D52" t="inlineStr">
        <is>
          <t>— free</t>
        </is>
      </c>
      <c r="E52">
        <f>'MLS'!M5</f>
        <v/>
      </c>
      <c r="F52">
        <f>'MLS'!N5</f>
        <v/>
      </c>
      <c r="G52">
        <f>'MLS'!O5</f>
        <v/>
      </c>
      <c r="H52" t="n">
        <v>1</v>
      </c>
      <c r="I52" t="inlineStr">
        <is>
          <t>2026 Cup: Kalshi 18.0%</t>
        </is>
      </c>
      <c r="J52" t="inlineStr">
        <is>
          <t>2026: 60 pts (as of 10-08; season ends Nov 7)</t>
        </is>
      </c>
      <c r="K52" t="inlineStr">
        <is>
          <t>C</t>
        </is>
      </c>
      <c r="L52" t="inlineStr">
        <is>
          <t>2026 points (league standings, A) + Kalshi KXMLSCUP-26 price as strength proxy, shrunk 50% toward the field</t>
        </is>
      </c>
      <c r="M52" t="inlineStr">
        <is>
          <t>2026-10-08</t>
        </is>
      </c>
      <c r="N52" t="inlineStr">
        <is>
          <t>low confidence: far-out event</t>
        </is>
      </c>
      <c r="O52">
        <f>'MLS'!Y5</f>
        <v/>
      </c>
    </row>
    <row r="53">
      <c r="A53" t="n">
        <v>52</v>
      </c>
      <c r="B53" t="inlineStr">
        <is>
          <t>MLS</t>
        </is>
      </c>
      <c r="C53" t="inlineStr">
        <is>
          <t>Vancouver Whitecaps FC</t>
        </is>
      </c>
      <c r="D53" s="16" t="inlineStr">
        <is>
          <t>Feder</t>
        </is>
      </c>
      <c r="E53">
        <f>'MLS'!M6</f>
        <v/>
      </c>
      <c r="F53">
        <f>'MLS'!N6</f>
        <v/>
      </c>
      <c r="G53">
        <f>'MLS'!O6</f>
        <v/>
      </c>
      <c r="H53" t="n">
        <v>1</v>
      </c>
      <c r="I53" t="inlineStr">
        <is>
          <t>2026 Cup: Kalshi 23.5%</t>
        </is>
      </c>
      <c r="J53" t="inlineStr">
        <is>
          <t>2026: 50 pts (as of 10-08; season ends Nov 7)</t>
        </is>
      </c>
      <c r="K53" t="inlineStr">
        <is>
          <t>C</t>
        </is>
      </c>
      <c r="L53" t="inlineStr">
        <is>
          <t>2026 points (league standings, A) + Kalshi KXMLSCUP-26 price as strength proxy, shrunk 50% toward the field</t>
        </is>
      </c>
      <c r="M53" t="inlineStr">
        <is>
          <t>2026-10-08</t>
        </is>
      </c>
      <c r="N53" t="inlineStr">
        <is>
          <t>low confidence: far-out event</t>
        </is>
      </c>
      <c r="O53">
        <f>'MLS'!Y6</f>
        <v/>
      </c>
    </row>
    <row r="54">
      <c r="A54" t="n">
        <v>53</v>
      </c>
      <c r="B54" t="inlineStr">
        <is>
          <t>NHL</t>
        </is>
      </c>
      <c r="C54" t="inlineStr">
        <is>
          <t>Florida Panthers</t>
        </is>
      </c>
      <c r="D54" s="16" t="inlineStr">
        <is>
          <t>Todd</t>
        </is>
      </c>
      <c r="E54">
        <f>'NHL'!M9</f>
        <v/>
      </c>
      <c r="F54">
        <f>'NHL'!N9</f>
        <v/>
      </c>
      <c r="G54">
        <f>'NHL'!O9</f>
        <v/>
      </c>
      <c r="H54" t="n">
        <v>2</v>
      </c>
      <c r="I54" t="inlineStr">
        <is>
          <t>Kalshi 10.5%</t>
        </is>
      </c>
      <c r="J54" t="inlineStr">
        <is>
          <t>East</t>
        </is>
      </c>
      <c r="K54" t="inlineStr">
        <is>
          <t>A</t>
        </is>
      </c>
      <c r="L54" t="inlineStr">
        <is>
          <t>KXNHL-27 exchange mid-price, pulled 2026-10-08; p(final)=KXNHLEAST/KXNHLWEST-27 Kalshi mid | league_sim.py: full-schedule + real playoff bracket Monte Carlo, ratings fitted to Kalshi</t>
        </is>
      </c>
      <c r="M54" t="inlineStr">
        <is>
          <t>2026-10-08</t>
        </is>
      </c>
      <c r="N54" t="inlineStr"/>
      <c r="O54">
        <f>'NHL'!Y9</f>
        <v/>
      </c>
    </row>
    <row r="55">
      <c r="A55" t="n">
        <v>54</v>
      </c>
      <c r="B55" t="inlineStr">
        <is>
          <t>Actress</t>
        </is>
      </c>
      <c r="C55" t="inlineStr">
        <is>
          <t>Kristen Bell</t>
        </is>
      </c>
      <c r="D55" t="inlineStr">
        <is>
          <t>— free</t>
        </is>
      </c>
      <c r="E55">
        <f>'Actress'!M6</f>
        <v/>
      </c>
      <c r="F55">
        <f>'Actress'!N6</f>
        <v/>
      </c>
      <c r="G55">
        <f>'Actress'!O6</f>
        <v/>
      </c>
      <c r="H55" t="n">
        <v>1</v>
      </c>
      <c r="J55" t="inlineStr">
        <is>
          <t>Frozen 3 (Nov 24); Sonic the Hedgehog 4 (Mar 19)</t>
        </is>
      </c>
      <c r="K55" t="inlineStr">
        <is>
          <t>C</t>
        </is>
      </c>
      <c r="L55" t="inlineStr">
        <is>
          <t>Wikipedia 'List of American films of 2027' casts (Actions-runner pull 2026-10-08) x comp-based box office/RT estimates; cast lists are billed leads only (cameos not captured)</t>
        </is>
      </c>
      <c r="M55" t="inlineStr">
        <is>
          <t>2026-10-08</t>
        </is>
      </c>
      <c r="N55" t="inlineStr">
        <is>
          <t>Good but the field reaches for it: let it come to you</t>
        </is>
      </c>
      <c r="O55">
        <f>'Actress'!Y6</f>
        <v/>
      </c>
    </row>
    <row r="56">
      <c r="A56" t="n">
        <v>55</v>
      </c>
      <c r="B56" t="inlineStr">
        <is>
          <t>NASCAR</t>
        </is>
      </c>
      <c r="C56" t="inlineStr">
        <is>
          <t>William Byron</t>
        </is>
      </c>
      <c r="D56" s="16" t="inlineStr">
        <is>
          <t>Korch</t>
        </is>
      </c>
      <c r="E56">
        <f>'NASCAR'!M10</f>
        <v/>
      </c>
      <c r="F56">
        <f>'NASCAR'!N10</f>
        <v/>
      </c>
      <c r="G56">
        <f>'NASCAR'!O10</f>
        <v/>
      </c>
      <c r="H56" t="n">
        <v>2</v>
      </c>
      <c r="I56" t="inlineStr">
        <is>
          <t>2026 title: Kalshi 0.5%</t>
        </is>
      </c>
      <c r="J56" t="inlineStr">
        <is>
          <t>2026 Cup Series</t>
        </is>
      </c>
      <c r="K56" t="inlineStr">
        <is>
          <t>C</t>
        </is>
      </c>
      <c r="L56" t="inlineStr">
        <is>
          <t>User-supplied final Cup standings 2021-2026(proj.), recency-weighted (decay 0.65/yr, nascar_model.py) for drivers in the table; others = field prior blended with 2026 Kalshi title price (shrunk). No 2027 market exists.</t>
        </is>
      </c>
      <c r="M56" t="inlineStr">
        <is>
          <t>2026-10-08</t>
        </is>
      </c>
      <c r="N56" t="inlineStr">
        <is>
          <t>low confidence: far-out event</t>
        </is>
      </c>
      <c r="O56">
        <f>'NASCAR'!Y10</f>
        <v/>
      </c>
    </row>
    <row r="57">
      <c r="A57" t="n">
        <v>56</v>
      </c>
      <c r="B57" t="inlineStr">
        <is>
          <t>MLB</t>
        </is>
      </c>
      <c r="C57" t="inlineStr">
        <is>
          <t>Milwaukee Brewers</t>
        </is>
      </c>
      <c r="D57" s="16" t="inlineStr">
        <is>
          <t>Buckley</t>
        </is>
      </c>
      <c r="E57">
        <f>'MLB'!M6</f>
        <v/>
      </c>
      <c r="F57">
        <f>'MLB'!N6</f>
        <v/>
      </c>
      <c r="G57">
        <f>'MLB'!O6</f>
        <v/>
      </c>
      <c r="H57" t="n">
        <v>1</v>
      </c>
      <c r="J57" t="inlineStr">
        <is>
          <t>2026: 103-59 (.6358)</t>
        </is>
      </c>
      <c r="K57" t="inlineStr">
        <is>
          <t>C</t>
        </is>
      </c>
      <c r="L57" t="inlineStr">
        <is>
          <t>2026 win% from league standings (A); title prob = model estimate — no 2027 World Series odds posted</t>
        </is>
      </c>
      <c r="M57" t="inlineStr">
        <is>
          <t>2026-10-08</t>
        </is>
      </c>
      <c r="N57" t="inlineStr">
        <is>
          <t>low confidence: far-out event</t>
        </is>
      </c>
      <c r="O57">
        <f>'MLB'!Y6</f>
        <v/>
      </c>
    </row>
    <row r="58">
      <c r="A58" t="n">
        <v>57</v>
      </c>
      <c r="B58" t="inlineStr">
        <is>
          <t>NFL</t>
        </is>
      </c>
      <c r="C58" t="inlineStr">
        <is>
          <t>Baltimore Ravens</t>
        </is>
      </c>
      <c r="D58" s="16" t="inlineStr">
        <is>
          <t>Wu</t>
        </is>
      </c>
      <c r="E58">
        <f>'NFL'!M9</f>
        <v/>
      </c>
      <c r="F58">
        <f>'NFL'!N9</f>
        <v/>
      </c>
      <c r="G58">
        <f>'NFL'!O9</f>
        <v/>
      </c>
      <c r="H58" t="n">
        <v>2</v>
      </c>
      <c r="I58" t="inlineStr">
        <is>
          <t>Kalshi 7.5%</t>
        </is>
      </c>
      <c r="J58" t="inlineStr">
        <is>
          <t>3-1, AFC North</t>
        </is>
      </c>
      <c r="K58" t="inlineStr">
        <is>
          <t>A</t>
        </is>
      </c>
      <c r="L58" t="inlineStr">
        <is>
          <t>KXSB-27 exchange mid-price, pulled 2026-10-08; p(final)=KXNFLAFCCHAMP/KXNFLNFCCHAMP-27 Kalshi mid | league_sim.py: full-schedule + real playoff bracket Monte Carlo, ratings fitted to Kalshi</t>
        </is>
      </c>
      <c r="M58" t="inlineStr">
        <is>
          <t>2026-10-08</t>
        </is>
      </c>
      <c r="N58" t="inlineStr"/>
      <c r="O58">
        <f>'NFL'!Y9</f>
        <v/>
      </c>
    </row>
    <row r="59">
      <c r="A59" t="n">
        <v>58</v>
      </c>
      <c r="B59" t="inlineStr">
        <is>
          <t>NCAAB</t>
        </is>
      </c>
      <c r="C59" t="inlineStr">
        <is>
          <t>Michigan</t>
        </is>
      </c>
      <c r="D59" s="16" t="inlineStr">
        <is>
          <t>Jamzee</t>
        </is>
      </c>
      <c r="E59">
        <f>'NCAAB'!M9</f>
        <v/>
      </c>
      <c r="F59">
        <f>'NCAAB'!N9</f>
        <v/>
      </c>
      <c r="G59">
        <f>'NCAAB'!O9</f>
        <v/>
      </c>
      <c r="H59" t="n">
        <v>2</v>
      </c>
      <c r="I59" t="inlineStr">
        <is>
          <t>+1600</t>
        </is>
      </c>
      <c r="J59" t="inlineStr"/>
      <c r="K59" t="inlineStr">
        <is>
          <t>B</t>
        </is>
      </c>
      <c r="L59" t="inlineStr">
        <is>
          <t>CBS Sports title odds 2026-08-04</t>
        </is>
      </c>
      <c r="M59" t="inlineStr">
        <is>
          <t>2026-10-08</t>
        </is>
      </c>
      <c r="N59" t="inlineStr">
        <is>
          <t>low confidence: far-out event</t>
        </is>
      </c>
      <c r="O59">
        <f>'NCAAB'!Y9</f>
        <v/>
      </c>
    </row>
    <row r="60">
      <c r="A60" t="n">
        <v>59</v>
      </c>
      <c r="B60" t="inlineStr">
        <is>
          <t>Golf</t>
        </is>
      </c>
      <c r="C60" t="inlineStr">
        <is>
          <t>Cameron Young</t>
        </is>
      </c>
      <c r="D60" t="inlineStr">
        <is>
          <t>— free</t>
        </is>
      </c>
      <c r="E60">
        <f>'Golf'!M8</f>
        <v/>
      </c>
      <c r="F60">
        <f>'Golf'!N8</f>
        <v/>
      </c>
      <c r="G60">
        <f>'Golf'!O8</f>
        <v/>
      </c>
      <c r="H60" t="n">
        <v>2</v>
      </c>
      <c r="J60" t="inlineStr">
        <is>
          <t>OWGR 4 (2026-10-08)</t>
        </is>
      </c>
      <c r="K60" t="inlineStr">
        <is>
          <t>C</t>
        </is>
      </c>
      <c r="L60" t="inlineStr">
        <is>
          <t>OWGR rank from league standings pull (A); major-win probabilities = model (rank-weighted share of 4 majors)</t>
        </is>
      </c>
      <c r="M60" t="inlineStr">
        <is>
          <t>2026-10-08</t>
        </is>
      </c>
      <c r="N60" t="inlineStr"/>
      <c r="O60">
        <f>'Golf'!Y8</f>
        <v/>
      </c>
    </row>
    <row r="61">
      <c r="A61" t="n">
        <v>60</v>
      </c>
      <c r="B61" t="inlineStr">
        <is>
          <t>NFL</t>
        </is>
      </c>
      <c r="C61" t="inlineStr">
        <is>
          <t>Jacksonville Jaguars</t>
        </is>
      </c>
      <c r="D61" t="inlineStr">
        <is>
          <t>— free</t>
        </is>
      </c>
      <c r="E61">
        <f>'NFL'!M10</f>
        <v/>
      </c>
      <c r="F61">
        <f>'NFL'!N10</f>
        <v/>
      </c>
      <c r="G61">
        <f>'NFL'!O10</f>
        <v/>
      </c>
      <c r="H61" t="n">
        <v>2</v>
      </c>
      <c r="I61" t="inlineStr">
        <is>
          <t>Kalshi 6.5%</t>
        </is>
      </c>
      <c r="J61" t="inlineStr">
        <is>
          <t>3-1, AFC South</t>
        </is>
      </c>
      <c r="K61" t="inlineStr">
        <is>
          <t>A</t>
        </is>
      </c>
      <c r="L61" t="inlineStr">
        <is>
          <t>KXSB-27 exchange mid-price, pulled 2026-10-08; p(final)=KXNFLAFCCHAMP/KXNFLNFCCHAMP-27 Kalshi mid | league_sim.py: full-schedule + real playoff bracket Monte Carlo, ratings fitted to Kalshi</t>
        </is>
      </c>
      <c r="M61" t="inlineStr">
        <is>
          <t>2026-10-08</t>
        </is>
      </c>
      <c r="N61" t="inlineStr"/>
      <c r="O61">
        <f>'NFL'!Y10</f>
        <v/>
      </c>
    </row>
    <row r="62">
      <c r="A62" t="n">
        <v>61</v>
      </c>
      <c r="B62" t="inlineStr">
        <is>
          <t>MLB</t>
        </is>
      </c>
      <c r="C62" t="inlineStr">
        <is>
          <t>New York Yankees</t>
        </is>
      </c>
      <c r="D62" s="16" t="inlineStr">
        <is>
          <t>Jens</t>
        </is>
      </c>
      <c r="E62">
        <f>'MLB'!M7</f>
        <v/>
      </c>
      <c r="F62">
        <f>'MLB'!N7</f>
        <v/>
      </c>
      <c r="G62">
        <f>'MLB'!O7</f>
        <v/>
      </c>
      <c r="H62" t="n">
        <v>1</v>
      </c>
      <c r="J62" t="inlineStr">
        <is>
          <t>2026: 94-68 (.5776)</t>
        </is>
      </c>
      <c r="K62" t="inlineStr">
        <is>
          <t>C</t>
        </is>
      </c>
      <c r="L62" t="inlineStr">
        <is>
          <t>2026 win% from league standings (A); title prob = model estimate — no 2027 World Series odds posted</t>
        </is>
      </c>
      <c r="M62" t="inlineStr">
        <is>
          <t>2026-10-08</t>
        </is>
      </c>
      <c r="N62" t="inlineStr">
        <is>
          <t>low confidence: far-out event</t>
        </is>
      </c>
      <c r="O62">
        <f>'MLB'!Y7</f>
        <v/>
      </c>
    </row>
    <row r="63">
      <c r="A63" t="n">
        <v>62</v>
      </c>
      <c r="B63" t="inlineStr">
        <is>
          <t>MLS</t>
        </is>
      </c>
      <c r="C63" t="inlineStr">
        <is>
          <t>Inter Miami CF</t>
        </is>
      </c>
      <c r="D63" s="16" t="inlineStr">
        <is>
          <t>Theo</t>
        </is>
      </c>
      <c r="E63">
        <f>'MLS'!M7</f>
        <v/>
      </c>
      <c r="F63">
        <f>'MLS'!N7</f>
        <v/>
      </c>
      <c r="G63">
        <f>'MLS'!O7</f>
        <v/>
      </c>
      <c r="H63" t="n">
        <v>1</v>
      </c>
      <c r="I63" t="inlineStr">
        <is>
          <t>2026 Cup: Kalshi 16.5%</t>
        </is>
      </c>
      <c r="J63" t="inlineStr">
        <is>
          <t>2026: 46 pts (as of 10-08; season ends Nov 7)</t>
        </is>
      </c>
      <c r="K63" t="inlineStr">
        <is>
          <t>C</t>
        </is>
      </c>
      <c r="L63" t="inlineStr">
        <is>
          <t>2026 points (league standings, A) + Kalshi KXMLSCUP-26 price as strength proxy, shrunk 50% toward the field</t>
        </is>
      </c>
      <c r="M63" t="inlineStr">
        <is>
          <t>2026-10-08</t>
        </is>
      </c>
      <c r="N63" t="inlineStr">
        <is>
          <t>low confidence: far-out event</t>
        </is>
      </c>
      <c r="O63">
        <f>'MLS'!Y7</f>
        <v/>
      </c>
    </row>
    <row r="64">
      <c r="A64" t="n">
        <v>63</v>
      </c>
      <c r="B64" t="inlineStr">
        <is>
          <t>NHL</t>
        </is>
      </c>
      <c r="C64" t="inlineStr">
        <is>
          <t>Vegas Golden Knights</t>
        </is>
      </c>
      <c r="D64" s="16" t="inlineStr">
        <is>
          <t>Tim</t>
        </is>
      </c>
      <c r="E64">
        <f>'NHL'!M10</f>
        <v/>
      </c>
      <c r="F64">
        <f>'NHL'!N10</f>
        <v/>
      </c>
      <c r="G64">
        <f>'NHL'!O10</f>
        <v/>
      </c>
      <c r="H64" t="n">
        <v>2</v>
      </c>
      <c r="I64" t="inlineStr">
        <is>
          <t>Kalshi 7.5%</t>
        </is>
      </c>
      <c r="J64" t="inlineStr">
        <is>
          <t>West</t>
        </is>
      </c>
      <c r="K64" t="inlineStr">
        <is>
          <t>A</t>
        </is>
      </c>
      <c r="L64" t="inlineStr">
        <is>
          <t>KXNHL-27 exchange mid-price, pulled 2026-10-08; p(final)=KXNHLEAST/KXNHLWEST-27 Kalshi mid | league_sim.py: full-schedule + real playoff bracket Monte Carlo, ratings fitted to Kalshi</t>
        </is>
      </c>
      <c r="M64" t="inlineStr">
        <is>
          <t>2026-10-08</t>
        </is>
      </c>
      <c r="N64" t="inlineStr"/>
      <c r="O64">
        <f>'NHL'!Y10</f>
        <v/>
      </c>
    </row>
    <row r="65">
      <c r="A65" t="n">
        <v>64</v>
      </c>
      <c r="B65" t="inlineStr">
        <is>
          <t>Golf</t>
        </is>
      </c>
      <c r="C65" t="inlineStr">
        <is>
          <t>Wyndham Clark</t>
        </is>
      </c>
      <c r="D65" t="inlineStr">
        <is>
          <t>— free</t>
        </is>
      </c>
      <c r="E65">
        <f>'Golf'!M9</f>
        <v/>
      </c>
      <c r="F65">
        <f>'Golf'!N9</f>
        <v/>
      </c>
      <c r="G65">
        <f>'Golf'!O9</f>
        <v/>
      </c>
      <c r="H65" t="n">
        <v>2</v>
      </c>
      <c r="J65" t="inlineStr">
        <is>
          <t>OWGR 5 (2026-10-08)</t>
        </is>
      </c>
      <c r="K65" t="inlineStr">
        <is>
          <t>C</t>
        </is>
      </c>
      <c r="L65" t="inlineStr">
        <is>
          <t>OWGR rank from league standings pull (A); major-win probabilities = model (rank-weighted share of 4 majors)</t>
        </is>
      </c>
      <c r="M65" t="inlineStr">
        <is>
          <t>2026-10-08</t>
        </is>
      </c>
      <c r="N65" t="inlineStr"/>
      <c r="O65">
        <f>'Golf'!Y9</f>
        <v/>
      </c>
    </row>
    <row r="66">
      <c r="A66" t="n">
        <v>65</v>
      </c>
      <c r="B66" t="inlineStr">
        <is>
          <t>NFL</t>
        </is>
      </c>
      <c r="C66" t="inlineStr">
        <is>
          <t>Chicago Bears</t>
        </is>
      </c>
      <c r="D66" t="inlineStr">
        <is>
          <t>— free</t>
        </is>
      </c>
      <c r="E66">
        <f>'NFL'!M11</f>
        <v/>
      </c>
      <c r="F66">
        <f>'NFL'!N11</f>
        <v/>
      </c>
      <c r="G66">
        <f>'NFL'!O11</f>
        <v/>
      </c>
      <c r="H66" t="n">
        <v>2</v>
      </c>
      <c r="I66" t="inlineStr">
        <is>
          <t>Kalshi 4.5%</t>
        </is>
      </c>
      <c r="J66" t="inlineStr">
        <is>
          <t>3-1, NFC North</t>
        </is>
      </c>
      <c r="K66" t="inlineStr">
        <is>
          <t>A</t>
        </is>
      </c>
      <c r="L66" t="inlineStr">
        <is>
          <t>KXSB-27 exchange mid-price, pulled 2026-10-08; p(final)=KXNFLAFCCHAMP/KXNFLNFCCHAMP-27 Kalshi mid | league_sim.py: full-schedule + real playoff bracket Monte Carlo, ratings fitted to Kalshi</t>
        </is>
      </c>
      <c r="M66" t="inlineStr">
        <is>
          <t>2026-10-08</t>
        </is>
      </c>
      <c r="N66" t="inlineStr"/>
      <c r="O66">
        <f>'NFL'!Y11</f>
        <v/>
      </c>
    </row>
    <row r="67">
      <c r="A67" t="n">
        <v>66</v>
      </c>
      <c r="B67" t="inlineStr">
        <is>
          <t>NBA</t>
        </is>
      </c>
      <c r="C67" t="inlineStr">
        <is>
          <t>Toronto Raptors</t>
        </is>
      </c>
      <c r="D67" t="inlineStr">
        <is>
          <t>— free</t>
        </is>
      </c>
      <c r="E67">
        <f>'NBA'!M11</f>
        <v/>
      </c>
      <c r="F67">
        <f>'NBA'!N11</f>
        <v/>
      </c>
      <c r="G67">
        <f>'NBA'!O11</f>
        <v/>
      </c>
      <c r="H67" t="n">
        <v>2</v>
      </c>
      <c r="I67" t="inlineStr">
        <is>
          <t>Kalshi 2.5%</t>
        </is>
      </c>
      <c r="J67" t="inlineStr">
        <is>
          <t>East; win total 45.5</t>
        </is>
      </c>
      <c r="K67" t="inlineStr">
        <is>
          <t>A</t>
        </is>
      </c>
      <c r="L67" t="inlineStr">
        <is>
          <t>KXNBA-27 exchange mid-price, pulled 2026-10-08; p(final)=KXNBAEAST/KXNBAWEST-27 Kalshi mid | league_sim.py: full-schedule + real playoff bracket Monte Carlo, ratings fitted to Kalshi</t>
        </is>
      </c>
      <c r="M67" t="inlineStr">
        <is>
          <t>2026-10-08</t>
        </is>
      </c>
      <c r="N67" t="inlineStr"/>
      <c r="O67">
        <f>'NBA'!Y11</f>
        <v/>
      </c>
    </row>
    <row r="68">
      <c r="A68" t="n">
        <v>67</v>
      </c>
      <c r="B68" t="inlineStr">
        <is>
          <t>NHL</t>
        </is>
      </c>
      <c r="C68" t="inlineStr">
        <is>
          <t>Minnesota Wild</t>
        </is>
      </c>
      <c r="D68" t="inlineStr">
        <is>
          <t>— free</t>
        </is>
      </c>
      <c r="E68">
        <f>'NHL'!M11</f>
        <v/>
      </c>
      <c r="F68">
        <f>'NHL'!N11</f>
        <v/>
      </c>
      <c r="G68">
        <f>'NHL'!O11</f>
        <v/>
      </c>
      <c r="H68" t="n">
        <v>2</v>
      </c>
      <c r="I68" t="inlineStr">
        <is>
          <t>Kalshi 6.5%</t>
        </is>
      </c>
      <c r="J68" t="inlineStr">
        <is>
          <t>West</t>
        </is>
      </c>
      <c r="K68" t="inlineStr">
        <is>
          <t>A</t>
        </is>
      </c>
      <c r="L68" t="inlineStr">
        <is>
          <t>KXNHL-27 exchange mid-price, pulled 2026-10-08; p(final)=KXNHLEAST/KXNHLWEST-27 Kalshi mid | league_sim.py: full-schedule + real playoff bracket Monte Carlo, ratings fitted to Kalshi</t>
        </is>
      </c>
      <c r="M68" t="inlineStr">
        <is>
          <t>2026-10-08</t>
        </is>
      </c>
      <c r="N68" t="inlineStr"/>
      <c r="O68">
        <f>'NHL'!Y11</f>
        <v/>
      </c>
    </row>
    <row r="69">
      <c r="A69" t="n">
        <v>68</v>
      </c>
      <c r="B69" t="inlineStr">
        <is>
          <t>NCAAF</t>
        </is>
      </c>
      <c r="C69" t="inlineStr">
        <is>
          <t>Alabama</t>
        </is>
      </c>
      <c r="D69" s="16" t="inlineStr">
        <is>
          <t>Jamzee</t>
        </is>
      </c>
      <c r="E69">
        <f>'NCAAF'!M11</f>
        <v/>
      </c>
      <c r="F69">
        <f>'NCAAF'!N11</f>
        <v/>
      </c>
      <c r="G69">
        <f>'NCAAF'!O11</f>
        <v/>
      </c>
      <c r="H69" t="n">
        <v>2</v>
      </c>
      <c r="I69" t="inlineStr">
        <is>
          <t>Kalshi 4.5%</t>
        </is>
      </c>
      <c r="J69" t="inlineStr">
        <is>
          <t>AP #6, 5-0, SEC</t>
        </is>
      </c>
      <c r="K69" t="inlineStr">
        <is>
          <t>A</t>
        </is>
      </c>
      <c r="L69" t="inlineStr">
        <is>
          <t>KXNCAAF-27 exchange mid-price, pulled 2026-10-22</t>
        </is>
      </c>
      <c r="M69" t="inlineStr">
        <is>
          <t>2026-10-22</t>
        </is>
      </c>
      <c r="N69" t="inlineStr"/>
      <c r="O69">
        <f>'NCAAF'!Y11</f>
        <v/>
      </c>
    </row>
    <row r="70">
      <c r="A70" t="n">
        <v>69</v>
      </c>
      <c r="B70" t="inlineStr">
        <is>
          <t>Country</t>
        </is>
      </c>
      <c r="C70" t="inlineStr">
        <is>
          <t>Uganda</t>
        </is>
      </c>
      <c r="D70" t="inlineStr">
        <is>
          <t>— free</t>
        </is>
      </c>
      <c r="E70">
        <f>'Country'!M11</f>
        <v/>
      </c>
      <c r="F70">
        <f>'Country'!N11</f>
        <v/>
      </c>
      <c r="G70">
        <f>'Country'!O11</f>
        <v/>
      </c>
      <c r="H70" t="n">
        <v>2</v>
      </c>
      <c r="I70" t="inlineStr">
        <is>
          <t>IMF Oct-2026 2027: 9.9%</t>
        </is>
      </c>
      <c r="J70" t="inlineStr">
        <is>
          <t>IMF Oct-2026: 2025 6.695, 2026 6.164, 2027 9.86</t>
        </is>
      </c>
      <c r="K70" t="inlineStr">
        <is>
          <t>A</t>
        </is>
      </c>
      <c r="L70" t="inlineStr">
        <is>
          <t>IMF World Economic Outlook, October 2026 (published 2026-10-13), api.imf.org SDMX dataflow IMF.RES/WEO NGDP_RPCH, pulled via Actions runner</t>
        </is>
      </c>
      <c r="M70" t="inlineStr">
        <is>
          <t>2026-10-13</t>
        </is>
      </c>
      <c r="N70" t="inlineStr"/>
      <c r="O70">
        <f>'Country'!Y11</f>
        <v/>
      </c>
    </row>
    <row r="71">
      <c r="A71" t="n">
        <v>70</v>
      </c>
      <c r="B71" t="inlineStr">
        <is>
          <t>NCAAB</t>
        </is>
      </c>
      <c r="C71" t="inlineStr">
        <is>
          <t>Michigan State</t>
        </is>
      </c>
      <c r="D71" t="inlineStr">
        <is>
          <t>— free</t>
        </is>
      </c>
      <c r="E71">
        <f>'NCAAB'!M10</f>
        <v/>
      </c>
      <c r="F71">
        <f>'NCAAB'!N10</f>
        <v/>
      </c>
      <c r="G71">
        <f>'NCAAB'!O10</f>
        <v/>
      </c>
      <c r="H71" t="n">
        <v>2</v>
      </c>
      <c r="I71" t="inlineStr">
        <is>
          <t>+2200</t>
        </is>
      </c>
      <c r="J71" t="inlineStr"/>
      <c r="K71" t="inlineStr">
        <is>
          <t>B</t>
        </is>
      </c>
      <c r="L71" t="inlineStr">
        <is>
          <t>CBS Sports title odds 2026-08-04</t>
        </is>
      </c>
      <c r="M71" t="inlineStr">
        <is>
          <t>2026-10-08</t>
        </is>
      </c>
      <c r="N71" t="inlineStr">
        <is>
          <t>low confidence: far-out event</t>
        </is>
      </c>
      <c r="O71">
        <f>'NCAAB'!Y10</f>
        <v/>
      </c>
    </row>
    <row r="72">
      <c r="A72" t="n">
        <v>71</v>
      </c>
      <c r="B72" t="inlineStr">
        <is>
          <t>Actress</t>
        </is>
      </c>
      <c r="C72" t="inlineStr">
        <is>
          <t>Anne Hathaway</t>
        </is>
      </c>
      <c r="D72" s="16" t="inlineStr">
        <is>
          <t>Korch</t>
        </is>
      </c>
      <c r="E72">
        <f>'Actress'!M7</f>
        <v/>
      </c>
      <c r="F72">
        <f>'Actress'!N7</f>
        <v/>
      </c>
      <c r="G72">
        <f>'Actress'!O7</f>
        <v/>
      </c>
      <c r="H72" t="n">
        <v>1</v>
      </c>
      <c r="J72" t="inlineStr">
        <is>
          <t>Alone at Dawn (Dec 25)</t>
        </is>
      </c>
      <c r="K72" t="inlineStr">
        <is>
          <t>C</t>
        </is>
      </c>
      <c r="L72" t="inlineStr">
        <is>
          <t>Wikipedia 'List of American films of 2027' casts (Actions-runner pull 2026-10-08) x comp-based box office/RT estimates; cast lists are billed leads only (cameos not captured)</t>
        </is>
      </c>
      <c r="M72" t="inlineStr">
        <is>
          <t>2026-10-08</t>
        </is>
      </c>
      <c r="N72" t="inlineStr">
        <is>
          <t>Good but the field reaches for it: let it come to you</t>
        </is>
      </c>
      <c r="O72">
        <f>'Actress'!Y7</f>
        <v/>
      </c>
    </row>
    <row r="73">
      <c r="A73" t="n">
        <v>72</v>
      </c>
      <c r="B73" t="inlineStr">
        <is>
          <t>MLB</t>
        </is>
      </c>
      <c r="C73" t="inlineStr">
        <is>
          <t>Atlanta Braves</t>
        </is>
      </c>
      <c r="D73" s="16" t="inlineStr">
        <is>
          <t>Todd</t>
        </is>
      </c>
      <c r="E73">
        <f>'MLB'!M8</f>
        <v/>
      </c>
      <c r="F73">
        <f>'MLB'!N8</f>
        <v/>
      </c>
      <c r="G73">
        <f>'MLB'!O8</f>
        <v/>
      </c>
      <c r="H73" t="n">
        <v>2</v>
      </c>
      <c r="J73" t="inlineStr">
        <is>
          <t>2026: 94-68 (.5802)</t>
        </is>
      </c>
      <c r="K73" t="inlineStr">
        <is>
          <t>C</t>
        </is>
      </c>
      <c r="L73" t="inlineStr">
        <is>
          <t>2026 win% from league standings (A); title prob = model estimate — no 2027 World Series odds posted</t>
        </is>
      </c>
      <c r="M73" t="inlineStr">
        <is>
          <t>2026-10-08</t>
        </is>
      </c>
      <c r="N73" t="inlineStr">
        <is>
          <t>low confidence: far-out event</t>
        </is>
      </c>
      <c r="O73">
        <f>'MLB'!Y8</f>
        <v/>
      </c>
    </row>
    <row r="74">
      <c r="A74" t="n">
        <v>73</v>
      </c>
      <c r="B74" t="inlineStr">
        <is>
          <t>NBA</t>
        </is>
      </c>
      <c r="C74" t="inlineStr">
        <is>
          <t>Miami Heat</t>
        </is>
      </c>
      <c r="D74" t="inlineStr">
        <is>
          <t>— free</t>
        </is>
      </c>
      <c r="E74">
        <f>'NBA'!M12</f>
        <v/>
      </c>
      <c r="F74">
        <f>'NBA'!N12</f>
        <v/>
      </c>
      <c r="G74">
        <f>'NBA'!O12</f>
        <v/>
      </c>
      <c r="H74" t="n">
        <v>3</v>
      </c>
      <c r="I74" t="inlineStr">
        <is>
          <t>Kalshi 6.5%</t>
        </is>
      </c>
      <c r="J74" t="inlineStr">
        <is>
          <t>East; win total 46.5</t>
        </is>
      </c>
      <c r="K74" t="inlineStr">
        <is>
          <t>A</t>
        </is>
      </c>
      <c r="L74" t="inlineStr">
        <is>
          <t>KXNBA-27 exchange mid-price, pulled 2026-10-08; p(final)=KXNBAEAST/KXNBAWEST-27 Kalshi mid | league_sim.py: full-schedule + real playoff bracket Monte Carlo, ratings fitted to Kalshi</t>
        </is>
      </c>
      <c r="M74" t="inlineStr">
        <is>
          <t>2026-10-08</t>
        </is>
      </c>
      <c r="N74" t="inlineStr"/>
      <c r="O74">
        <f>'NBA'!Y12</f>
        <v/>
      </c>
    </row>
    <row r="75">
      <c r="A75" t="n">
        <v>74</v>
      </c>
      <c r="B75" t="inlineStr">
        <is>
          <t>MLB</t>
        </is>
      </c>
      <c r="C75" t="inlineStr">
        <is>
          <t>Tampa Bay Rays</t>
        </is>
      </c>
      <c r="D75" t="inlineStr">
        <is>
          <t>— free</t>
        </is>
      </c>
      <c r="E75">
        <f>'MLB'!M9</f>
        <v/>
      </c>
      <c r="F75">
        <f>'MLB'!N9</f>
        <v/>
      </c>
      <c r="G75">
        <f>'MLB'!O9</f>
        <v/>
      </c>
      <c r="H75" t="n">
        <v>2</v>
      </c>
      <c r="J75" t="inlineStr">
        <is>
          <t>2026: 98-64 (.6049)</t>
        </is>
      </c>
      <c r="K75" t="inlineStr">
        <is>
          <t>C</t>
        </is>
      </c>
      <c r="L75" t="inlineStr">
        <is>
          <t>2026 win% from league standings (A); title prob = model estimate — no 2027 World Series odds posted</t>
        </is>
      </c>
      <c r="M75" t="inlineStr">
        <is>
          <t>2026-10-08</t>
        </is>
      </c>
      <c r="N75" t="inlineStr">
        <is>
          <t>low confidence: far-out event</t>
        </is>
      </c>
      <c r="O75">
        <f>'MLB'!Y9</f>
        <v/>
      </c>
    </row>
    <row r="76">
      <c r="A76" t="n">
        <v>75</v>
      </c>
      <c r="B76" t="inlineStr">
        <is>
          <t>NCAAB</t>
        </is>
      </c>
      <c r="C76" t="inlineStr">
        <is>
          <t>Houston</t>
        </is>
      </c>
      <c r="D76" s="16" t="inlineStr">
        <is>
          <t>Theo</t>
        </is>
      </c>
      <c r="E76">
        <f>'NCAAB'!M11</f>
        <v/>
      </c>
      <c r="F76">
        <f>'NCAAB'!N11</f>
        <v/>
      </c>
      <c r="G76">
        <f>'NCAAB'!O11</f>
        <v/>
      </c>
      <c r="H76" t="n">
        <v>2</v>
      </c>
      <c r="I76" t="inlineStr">
        <is>
          <t>+2500</t>
        </is>
      </c>
      <c r="J76" t="inlineStr"/>
      <c r="K76" t="inlineStr">
        <is>
          <t>B</t>
        </is>
      </c>
      <c r="L76" t="inlineStr">
        <is>
          <t>CBS Sports title odds 2026-08-04</t>
        </is>
      </c>
      <c r="M76" t="inlineStr">
        <is>
          <t>2026-10-08</t>
        </is>
      </c>
      <c r="N76" t="inlineStr">
        <is>
          <t>low confidence: far-out event</t>
        </is>
      </c>
      <c r="O76">
        <f>'NCAAB'!Y11</f>
        <v/>
      </c>
    </row>
    <row r="77">
      <c r="A77" t="n">
        <v>76</v>
      </c>
      <c r="B77" t="inlineStr">
        <is>
          <t>NCAAB</t>
        </is>
      </c>
      <c r="C77" t="inlineStr">
        <is>
          <t>Arizona</t>
        </is>
      </c>
      <c r="D77" t="inlineStr">
        <is>
          <t>— free</t>
        </is>
      </c>
      <c r="E77">
        <f>'NCAAB'!M12</f>
        <v/>
      </c>
      <c r="F77">
        <f>'NCAAB'!N12</f>
        <v/>
      </c>
      <c r="G77">
        <f>'NCAAB'!O12</f>
        <v/>
      </c>
      <c r="H77" t="n">
        <v>3</v>
      </c>
      <c r="I77" t="inlineStr">
        <is>
          <t>+2500</t>
        </is>
      </c>
      <c r="J77" t="inlineStr"/>
      <c r="K77" t="inlineStr">
        <is>
          <t>B</t>
        </is>
      </c>
      <c r="L77" t="inlineStr">
        <is>
          <t>CBS Sports title odds 2026-08-04</t>
        </is>
      </c>
      <c r="M77" t="inlineStr">
        <is>
          <t>2026-10-08</t>
        </is>
      </c>
      <c r="N77" t="inlineStr">
        <is>
          <t>low confidence: far-out event</t>
        </is>
      </c>
      <c r="O77">
        <f>'NCAAB'!Y12</f>
        <v/>
      </c>
    </row>
    <row r="78">
      <c r="A78" t="n">
        <v>77</v>
      </c>
      <c r="B78" t="inlineStr">
        <is>
          <t>Actor</t>
        </is>
      </c>
      <c r="C78" t="inlineStr">
        <is>
          <t>Ryan Gosling</t>
        </is>
      </c>
      <c r="D78" t="inlineStr">
        <is>
          <t>— free</t>
        </is>
      </c>
      <c r="E78">
        <f>'Actor'!M5</f>
        <v/>
      </c>
      <c r="F78">
        <f>'Actor'!N5</f>
        <v/>
      </c>
      <c r="G78">
        <f>'Actor'!O5</f>
        <v/>
      </c>
      <c r="H78" t="n">
        <v>1</v>
      </c>
      <c r="J78" t="inlineStr">
        <is>
          <t>Starfighter (May 28); Avengers: Secret Wars (Dec 17)</t>
        </is>
      </c>
      <c r="K78" t="inlineStr">
        <is>
          <t>C</t>
        </is>
      </c>
      <c r="L78" t="inlineStr">
        <is>
          <t>Wikipedia 'List of American films of 2027' casts (Actions-runner pull 2026-10-08) x comp-based box office/RT estimates; cast lists are billed leads only (cameos not captured)</t>
        </is>
      </c>
      <c r="M78" t="inlineStr">
        <is>
          <t>2026-10-08</t>
        </is>
      </c>
      <c r="N78" t="inlineStr">
        <is>
          <t>Good but the field reaches for it: let it come to you</t>
        </is>
      </c>
      <c r="O78">
        <f>'Actor'!Y5</f>
        <v/>
      </c>
    </row>
    <row r="79">
      <c r="A79" t="n">
        <v>78</v>
      </c>
      <c r="B79" t="inlineStr">
        <is>
          <t>Musician</t>
        </is>
      </c>
      <c r="C79" t="inlineStr">
        <is>
          <t>Rosalía</t>
        </is>
      </c>
      <c r="D79" t="inlineStr">
        <is>
          <t>— free</t>
        </is>
      </c>
      <c r="E79">
        <f>'Musician'!M10</f>
        <v/>
      </c>
      <c r="F79">
        <f>'Musician'!N10</f>
        <v/>
      </c>
      <c r="G79">
        <f>'Musician'!O10</f>
        <v/>
      </c>
      <c r="H79" t="n">
        <v>2</v>
      </c>
      <c r="I79" t="inlineStr">
        <is>
          <t>Grammy EV 6.6 (raw 6.8, P(cap) 9%)</t>
        </is>
      </c>
      <c r="J79" t="inlineStr">
        <is>
          <t>2026 raw 0; charting now: none charting; carry-over 0.0 + new hits 1.2 (lambda 0.15, P(~0) 86%)</t>
        </is>
      </c>
      <c r="K79" t="inlineStr">
        <is>
          <t>C</t>
        </is>
      </c>
      <c r="L79" t="inlineStr">
        <is>
          <t>2027 Hot 100 baseline = my estimate; Grammy: Kalshi KXGRAM*-69 prices (A) + estimates for other categories (C)</t>
        </is>
      </c>
      <c r="M79" t="inlineStr">
        <is>
          <t>2026-10-08</t>
        </is>
      </c>
      <c r="N79" t="inlineStr">
        <is>
          <t>Good but the field reaches for it: let it come to you</t>
        </is>
      </c>
      <c r="O79">
        <f>'Musician'!Y10</f>
        <v/>
      </c>
    </row>
    <row r="80">
      <c r="A80" t="n">
        <v>79</v>
      </c>
      <c r="B80" t="inlineStr">
        <is>
          <t>NBA</t>
        </is>
      </c>
      <c r="C80" t="inlineStr">
        <is>
          <t>Los Angeles Lakers</t>
        </is>
      </c>
      <c r="D80" s="16" t="inlineStr">
        <is>
          <t>Theo</t>
        </is>
      </c>
      <c r="E80">
        <f>'NBA'!M13</f>
        <v/>
      </c>
      <c r="F80">
        <f>'NBA'!N13</f>
        <v/>
      </c>
      <c r="G80">
        <f>'NBA'!O13</f>
        <v/>
      </c>
      <c r="H80" t="n">
        <v>3</v>
      </c>
      <c r="I80" t="inlineStr">
        <is>
          <t>Kalshi 3.5%</t>
        </is>
      </c>
      <c r="J80" t="inlineStr">
        <is>
          <t>West; win total 46.5</t>
        </is>
      </c>
      <c r="K80" t="inlineStr">
        <is>
          <t>A</t>
        </is>
      </c>
      <c r="L80" t="inlineStr">
        <is>
          <t>KXNBA-27 exchange mid-price, pulled 2026-10-08; p(final)=KXNBAEAST/KXNBAWEST-27 Kalshi mid | league_sim.py: full-schedule + real playoff bracket Monte Carlo, ratings fitted to Kalshi</t>
        </is>
      </c>
      <c r="M80" t="inlineStr">
        <is>
          <t>2026-10-08</t>
        </is>
      </c>
      <c r="N80" t="inlineStr"/>
      <c r="O80">
        <f>'NBA'!Y13</f>
        <v/>
      </c>
    </row>
    <row r="81">
      <c r="A81" t="n">
        <v>80</v>
      </c>
      <c r="B81" t="inlineStr">
        <is>
          <t>Golf</t>
        </is>
      </c>
      <c r="C81" t="inlineStr">
        <is>
          <t>Russell Henley</t>
        </is>
      </c>
      <c r="D81" s="16" t="inlineStr">
        <is>
          <t>Jens</t>
        </is>
      </c>
      <c r="E81">
        <f>'Golf'!M10</f>
        <v/>
      </c>
      <c r="F81">
        <f>'Golf'!N10</f>
        <v/>
      </c>
      <c r="G81">
        <f>'Golf'!O10</f>
        <v/>
      </c>
      <c r="H81" t="n">
        <v>2</v>
      </c>
      <c r="J81" t="inlineStr">
        <is>
          <t>OWGR 6 (2026-10-08)</t>
        </is>
      </c>
      <c r="K81" t="inlineStr">
        <is>
          <t>C</t>
        </is>
      </c>
      <c r="L81" t="inlineStr">
        <is>
          <t>OWGR rank from league standings pull (A); major-win probabilities = model (rank-weighted share of 4 majors)</t>
        </is>
      </c>
      <c r="M81" t="inlineStr">
        <is>
          <t>2026-10-08</t>
        </is>
      </c>
      <c r="N81" t="inlineStr"/>
      <c r="O81">
        <f>'Golf'!Y10</f>
        <v/>
      </c>
    </row>
    <row r="82">
      <c r="A82" t="n">
        <v>81</v>
      </c>
      <c r="B82" t="inlineStr">
        <is>
          <t>MLS</t>
        </is>
      </c>
      <c r="C82" t="inlineStr">
        <is>
          <t>St. Louis City SC</t>
        </is>
      </c>
      <c r="D82" t="inlineStr">
        <is>
          <t>— free</t>
        </is>
      </c>
      <c r="E82">
        <f>'MLS'!M8</f>
        <v/>
      </c>
      <c r="F82">
        <f>'MLS'!N8</f>
        <v/>
      </c>
      <c r="G82">
        <f>'MLS'!O8</f>
        <v/>
      </c>
      <c r="H82" t="n">
        <v>2</v>
      </c>
      <c r="I82" t="inlineStr">
        <is>
          <t>2026 Cup: Kalshi 5.5%</t>
        </is>
      </c>
      <c r="J82" t="inlineStr">
        <is>
          <t>2026: 47 pts (as of 10-08; season ends Nov 7)</t>
        </is>
      </c>
      <c r="K82" t="inlineStr">
        <is>
          <t>C</t>
        </is>
      </c>
      <c r="L82" t="inlineStr">
        <is>
          <t>2026 points (league standings, A) + Kalshi KXMLSCUP-26 price as strength proxy, shrunk 50% toward the field</t>
        </is>
      </c>
      <c r="M82" t="inlineStr">
        <is>
          <t>2026-10-08</t>
        </is>
      </c>
      <c r="N82" t="inlineStr">
        <is>
          <t>low confidence: far-out event</t>
        </is>
      </c>
      <c r="O82">
        <f>'MLS'!Y8</f>
        <v/>
      </c>
    </row>
    <row r="83">
      <c r="A83" t="n">
        <v>82</v>
      </c>
      <c r="B83" t="inlineStr">
        <is>
          <t>MLS</t>
        </is>
      </c>
      <c r="C83" t="inlineStr">
        <is>
          <t>FC Dallas</t>
        </is>
      </c>
      <c r="D83" t="inlineStr">
        <is>
          <t>— free</t>
        </is>
      </c>
      <c r="E83">
        <f>'MLS'!M9</f>
        <v/>
      </c>
      <c r="F83">
        <f>'MLS'!N9</f>
        <v/>
      </c>
      <c r="G83">
        <f>'MLS'!O9</f>
        <v/>
      </c>
      <c r="H83" t="n">
        <v>2</v>
      </c>
      <c r="I83" t="inlineStr">
        <is>
          <t>2026 Cup: Kalshi 4.5%</t>
        </is>
      </c>
      <c r="J83" t="inlineStr">
        <is>
          <t>2026: 47 pts (as of 10-08; season ends Nov 7)</t>
        </is>
      </c>
      <c r="K83" t="inlineStr">
        <is>
          <t>C</t>
        </is>
      </c>
      <c r="L83" t="inlineStr">
        <is>
          <t>2026 points (league standings, A) + Kalshi KXMLSCUP-26 price as strength proxy, shrunk 50% toward the field</t>
        </is>
      </c>
      <c r="M83" t="inlineStr">
        <is>
          <t>2026-10-08</t>
        </is>
      </c>
      <c r="N83" t="inlineStr">
        <is>
          <t>low confidence: far-out event</t>
        </is>
      </c>
      <c r="O83">
        <f>'MLS'!Y9</f>
        <v/>
      </c>
    </row>
    <row r="84">
      <c r="A84" t="n">
        <v>83</v>
      </c>
      <c r="B84" t="inlineStr">
        <is>
          <t>NBA</t>
        </is>
      </c>
      <c r="C84" t="inlineStr">
        <is>
          <t>Detroit Pistons</t>
        </is>
      </c>
      <c r="D84" t="inlineStr">
        <is>
          <t>— free</t>
        </is>
      </c>
      <c r="E84">
        <f>'NBA'!M14</f>
        <v/>
      </c>
      <c r="F84">
        <f>'NBA'!N14</f>
        <v/>
      </c>
      <c r="G84">
        <f>'NBA'!O14</f>
        <v/>
      </c>
      <c r="H84" t="n">
        <v>3</v>
      </c>
      <c r="I84" t="inlineStr">
        <is>
          <t>+2200</t>
        </is>
      </c>
      <c r="J84" t="inlineStr">
        <is>
          <t>East; win total 49.5</t>
        </is>
      </c>
      <c r="K84" t="inlineStr">
        <is>
          <t>A</t>
        </is>
      </c>
      <c r="L84" t="inlineStr">
        <is>
          <t>FanDuel ~2026-10-07; Polymarket via Covers; BetMGM win totals; p(final)=KXNBAEAST/KXNBAWEST-27 Kalshi mid | league_sim.py: full-schedule + real playoff bracket Monte Carlo, ratings fitted to Kalshi</t>
        </is>
      </c>
      <c r="M84" t="inlineStr">
        <is>
          <t>2026-10-08</t>
        </is>
      </c>
      <c r="N84" t="inlineStr"/>
      <c r="O84">
        <f>'NBA'!Y14</f>
        <v/>
      </c>
    </row>
    <row r="85">
      <c r="A85" t="n">
        <v>84</v>
      </c>
      <c r="B85" t="inlineStr">
        <is>
          <t>NFL</t>
        </is>
      </c>
      <c r="C85" t="inlineStr">
        <is>
          <t>Denver Broncos</t>
        </is>
      </c>
      <c r="D85" s="16" t="inlineStr">
        <is>
          <t>Molmen</t>
        </is>
      </c>
      <c r="E85">
        <f>'NFL'!M12</f>
        <v/>
      </c>
      <c r="F85">
        <f>'NFL'!N12</f>
        <v/>
      </c>
      <c r="G85">
        <f>'NFL'!O12</f>
        <v/>
      </c>
      <c r="H85" t="n">
        <v>3</v>
      </c>
      <c r="I85" t="inlineStr">
        <is>
          <t>Kalshi 3.5%</t>
        </is>
      </c>
      <c r="J85" t="inlineStr">
        <is>
          <t>2-2, AFC West</t>
        </is>
      </c>
      <c r="K85" t="inlineStr">
        <is>
          <t>A</t>
        </is>
      </c>
      <c r="L85" t="inlineStr">
        <is>
          <t>KXSB-27 exchange mid-price, pulled 2026-10-08; p(final)=KXNFLAFCCHAMP/KXNFLNFCCHAMP-27 Kalshi mid | league_sim.py: full-schedule + real playoff bracket Monte Carlo, ratings fitted to Kalshi</t>
        </is>
      </c>
      <c r="M85" t="inlineStr">
        <is>
          <t>2026-10-08</t>
        </is>
      </c>
      <c r="N85" t="inlineStr"/>
      <c r="O85">
        <f>'NFL'!Y12</f>
        <v/>
      </c>
    </row>
    <row r="86">
      <c r="A86" t="n">
        <v>85</v>
      </c>
      <c r="B86" t="inlineStr">
        <is>
          <t>Tennis</t>
        </is>
      </c>
      <c r="C86" t="inlineStr">
        <is>
          <t>Jessica Pegula</t>
        </is>
      </c>
      <c r="D86" s="16" t="inlineStr">
        <is>
          <t>Korch</t>
        </is>
      </c>
      <c r="E86">
        <f>'Tennis'!M10</f>
        <v/>
      </c>
      <c r="F86">
        <f>'Tennis'!N10</f>
        <v/>
      </c>
      <c r="G86">
        <f>'Tennis'!O10</f>
        <v/>
      </c>
      <c r="H86" t="n">
        <v>2</v>
      </c>
      <c r="J86" t="inlineStr">
        <is>
          <t>WTA 3 (2026-10-08)</t>
        </is>
      </c>
      <c r="K86" t="inlineStr">
        <is>
          <t>C</t>
        </is>
      </c>
      <c r="L86" t="inlineStr">
        <is>
          <t>ATP rank from league standings pull (A) / WTA via Olympics.com Oct 5; AO odds VegasInsider/Johnnybet Oct 2026; probabilities = agent estimates</t>
        </is>
      </c>
      <c r="M86" t="inlineStr">
        <is>
          <t>2026-10-08</t>
        </is>
      </c>
      <c r="N86" t="inlineStr"/>
      <c r="O86">
        <f>'Tennis'!Y10</f>
        <v/>
      </c>
    </row>
    <row r="87">
      <c r="A87" t="n">
        <v>86</v>
      </c>
      <c r="B87" t="inlineStr">
        <is>
          <t>MLS</t>
        </is>
      </c>
      <c r="C87" t="inlineStr">
        <is>
          <t>New England Revolution</t>
        </is>
      </c>
      <c r="D87" t="inlineStr">
        <is>
          <t>— free</t>
        </is>
      </c>
      <c r="E87">
        <f>'MLS'!M10</f>
        <v/>
      </c>
      <c r="F87">
        <f>'MLS'!N10</f>
        <v/>
      </c>
      <c r="G87">
        <f>'MLS'!O10</f>
        <v/>
      </c>
      <c r="H87" t="n">
        <v>2</v>
      </c>
      <c r="I87" t="inlineStr">
        <is>
          <t>2026 Cup: Kalshi 3.5%</t>
        </is>
      </c>
      <c r="J87" t="inlineStr">
        <is>
          <t>2026: 46 pts (as of 10-08; season ends Nov 7)</t>
        </is>
      </c>
      <c r="K87" t="inlineStr">
        <is>
          <t>C</t>
        </is>
      </c>
      <c r="L87" t="inlineStr">
        <is>
          <t>2026 points (league standings, A) + Kalshi KXMLSCUP-26 price as strength proxy, shrunk 50% toward the field</t>
        </is>
      </c>
      <c r="M87" t="inlineStr">
        <is>
          <t>2026-10-08</t>
        </is>
      </c>
      <c r="N87" t="inlineStr">
        <is>
          <t>low confidence: far-out event</t>
        </is>
      </c>
      <c r="O87">
        <f>'MLS'!Y10</f>
        <v/>
      </c>
    </row>
    <row r="88">
      <c r="A88" t="n">
        <v>87</v>
      </c>
      <c r="B88" t="inlineStr">
        <is>
          <t>Actress</t>
        </is>
      </c>
      <c r="C88" t="inlineStr">
        <is>
          <t>Hailee Steinfeld</t>
        </is>
      </c>
      <c r="D88" t="inlineStr">
        <is>
          <t>— free</t>
        </is>
      </c>
      <c r="E88">
        <f>'Actress'!M8</f>
        <v/>
      </c>
      <c r="F88">
        <f>'Actress'!N8</f>
        <v/>
      </c>
      <c r="G88">
        <f>'Actress'!O8</f>
        <v/>
      </c>
      <c r="H88" t="n">
        <v>2</v>
      </c>
      <c r="J88" t="inlineStr">
        <is>
          <t>Spider-Man: Beyond the Spider-Verse (Jun 18)</t>
        </is>
      </c>
      <c r="K88" t="inlineStr">
        <is>
          <t>C</t>
        </is>
      </c>
      <c r="L88" t="inlineStr">
        <is>
          <t>Wikipedia 'List of American films of 2027' casts (Actions-runner pull 2026-10-08) x comp-based box office/RT estimates; cast lists are billed leads only (cameos not captured)</t>
        </is>
      </c>
      <c r="M88" t="inlineStr">
        <is>
          <t>2026-10-08</t>
        </is>
      </c>
      <c r="N88" t="inlineStr">
        <is>
          <t>Good but the field reaches for it: let it come to you</t>
        </is>
      </c>
      <c r="O88">
        <f>'Actress'!Y8</f>
        <v/>
      </c>
    </row>
    <row r="89">
      <c r="A89" t="n">
        <v>88</v>
      </c>
      <c r="B89" t="inlineStr">
        <is>
          <t>NHL</t>
        </is>
      </c>
      <c r="C89" t="inlineStr">
        <is>
          <t>Utah Mammoth</t>
        </is>
      </c>
      <c r="D89" t="inlineStr">
        <is>
          <t>— free</t>
        </is>
      </c>
      <c r="E89">
        <f>'NHL'!M12</f>
        <v/>
      </c>
      <c r="F89">
        <f>'NHL'!N12</f>
        <v/>
      </c>
      <c r="G89">
        <f>'NHL'!O12</f>
        <v/>
      </c>
      <c r="H89" t="n">
        <v>3</v>
      </c>
      <c r="I89" t="inlineStr">
        <is>
          <t>Kalshi 3.0%</t>
        </is>
      </c>
      <c r="J89" t="inlineStr">
        <is>
          <t>West</t>
        </is>
      </c>
      <c r="K89" t="inlineStr">
        <is>
          <t>A</t>
        </is>
      </c>
      <c r="L89" t="inlineStr">
        <is>
          <t>KXNHL-27 exchange mid-price, pulled 2026-10-08; p(final)=KXNHLEAST/KXNHLWEST-27 Kalshi mid | league_sim.py: full-schedule + real playoff bracket Monte Carlo, ratings fitted to Kalshi</t>
        </is>
      </c>
      <c r="M89" t="inlineStr">
        <is>
          <t>2026-10-08</t>
        </is>
      </c>
      <c r="N89" t="inlineStr"/>
      <c r="O89">
        <f>'NHL'!Y12</f>
        <v/>
      </c>
    </row>
    <row r="90">
      <c r="A90" t="n">
        <v>89</v>
      </c>
      <c r="B90" t="inlineStr">
        <is>
          <t>Actor</t>
        </is>
      </c>
      <c r="C90" t="inlineStr">
        <is>
          <t>John Malkovich</t>
        </is>
      </c>
      <c r="D90" t="inlineStr">
        <is>
          <t>— free</t>
        </is>
      </c>
      <c r="E90">
        <f>'Actor'!M6</f>
        <v/>
      </c>
      <c r="F90">
        <f>'Actor'!N6</f>
        <v/>
      </c>
      <c r="G90">
        <f>'Actor'!O6</f>
        <v/>
      </c>
      <c r="H90" t="n">
        <v>1</v>
      </c>
      <c r="J90" t="inlineStr">
        <is>
          <t>no 2027 film found in Wikipedia's cast lists</t>
        </is>
      </c>
      <c r="K90" t="inlineStr">
        <is>
          <t>C</t>
        </is>
      </c>
      <c r="L90" t="inlineStr">
        <is>
          <t>Wikipedia 'List of American films of 2027' casts (Actions-runner pull 2026-10-08) x comp-based box office/RT estimates; cast lists are billed leads only (cameos not captured)</t>
        </is>
      </c>
      <c r="M90" t="inlineStr">
        <is>
          <t>2026-10-08</t>
        </is>
      </c>
      <c r="N90" t="inlineStr">
        <is>
          <t>Good but the field reaches for it: let it come to you</t>
        </is>
      </c>
      <c r="O90">
        <f>'Actor'!Y6</f>
        <v/>
      </c>
    </row>
    <row r="91">
      <c r="A91" t="n">
        <v>90</v>
      </c>
      <c r="B91" t="inlineStr">
        <is>
          <t>Stock</t>
        </is>
      </c>
      <c r="C91" t="inlineStr">
        <is>
          <t>MSTR (Long)</t>
        </is>
      </c>
      <c r="D91" t="inlineStr">
        <is>
          <t>— free</t>
        </is>
      </c>
      <c r="E91">
        <f>'Stock'!M5</f>
        <v/>
      </c>
      <c r="F91">
        <f>'Stock'!N5</f>
        <v/>
      </c>
      <c r="G91">
        <f>'Stock'!O5</f>
        <v/>
      </c>
      <c r="H91" t="n">
        <v>1</v>
      </c>
      <c r="J91" t="inlineStr">
        <is>
          <t>levered BTC proxy</t>
        </is>
      </c>
      <c r="K91" t="inlineStr">
        <is>
          <t>C</t>
        </is>
      </c>
      <c r="L91" t="inlineStr">
        <is>
          <t>my estimate: sector view + typical vol; no price data pulled (verify quotes before drafting)</t>
        </is>
      </c>
      <c r="M91" t="inlineStr">
        <is>
          <t>2026-10-08</t>
        </is>
      </c>
      <c r="N91" t="inlineStr">
        <is>
          <t>coin flip: take last, no edge</t>
        </is>
      </c>
      <c r="O91">
        <f>'Stock'!Y5</f>
        <v/>
      </c>
    </row>
    <row r="92">
      <c r="A92" t="n">
        <v>91</v>
      </c>
      <c r="B92" t="inlineStr">
        <is>
          <t>Stock</t>
        </is>
      </c>
      <c r="C92" t="inlineStr">
        <is>
          <t>COIN (Long)</t>
        </is>
      </c>
      <c r="D92" s="16" t="inlineStr">
        <is>
          <t>Tim</t>
        </is>
      </c>
      <c r="E92">
        <f>'Stock'!M6</f>
        <v/>
      </c>
      <c r="F92">
        <f>'Stock'!N6</f>
        <v/>
      </c>
      <c r="G92">
        <f>'Stock'!O6</f>
        <v/>
      </c>
      <c r="H92" t="n">
        <v>1</v>
      </c>
      <c r="J92" t="inlineStr">
        <is>
          <t>BTC-cycle beta</t>
        </is>
      </c>
      <c r="K92" t="inlineStr">
        <is>
          <t>C</t>
        </is>
      </c>
      <c r="L92" t="inlineStr">
        <is>
          <t>my estimate: sector view + typical vol; no price data pulled (verify quotes before drafting)</t>
        </is>
      </c>
      <c r="M92" t="inlineStr">
        <is>
          <t>2026-10-08</t>
        </is>
      </c>
      <c r="N92" t="inlineStr">
        <is>
          <t>coin flip: take last, no edge</t>
        </is>
      </c>
      <c r="O92">
        <f>'Stock'!Y6</f>
        <v/>
      </c>
    </row>
    <row r="93">
      <c r="A93" t="n">
        <v>92</v>
      </c>
      <c r="B93" t="inlineStr">
        <is>
          <t>Stock</t>
        </is>
      </c>
      <c r="C93" t="inlineStr">
        <is>
          <t>AMD (Long)</t>
        </is>
      </c>
      <c r="D93" t="inlineStr">
        <is>
          <t>— free</t>
        </is>
      </c>
      <c r="E93">
        <f>'Stock'!M7</f>
        <v/>
      </c>
      <c r="F93">
        <f>'Stock'!N7</f>
        <v/>
      </c>
      <c r="G93">
        <f>'Stock'!O7</f>
        <v/>
      </c>
      <c r="H93" t="n">
        <v>1</v>
      </c>
      <c r="J93" t="inlineStr">
        <is>
          <t>MI400/Helios ramp 2H26-27</t>
        </is>
      </c>
      <c r="K93" t="inlineStr">
        <is>
          <t>C</t>
        </is>
      </c>
      <c r="L93" t="inlineStr">
        <is>
          <t>my estimate: sector view + typical vol; no price data pulled (verify quotes before drafting)</t>
        </is>
      </c>
      <c r="M93" t="inlineStr">
        <is>
          <t>2026-10-08</t>
        </is>
      </c>
      <c r="N93" t="inlineStr">
        <is>
          <t>coin flip: take last, no edge</t>
        </is>
      </c>
      <c r="O93">
        <f>'Stock'!Y7</f>
        <v/>
      </c>
    </row>
    <row r="94">
      <c r="A94" t="n">
        <v>93</v>
      </c>
      <c r="B94" t="inlineStr">
        <is>
          <t>Stock</t>
        </is>
      </c>
      <c r="C94" t="inlineStr">
        <is>
          <t>TTWO (Long)</t>
        </is>
      </c>
      <c r="D94" s="16" t="inlineStr">
        <is>
          <t>Molmen</t>
        </is>
      </c>
      <c r="E94">
        <f>'Stock'!M8</f>
        <v/>
      </c>
      <c r="F94">
        <f>'Stock'!N8</f>
        <v/>
      </c>
      <c r="G94">
        <f>'Stock'!O8</f>
        <v/>
      </c>
      <c r="H94" t="n">
        <v>2</v>
      </c>
      <c r="J94" t="inlineStr">
        <is>
          <t>owned; no price data pulled</t>
        </is>
      </c>
      <c r="K94" t="inlineStr">
        <is>
          <t>C</t>
        </is>
      </c>
      <c r="L94" t="inlineStr">
        <is>
          <t>added because a league member currently owns this pick (draft_picks_2026.py); not in the first-pass pool, so figures are placeholders (conf C)</t>
        </is>
      </c>
      <c r="M94" t="inlineStr">
        <is>
          <t>2026-10-08</t>
        </is>
      </c>
      <c r="N94" t="inlineStr">
        <is>
          <t>coin flip: take last, no edge</t>
        </is>
      </c>
      <c r="O94">
        <f>'Stock'!Y8</f>
        <v/>
      </c>
    </row>
    <row r="95">
      <c r="A95" t="n">
        <v>94</v>
      </c>
      <c r="B95" t="inlineStr">
        <is>
          <t>Stock</t>
        </is>
      </c>
      <c r="C95" t="inlineStr">
        <is>
          <t>SMCI (Long)</t>
        </is>
      </c>
      <c r="D95" s="16" t="inlineStr">
        <is>
          <t>Korch</t>
        </is>
      </c>
      <c r="E95">
        <f>'Stock'!M9</f>
        <v/>
      </c>
      <c r="F95">
        <f>'Stock'!N9</f>
        <v/>
      </c>
      <c r="G95">
        <f>'Stock'!O9</f>
        <v/>
      </c>
      <c r="H95" t="n">
        <v>2</v>
      </c>
      <c r="J95" t="inlineStr">
        <is>
          <t>high-variance AI servers</t>
        </is>
      </c>
      <c r="K95" t="inlineStr">
        <is>
          <t>C</t>
        </is>
      </c>
      <c r="L95" t="inlineStr">
        <is>
          <t>my estimate: sector view + typical vol; no price data pulled (verify quotes before drafting)</t>
        </is>
      </c>
      <c r="M95" t="inlineStr">
        <is>
          <t>2026-10-08</t>
        </is>
      </c>
      <c r="N95" t="inlineStr">
        <is>
          <t>coin flip: take last, no edge</t>
        </is>
      </c>
      <c r="O95">
        <f>'Stock'!Y9</f>
        <v/>
      </c>
    </row>
    <row r="96">
      <c r="A96" t="n">
        <v>95</v>
      </c>
      <c r="B96" t="inlineStr">
        <is>
          <t>MLB</t>
        </is>
      </c>
      <c r="C96" t="inlineStr">
        <is>
          <t>Chicago Cubs</t>
        </is>
      </c>
      <c r="D96" s="16" t="inlineStr">
        <is>
          <t>Tim</t>
        </is>
      </c>
      <c r="E96">
        <f>'MLB'!M10</f>
        <v/>
      </c>
      <c r="F96">
        <f>'MLB'!N10</f>
        <v/>
      </c>
      <c r="G96">
        <f>'MLB'!O10</f>
        <v/>
      </c>
      <c r="H96" t="n">
        <v>2</v>
      </c>
      <c r="J96" t="inlineStr">
        <is>
          <t>2026: 89-73 (.5494)</t>
        </is>
      </c>
      <c r="K96" t="inlineStr">
        <is>
          <t>C</t>
        </is>
      </c>
      <c r="L96" t="inlineStr">
        <is>
          <t>2026 win% from league standings (A); title prob = model estimate — no 2027 World Series odds posted</t>
        </is>
      </c>
      <c r="M96" t="inlineStr">
        <is>
          <t>2026-10-08</t>
        </is>
      </c>
      <c r="N96" t="inlineStr">
        <is>
          <t>low confidence: far-out event</t>
        </is>
      </c>
      <c r="O96">
        <f>'MLB'!Y10</f>
        <v/>
      </c>
    </row>
    <row r="97">
      <c r="A97" t="n">
        <v>96</v>
      </c>
      <c r="B97" t="inlineStr">
        <is>
          <t>Stock</t>
        </is>
      </c>
      <c r="C97" t="inlineStr">
        <is>
          <t>TSLA (Short)</t>
        </is>
      </c>
      <c r="D97" s="16" t="inlineStr">
        <is>
          <t>Shep</t>
        </is>
      </c>
      <c r="E97">
        <f>'Stock'!M10</f>
        <v/>
      </c>
      <c r="F97">
        <f>'Stock'!N10</f>
        <v/>
      </c>
      <c r="G97">
        <f>'Stock'!O10</f>
        <v/>
      </c>
      <c r="H97" t="n">
        <v>2</v>
      </c>
      <c r="J97" t="inlineStr">
        <is>
          <t>squeeze risk</t>
        </is>
      </c>
      <c r="K97" t="inlineStr">
        <is>
          <t>C</t>
        </is>
      </c>
      <c r="L97" t="inlineStr">
        <is>
          <t>my estimate: sector view + typical vol; no price data pulled (verify quotes before drafting)</t>
        </is>
      </c>
      <c r="M97" t="inlineStr">
        <is>
          <t>2026-10-08</t>
        </is>
      </c>
      <c r="N97" t="inlineStr">
        <is>
          <t>coin flip: take last, no edge</t>
        </is>
      </c>
      <c r="O97">
        <f>'Stock'!Y10</f>
        <v/>
      </c>
    </row>
    <row r="98">
      <c r="A98" t="n">
        <v>97</v>
      </c>
      <c r="B98" t="inlineStr">
        <is>
          <t>MLB</t>
        </is>
      </c>
      <c r="C98" t="inlineStr">
        <is>
          <t>San Diego Padres</t>
        </is>
      </c>
      <c r="D98" s="16" t="inlineStr">
        <is>
          <t>Theo</t>
        </is>
      </c>
      <c r="E98">
        <f>'MLB'!M11</f>
        <v/>
      </c>
      <c r="F98">
        <f>'MLB'!N11</f>
        <v/>
      </c>
      <c r="G98">
        <f>'MLB'!O11</f>
        <v/>
      </c>
      <c r="H98" t="n">
        <v>2</v>
      </c>
      <c r="J98" t="inlineStr">
        <is>
          <t>2026: 91-71 (.5617)</t>
        </is>
      </c>
      <c r="K98" t="inlineStr">
        <is>
          <t>C</t>
        </is>
      </c>
      <c r="L98" t="inlineStr">
        <is>
          <t>2026 win% from league standings (A); title prob = model estimate — no 2027 World Series odds posted</t>
        </is>
      </c>
      <c r="M98" t="inlineStr">
        <is>
          <t>2026-10-08</t>
        </is>
      </c>
      <c r="N98" t="inlineStr">
        <is>
          <t>low confidence: far-out event</t>
        </is>
      </c>
      <c r="O98">
        <f>'MLB'!Y11</f>
        <v/>
      </c>
    </row>
    <row r="99">
      <c r="A99" t="n">
        <v>98</v>
      </c>
      <c r="B99" t="inlineStr">
        <is>
          <t>Tennis</t>
        </is>
      </c>
      <c r="C99" t="inlineStr">
        <is>
          <t>Ben Shelton</t>
        </is>
      </c>
      <c r="D99" t="inlineStr">
        <is>
          <t>— free</t>
        </is>
      </c>
      <c r="E99">
        <f>'Tennis'!M11</f>
        <v/>
      </c>
      <c r="F99">
        <f>'Tennis'!N11</f>
        <v/>
      </c>
      <c r="G99">
        <f>'Tennis'!O11</f>
        <v/>
      </c>
      <c r="H99" t="n">
        <v>2</v>
      </c>
      <c r="J99" t="inlineStr">
        <is>
          <t>ATP 4 (2026-10-08)</t>
        </is>
      </c>
      <c r="K99" t="inlineStr">
        <is>
          <t>C</t>
        </is>
      </c>
      <c r="L99" t="inlineStr">
        <is>
          <t>ATP rank from league standings pull (A) / WTA via Olympics.com Oct 5; AO odds VegasInsider/Johnnybet Oct 2026; probabilities = agent estimates</t>
        </is>
      </c>
      <c r="M99" t="inlineStr">
        <is>
          <t>2026-10-08</t>
        </is>
      </c>
      <c r="N99" t="inlineStr"/>
      <c r="O99">
        <f>'Tennis'!Y11</f>
        <v/>
      </c>
    </row>
    <row r="100">
      <c r="A100" t="n">
        <v>99</v>
      </c>
      <c r="B100" t="inlineStr">
        <is>
          <t>Golf</t>
        </is>
      </c>
      <c r="C100" t="inlineStr">
        <is>
          <t>Tommy Fleetwood</t>
        </is>
      </c>
      <c r="D100" s="16" t="inlineStr">
        <is>
          <t>Korch</t>
        </is>
      </c>
      <c r="E100">
        <f>'Golf'!M11</f>
        <v/>
      </c>
      <c r="F100">
        <f>'Golf'!N11</f>
        <v/>
      </c>
      <c r="G100">
        <f>'Golf'!O11</f>
        <v/>
      </c>
      <c r="H100" t="n">
        <v>2</v>
      </c>
      <c r="J100" t="inlineStr">
        <is>
          <t>OWGR 7 (2026-10-08)</t>
        </is>
      </c>
      <c r="K100" t="inlineStr">
        <is>
          <t>C</t>
        </is>
      </c>
      <c r="L100" t="inlineStr">
        <is>
          <t>OWGR rank from league standings pull (A); major-win probabilities = model (rank-weighted share of 4 majors)</t>
        </is>
      </c>
      <c r="M100" t="inlineStr">
        <is>
          <t>2026-10-08</t>
        </is>
      </c>
      <c r="N100" t="inlineStr"/>
      <c r="O100">
        <f>'Golf'!Y11</f>
        <v/>
      </c>
    </row>
    <row r="101">
      <c r="A101" t="n">
        <v>100</v>
      </c>
      <c r="B101" t="inlineStr">
        <is>
          <t>NASCAR</t>
        </is>
      </c>
      <c r="C101" t="inlineStr">
        <is>
          <t>Chase Briscoe</t>
        </is>
      </c>
      <c r="D101" s="16" t="inlineStr">
        <is>
          <t>Jens</t>
        </is>
      </c>
      <c r="E101">
        <f>'NASCAR'!M11</f>
        <v/>
      </c>
      <c r="F101">
        <f>'NASCAR'!N11</f>
        <v/>
      </c>
      <c r="G101">
        <f>'NASCAR'!O11</f>
        <v/>
      </c>
      <c r="H101" t="n">
        <v>2</v>
      </c>
      <c r="I101" t="inlineStr">
        <is>
          <t>2026 title: Kalshi 3.5%</t>
        </is>
      </c>
      <c r="J101" t="inlineStr">
        <is>
          <t>2 wins incl. Las Vegas; 6th</t>
        </is>
      </c>
      <c r="K101" t="inlineStr">
        <is>
          <t>C</t>
        </is>
      </c>
      <c r="L101" t="inlineStr">
        <is>
          <t>User-supplied final Cup standings 2021-2026(proj.), recency-weighted (decay 0.65/yr, nascar_model.py) for drivers in the table; others = field prior blended with 2026 Kalshi title price (shrunk). No 2027 market exists.</t>
        </is>
      </c>
      <c r="M101" t="inlineStr">
        <is>
          <t>2026-10-08</t>
        </is>
      </c>
      <c r="N101" t="inlineStr">
        <is>
          <t>low confidence: far-out event</t>
        </is>
      </c>
      <c r="O101">
        <f>'NASCAR'!Y11</f>
        <v/>
      </c>
    </row>
    <row r="102">
      <c r="A102" t="n">
        <v>101</v>
      </c>
      <c r="B102" t="inlineStr">
        <is>
          <t>MLS</t>
        </is>
      </c>
      <c r="C102" t="inlineStr">
        <is>
          <t>Chicago Fire FC</t>
        </is>
      </c>
      <c r="D102" t="inlineStr">
        <is>
          <t>— free</t>
        </is>
      </c>
      <c r="E102">
        <f>'MLS'!M11</f>
        <v/>
      </c>
      <c r="F102">
        <f>'MLS'!N11</f>
        <v/>
      </c>
      <c r="G102">
        <f>'MLS'!O11</f>
        <v/>
      </c>
      <c r="H102" t="n">
        <v>2</v>
      </c>
      <c r="I102" t="inlineStr">
        <is>
          <t>2026 Cup: Kalshi 4.5%</t>
        </is>
      </c>
      <c r="J102" t="inlineStr">
        <is>
          <t>2026: 42 pts (as of 10-08; season ends Nov 7)</t>
        </is>
      </c>
      <c r="K102" t="inlineStr">
        <is>
          <t>C</t>
        </is>
      </c>
      <c r="L102" t="inlineStr">
        <is>
          <t>2026 points (league standings, A) + Kalshi KXMLSCUP-26 price as strength proxy, shrunk 50% toward the field</t>
        </is>
      </c>
      <c r="M102" t="inlineStr">
        <is>
          <t>2026-10-08</t>
        </is>
      </c>
      <c r="N102" t="inlineStr">
        <is>
          <t>low confidence: far-out event</t>
        </is>
      </c>
      <c r="O102">
        <f>'MLS'!Y11</f>
        <v/>
      </c>
    </row>
    <row r="103">
      <c r="A103" t="n">
        <v>102</v>
      </c>
      <c r="B103" t="inlineStr">
        <is>
          <t>Actor</t>
        </is>
      </c>
      <c r="C103" t="inlineStr">
        <is>
          <t>Aaron Pierre</t>
        </is>
      </c>
      <c r="D103" t="inlineStr">
        <is>
          <t>— free</t>
        </is>
      </c>
      <c r="E103">
        <f>'Actor'!M7</f>
        <v/>
      </c>
      <c r="F103">
        <f>'Actor'!N7</f>
        <v/>
      </c>
      <c r="G103">
        <f>'Actor'!O7</f>
        <v/>
      </c>
      <c r="H103" t="n">
        <v>1</v>
      </c>
      <c r="J103" t="inlineStr">
        <is>
          <t>Starfighter (May 28); Man of Tomorrow (Jul 9)</t>
        </is>
      </c>
      <c r="K103" t="inlineStr">
        <is>
          <t>C</t>
        </is>
      </c>
      <c r="L103" t="inlineStr">
        <is>
          <t>Wikipedia 'List of American films of 2027' casts (Actions-runner pull 2026-10-08) x comp-based box office/RT estimates; cast lists are billed leads only (cameos not captured)</t>
        </is>
      </c>
      <c r="M103" t="inlineStr">
        <is>
          <t>2026-10-08</t>
        </is>
      </c>
      <c r="N103" t="inlineStr">
        <is>
          <t>TARGET LATE: value the field undervalues</t>
        </is>
      </c>
      <c r="O103">
        <f>'Actor'!Y7</f>
        <v/>
      </c>
    </row>
    <row r="104">
      <c r="A104" t="n">
        <v>103</v>
      </c>
      <c r="B104" t="inlineStr">
        <is>
          <t>Actress</t>
        </is>
      </c>
      <c r="C104" t="inlineStr">
        <is>
          <t>Lauren Vélez</t>
        </is>
      </c>
      <c r="D104" t="inlineStr">
        <is>
          <t>— free</t>
        </is>
      </c>
      <c r="E104">
        <f>'Actress'!M9</f>
        <v/>
      </c>
      <c r="F104">
        <f>'Actress'!N9</f>
        <v/>
      </c>
      <c r="G104">
        <f>'Actress'!O9</f>
        <v/>
      </c>
      <c r="H104" t="n">
        <v>2</v>
      </c>
      <c r="J104" t="inlineStr">
        <is>
          <t>Spider-Man: Beyond the Spider-Verse (Jun 18)</t>
        </is>
      </c>
      <c r="K104" t="inlineStr">
        <is>
          <t>C</t>
        </is>
      </c>
      <c r="L104" t="inlineStr">
        <is>
          <t>Wikipedia 'List of American films of 2027' casts (Actions-runner pull 2026-10-08) x comp-based box office/RT estimates; cast lists are billed leads only (cameos not captured)</t>
        </is>
      </c>
      <c r="M104" t="inlineStr">
        <is>
          <t>2026-10-08</t>
        </is>
      </c>
      <c r="N104" t="inlineStr">
        <is>
          <t>TARGET LATE: value the field undervalues</t>
        </is>
      </c>
      <c r="O104">
        <f>'Actress'!Y9</f>
        <v/>
      </c>
    </row>
    <row r="105">
      <c r="A105" t="n">
        <v>104</v>
      </c>
      <c r="B105" t="inlineStr">
        <is>
          <t>Musician</t>
        </is>
      </c>
      <c r="C105" t="inlineStr">
        <is>
          <t>Harry Styles</t>
        </is>
      </c>
      <c r="D105" t="inlineStr">
        <is>
          <t>— free</t>
        </is>
      </c>
      <c r="E105">
        <f>'Musician'!M11</f>
        <v/>
      </c>
      <c r="F105">
        <f>'Musician'!N11</f>
        <v/>
      </c>
      <c r="G105">
        <f>'Musician'!O11</f>
        <v/>
      </c>
      <c r="H105" t="n">
        <v>2</v>
      </c>
      <c r="I105" t="inlineStr">
        <is>
          <t>Grammy EV 3.5 (raw 3.5, P(cap) 1%)</t>
        </is>
      </c>
      <c r="J105" t="inlineStr">
        <is>
          <t>2026 raw 6; charting now: none charting; carry-over 0.0 + new hits 8.9 (lambda 1.10, P(~0) 33%)</t>
        </is>
      </c>
      <c r="K105" t="inlineStr">
        <is>
          <t>C</t>
        </is>
      </c>
      <c r="L105" t="inlineStr">
        <is>
          <t>2027 Hot 100 baseline = my estimate; Grammy: Kalshi KXGRAM*-69 prices (A) + estimates for other categories (C)</t>
        </is>
      </c>
      <c r="M105" t="inlineStr">
        <is>
          <t>2026-10-08</t>
        </is>
      </c>
      <c r="N105" t="inlineStr">
        <is>
          <t>Good but the field reaches for it: let it come to you</t>
        </is>
      </c>
      <c r="O105">
        <f>'Musician'!Y11</f>
        <v/>
      </c>
    </row>
    <row r="106">
      <c r="A106" t="n">
        <v>105</v>
      </c>
      <c r="B106" t="inlineStr">
        <is>
          <t>Stock</t>
        </is>
      </c>
      <c r="C106" t="inlineStr">
        <is>
          <t>RKLB (Long)</t>
        </is>
      </c>
      <c r="D106" t="inlineStr">
        <is>
          <t>— free</t>
        </is>
      </c>
      <c r="E106">
        <f>'Stock'!M11</f>
        <v/>
      </c>
      <c r="F106">
        <f>'Stock'!N11</f>
        <v/>
      </c>
      <c r="G106">
        <f>'Stock'!O11</f>
        <v/>
      </c>
      <c r="H106" t="n">
        <v>2</v>
      </c>
      <c r="J106" t="inlineStr">
        <is>
          <t>Neutron first launch</t>
        </is>
      </c>
      <c r="K106" t="inlineStr">
        <is>
          <t>C</t>
        </is>
      </c>
      <c r="L106" t="inlineStr">
        <is>
          <t>my estimate: sector view + typical vol; no price data pulled (verify quotes before drafting)</t>
        </is>
      </c>
      <c r="M106" t="inlineStr">
        <is>
          <t>2026-10-08</t>
        </is>
      </c>
      <c r="N106" t="inlineStr">
        <is>
          <t>coin flip: take last, no edge</t>
        </is>
      </c>
      <c r="O106">
        <f>'Stock'!Y11</f>
        <v/>
      </c>
    </row>
    <row r="107">
      <c r="A107" t="n">
        <v>106</v>
      </c>
      <c r="B107" t="inlineStr">
        <is>
          <t>Stock</t>
        </is>
      </c>
      <c r="C107" t="inlineStr">
        <is>
          <t>HOOD (Long)</t>
        </is>
      </c>
      <c r="D107" t="inlineStr">
        <is>
          <t>— free</t>
        </is>
      </c>
      <c r="E107">
        <f>'Stock'!M12</f>
        <v/>
      </c>
      <c r="F107">
        <f>'Stock'!N12</f>
        <v/>
      </c>
      <c r="G107">
        <f>'Stock'!O12</f>
        <v/>
      </c>
      <c r="H107" t="n">
        <v>3</v>
      </c>
      <c r="J107" t="inlineStr">
        <is>
          <t>crypto/retail volumes</t>
        </is>
      </c>
      <c r="K107" t="inlineStr">
        <is>
          <t>C</t>
        </is>
      </c>
      <c r="L107" t="inlineStr">
        <is>
          <t>my estimate: sector view + typical vol; no price data pulled (verify quotes before drafting)</t>
        </is>
      </c>
      <c r="M107" t="inlineStr">
        <is>
          <t>2026-10-08</t>
        </is>
      </c>
      <c r="N107" t="inlineStr">
        <is>
          <t>coin flip: take last, no edge</t>
        </is>
      </c>
      <c r="O107">
        <f>'Stock'!Y12</f>
        <v/>
      </c>
    </row>
    <row r="108">
      <c r="A108" t="n">
        <v>107</v>
      </c>
      <c r="B108" t="inlineStr">
        <is>
          <t>Stock</t>
        </is>
      </c>
      <c r="C108" t="inlineStr">
        <is>
          <t>TSLA (Long)</t>
        </is>
      </c>
      <c r="D108" t="inlineStr">
        <is>
          <t>— free</t>
        </is>
      </c>
      <c r="E108">
        <f>'Stock'!M13</f>
        <v/>
      </c>
      <c r="F108">
        <f>'Stock'!N13</f>
        <v/>
      </c>
      <c r="G108">
        <f>'Stock'!O13</f>
        <v/>
      </c>
      <c r="H108" t="n">
        <v>3</v>
      </c>
      <c r="J108" t="inlineStr">
        <is>
          <t>robotaxi/Optimus narrative</t>
        </is>
      </c>
      <c r="K108" t="inlineStr">
        <is>
          <t>C</t>
        </is>
      </c>
      <c r="L108" t="inlineStr">
        <is>
          <t>my estimate: sector view + typical vol; no price data pulled (verify quotes before drafting)</t>
        </is>
      </c>
      <c r="M108" t="inlineStr">
        <is>
          <t>2026-10-08</t>
        </is>
      </c>
      <c r="N108" t="inlineStr">
        <is>
          <t>coin flip: take last, no edge</t>
        </is>
      </c>
      <c r="O108">
        <f>'Stock'!Y13</f>
        <v/>
      </c>
    </row>
    <row r="109">
      <c r="A109" t="n">
        <v>108</v>
      </c>
      <c r="B109" t="inlineStr">
        <is>
          <t>Stock</t>
        </is>
      </c>
      <c r="C109" t="inlineStr">
        <is>
          <t>SOFI (Long)</t>
        </is>
      </c>
      <c r="D109" s="16" t="inlineStr">
        <is>
          <t>Jens</t>
        </is>
      </c>
      <c r="E109">
        <f>'Stock'!M14</f>
        <v/>
      </c>
      <c r="F109">
        <f>'Stock'!N14</f>
        <v/>
      </c>
      <c r="G109">
        <f>'Stock'!O14</f>
        <v/>
      </c>
      <c r="H109" t="n">
        <v>3</v>
      </c>
      <c r="J109" t="inlineStr">
        <is>
          <t>owned; no price data pulled</t>
        </is>
      </c>
      <c r="K109" t="inlineStr">
        <is>
          <t>C</t>
        </is>
      </c>
      <c r="L109" t="inlineStr">
        <is>
          <t>added because a league member currently owns this pick (draft_picks_2026.py); not in the first-pass pool, so figures are placeholders (conf C)</t>
        </is>
      </c>
      <c r="M109" t="inlineStr">
        <is>
          <t>2026-10-08</t>
        </is>
      </c>
      <c r="N109" t="inlineStr">
        <is>
          <t>coin flip: take last, no edge</t>
        </is>
      </c>
      <c r="O109">
        <f>'Stock'!Y14</f>
        <v/>
      </c>
    </row>
    <row r="110">
      <c r="A110" t="n">
        <v>109</v>
      </c>
      <c r="B110" t="inlineStr">
        <is>
          <t>Stock</t>
        </is>
      </c>
      <c r="C110" t="inlineStr">
        <is>
          <t>IONQ (Long)</t>
        </is>
      </c>
      <c r="D110" t="inlineStr">
        <is>
          <t>— free</t>
        </is>
      </c>
      <c r="E110">
        <f>'Stock'!M15</f>
        <v/>
      </c>
      <c r="F110">
        <f>'Stock'!N15</f>
        <v/>
      </c>
      <c r="G110">
        <f>'Stock'!O15</f>
        <v/>
      </c>
      <c r="H110" t="n">
        <v>3</v>
      </c>
      <c r="J110" t="inlineStr">
        <is>
          <t>quantum lottery</t>
        </is>
      </c>
      <c r="K110" t="inlineStr">
        <is>
          <t>C</t>
        </is>
      </c>
      <c r="L110" t="inlineStr">
        <is>
          <t>my estimate: sector view + typical vol; no price data pulled (verify quotes before drafting)</t>
        </is>
      </c>
      <c r="M110" t="inlineStr">
        <is>
          <t>2026-10-08</t>
        </is>
      </c>
      <c r="N110" t="inlineStr">
        <is>
          <t>coin flip: take last, no edge</t>
        </is>
      </c>
      <c r="O110">
        <f>'Stock'!Y15</f>
        <v/>
      </c>
    </row>
    <row r="111">
      <c r="A111" t="n">
        <v>110</v>
      </c>
      <c r="B111" t="inlineStr">
        <is>
          <t>MLS</t>
        </is>
      </c>
      <c r="C111" t="inlineStr">
        <is>
          <t>Los Angeles FC</t>
        </is>
      </c>
      <c r="D111" s="16" t="inlineStr">
        <is>
          <t>Buckley</t>
        </is>
      </c>
      <c r="E111">
        <f>'MLS'!M12</f>
        <v/>
      </c>
      <c r="F111">
        <f>'MLS'!N12</f>
        <v/>
      </c>
      <c r="G111">
        <f>'MLS'!O12</f>
        <v/>
      </c>
      <c r="H111" t="n">
        <v>3</v>
      </c>
      <c r="I111" t="inlineStr">
        <is>
          <t>2026 Cup: Kalshi 5.5%</t>
        </is>
      </c>
      <c r="J111" t="inlineStr">
        <is>
          <t>2026: 41 pts (as of 10-08; season ends Nov 7)</t>
        </is>
      </c>
      <c r="K111" t="inlineStr">
        <is>
          <t>C</t>
        </is>
      </c>
      <c r="L111" t="inlineStr">
        <is>
          <t>2026 points (league standings, A) + Kalshi KXMLSCUP-26 price as strength proxy, shrunk 50% toward the field</t>
        </is>
      </c>
      <c r="M111" t="inlineStr">
        <is>
          <t>2026-10-08</t>
        </is>
      </c>
      <c r="N111" t="inlineStr">
        <is>
          <t>low confidence: far-out event</t>
        </is>
      </c>
      <c r="O111">
        <f>'MLS'!Y12</f>
        <v/>
      </c>
    </row>
    <row r="112">
      <c r="A112" t="n">
        <v>111</v>
      </c>
      <c r="B112" t="inlineStr">
        <is>
          <t>Musician</t>
        </is>
      </c>
      <c r="C112" t="inlineStr">
        <is>
          <t>Ariana Grande</t>
        </is>
      </c>
      <c r="D112" t="inlineStr">
        <is>
          <t>— free</t>
        </is>
      </c>
      <c r="E112">
        <f>'Musician'!M12</f>
        <v/>
      </c>
      <c r="F112">
        <f>'Musician'!N12</f>
        <v/>
      </c>
      <c r="G112">
        <f>'Musician'!O12</f>
        <v/>
      </c>
      <c r="H112" t="n">
        <v>3</v>
      </c>
      <c r="I112" t="inlineStr">
        <is>
          <t>Grammy EV 2.7 (raw 2.7, P(cap) 0%)</t>
        </is>
      </c>
      <c r="J112" t="inlineStr">
        <is>
          <t>2026 raw 24; charting now: Hate That I Made You Love Me (#7); carry-over 3.1 + new hits 9.0 (lambda 1.10, P(~0) 23%)</t>
        </is>
      </c>
      <c r="K112" t="inlineStr">
        <is>
          <t>C</t>
        </is>
      </c>
      <c r="L112" t="inlineStr">
        <is>
          <t>2027 Hot 100 baseline = my estimate; Grammy: Kalshi KXGRAM*-69 prices (A) + estimates for other categories (C)</t>
        </is>
      </c>
      <c r="M112" t="inlineStr">
        <is>
          <t>2026-10-08</t>
        </is>
      </c>
      <c r="N112" t="inlineStr">
        <is>
          <t>late filler</t>
        </is>
      </c>
      <c r="O112">
        <f>'Musician'!Y12</f>
        <v/>
      </c>
    </row>
    <row r="113">
      <c r="A113" t="n">
        <v>112</v>
      </c>
      <c r="B113" t="inlineStr">
        <is>
          <t>Stock</t>
        </is>
      </c>
      <c r="C113" t="inlineStr">
        <is>
          <t>MSTR (Short)</t>
        </is>
      </c>
      <c r="D113" t="inlineStr">
        <is>
          <t>— free</t>
        </is>
      </c>
      <c r="E113">
        <f>'Stock'!M16</f>
        <v/>
      </c>
      <c r="F113">
        <f>'Stock'!N16</f>
        <v/>
      </c>
      <c r="G113">
        <f>'Stock'!O16</f>
        <v/>
      </c>
      <c r="H113" t="n">
        <v>3</v>
      </c>
      <c r="J113" t="inlineStr">
        <is>
          <t>huge variance both ways</t>
        </is>
      </c>
      <c r="K113" t="inlineStr">
        <is>
          <t>C</t>
        </is>
      </c>
      <c r="L113" t="inlineStr">
        <is>
          <t>my estimate: sector view + typical vol; no price data pulled (verify quotes before drafting)</t>
        </is>
      </c>
      <c r="M113" t="inlineStr">
        <is>
          <t>2026-10-08</t>
        </is>
      </c>
      <c r="N113" t="inlineStr">
        <is>
          <t>coin flip: take last, no edge</t>
        </is>
      </c>
      <c r="O113">
        <f>'Stock'!Y16</f>
        <v/>
      </c>
    </row>
    <row r="114">
      <c r="A114" t="n">
        <v>113</v>
      </c>
      <c r="B114" t="inlineStr">
        <is>
          <t>Stock</t>
        </is>
      </c>
      <c r="C114" t="inlineStr">
        <is>
          <t>CRWV (Long)</t>
        </is>
      </c>
      <c r="D114" t="inlineStr">
        <is>
          <t>— free</t>
        </is>
      </c>
      <c r="E114">
        <f>'Stock'!M17</f>
        <v/>
      </c>
      <c r="F114">
        <f>'Stock'!N17</f>
        <v/>
      </c>
      <c r="G114">
        <f>'Stock'!O17</f>
        <v/>
      </c>
      <c r="H114" t="n">
        <v>3</v>
      </c>
      <c r="J114" t="inlineStr">
        <is>
          <t>neocloud; leverage</t>
        </is>
      </c>
      <c r="K114" t="inlineStr">
        <is>
          <t>C</t>
        </is>
      </c>
      <c r="L114" t="inlineStr">
        <is>
          <t>my estimate: sector view + typical vol; no price data pulled (verify quotes before drafting)</t>
        </is>
      </c>
      <c r="M114" t="inlineStr">
        <is>
          <t>2026-10-08</t>
        </is>
      </c>
      <c r="N114" t="inlineStr">
        <is>
          <t>coin flip: take last, no edge</t>
        </is>
      </c>
      <c r="O114">
        <f>'Stock'!Y17</f>
        <v/>
      </c>
    </row>
    <row r="115">
      <c r="A115" t="n">
        <v>114</v>
      </c>
      <c r="B115" t="inlineStr">
        <is>
          <t>Stock</t>
        </is>
      </c>
      <c r="C115" t="inlineStr">
        <is>
          <t>CVNA (Short)</t>
        </is>
      </c>
      <c r="D115" s="16" t="inlineStr">
        <is>
          <t>Mitchell</t>
        </is>
      </c>
      <c r="E115">
        <f>'Stock'!M18</f>
        <v/>
      </c>
      <c r="F115">
        <f>'Stock'!N18</f>
        <v/>
      </c>
      <c r="G115">
        <f>'Stock'!O18</f>
        <v/>
      </c>
      <c r="H115" t="n">
        <v>4</v>
      </c>
      <c r="J115" t="inlineStr">
        <is>
          <t>owned; no price data pulled</t>
        </is>
      </c>
      <c r="K115" t="inlineStr">
        <is>
          <t>C</t>
        </is>
      </c>
      <c r="L115" t="inlineStr">
        <is>
          <t>added because a league member currently owns this pick (draft_picks_2026.py); not in the first-pass pool, so figures are placeholders (conf C)</t>
        </is>
      </c>
      <c r="M115" t="inlineStr">
        <is>
          <t>2026-10-08</t>
        </is>
      </c>
      <c r="N115" t="inlineStr">
        <is>
          <t>coin flip: take last, no edge</t>
        </is>
      </c>
      <c r="O115">
        <f>'Stock'!Y18</f>
        <v/>
      </c>
    </row>
    <row r="116">
      <c r="A116" t="n">
        <v>115</v>
      </c>
      <c r="B116" t="inlineStr">
        <is>
          <t>Stock</t>
        </is>
      </c>
      <c r="C116" t="inlineStr">
        <is>
          <t>LULU (Long)</t>
        </is>
      </c>
      <c r="D116" s="16" t="inlineStr">
        <is>
          <t>Wu</t>
        </is>
      </c>
      <c r="E116">
        <f>'Stock'!M19</f>
        <v/>
      </c>
      <c r="F116">
        <f>'Stock'!N19</f>
        <v/>
      </c>
      <c r="G116">
        <f>'Stock'!O19</f>
        <v/>
      </c>
      <c r="H116" t="n">
        <v>4</v>
      </c>
      <c r="J116" t="inlineStr">
        <is>
          <t>owned; no price data pulled</t>
        </is>
      </c>
      <c r="K116" t="inlineStr">
        <is>
          <t>C</t>
        </is>
      </c>
      <c r="L116" t="inlineStr">
        <is>
          <t>added because a league member currently owns this pick (draft_picks_2026.py); not in the first-pass pool, so figures are placeholders (conf C)</t>
        </is>
      </c>
      <c r="M116" t="inlineStr">
        <is>
          <t>2026-10-08</t>
        </is>
      </c>
      <c r="N116" t="inlineStr">
        <is>
          <t>coin flip: take last, no edge</t>
        </is>
      </c>
      <c r="O116">
        <f>'Stock'!Y19</f>
        <v/>
      </c>
    </row>
    <row r="117">
      <c r="A117" t="n">
        <v>116</v>
      </c>
      <c r="B117" t="inlineStr">
        <is>
          <t>Stock</t>
        </is>
      </c>
      <c r="C117" t="inlineStr">
        <is>
          <t>PLTR (Short)</t>
        </is>
      </c>
      <c r="D117" t="inlineStr">
        <is>
          <t>— free</t>
        </is>
      </c>
      <c r="E117">
        <f>'Stock'!M20</f>
        <v/>
      </c>
      <c r="F117">
        <f>'Stock'!N20</f>
        <v/>
      </c>
      <c r="G117">
        <f>'Stock'!O20</f>
        <v/>
      </c>
      <c r="H117" t="n">
        <v>4</v>
      </c>
      <c r="J117" t="inlineStr">
        <is>
          <t>valuation short; painful if momentum persists</t>
        </is>
      </c>
      <c r="K117" t="inlineStr">
        <is>
          <t>C</t>
        </is>
      </c>
      <c r="L117" t="inlineStr">
        <is>
          <t>my estimate: sector view + typical vol; no price data pulled (verify quotes before drafting)</t>
        </is>
      </c>
      <c r="M117" t="inlineStr">
        <is>
          <t>2026-10-08</t>
        </is>
      </c>
      <c r="N117" t="inlineStr">
        <is>
          <t>coin flip: take last, no edge</t>
        </is>
      </c>
      <c r="O117">
        <f>'Stock'!Y20</f>
        <v/>
      </c>
    </row>
    <row r="118">
      <c r="A118" t="n">
        <v>117</v>
      </c>
      <c r="B118" t="inlineStr">
        <is>
          <t>Actress</t>
        </is>
      </c>
      <c r="C118" t="inlineStr">
        <is>
          <t>Kimiko Glenn</t>
        </is>
      </c>
      <c r="D118" t="inlineStr">
        <is>
          <t>— free</t>
        </is>
      </c>
      <c r="E118">
        <f>'Actress'!M10</f>
        <v/>
      </c>
      <c r="F118">
        <f>'Actress'!N10</f>
        <v/>
      </c>
      <c r="G118">
        <f>'Actress'!O10</f>
        <v/>
      </c>
      <c r="H118" t="n">
        <v>2</v>
      </c>
      <c r="J118" t="inlineStr">
        <is>
          <t>Spider-Man: Beyond the Spider-Verse (Jun 18)</t>
        </is>
      </c>
      <c r="K118" t="inlineStr">
        <is>
          <t>C</t>
        </is>
      </c>
      <c r="L118" t="inlineStr">
        <is>
          <t>Wikipedia 'List of American films of 2027' casts (Actions-runner pull 2026-10-08) x comp-based box office/RT estimates; cast lists are billed leads only (cameos not captured)</t>
        </is>
      </c>
      <c r="M118" t="inlineStr">
        <is>
          <t>2026-10-08</t>
        </is>
      </c>
      <c r="N118" t="inlineStr">
        <is>
          <t>TARGET LATE: value the field undervalues</t>
        </is>
      </c>
      <c r="O118">
        <f>'Actress'!Y10</f>
        <v/>
      </c>
    </row>
    <row r="119">
      <c r="A119" t="n">
        <v>118</v>
      </c>
      <c r="B119" t="inlineStr">
        <is>
          <t>Stock</t>
        </is>
      </c>
      <c r="C119" t="inlineStr">
        <is>
          <t>OKLO (Long)</t>
        </is>
      </c>
      <c r="D119" t="inlineStr">
        <is>
          <t>— free</t>
        </is>
      </c>
      <c r="E119">
        <f>'Stock'!M21</f>
        <v/>
      </c>
      <c r="F119">
        <f>'Stock'!N21</f>
        <v/>
      </c>
      <c r="G119">
        <f>'Stock'!O21</f>
        <v/>
      </c>
      <c r="H119" t="n">
        <v>4</v>
      </c>
      <c r="J119" t="inlineStr">
        <is>
          <t>nuclear/AI power milestones</t>
        </is>
      </c>
      <c r="K119" t="inlineStr">
        <is>
          <t>C</t>
        </is>
      </c>
      <c r="L119" t="inlineStr">
        <is>
          <t>my estimate: sector view + typical vol; no price data pulled (verify quotes before drafting)</t>
        </is>
      </c>
      <c r="M119" t="inlineStr">
        <is>
          <t>2026-10-08</t>
        </is>
      </c>
      <c r="N119" t="inlineStr">
        <is>
          <t>coin flip: take last, no edge</t>
        </is>
      </c>
      <c r="O119">
        <f>'Stock'!Y21</f>
        <v/>
      </c>
    </row>
    <row r="120">
      <c r="A120" t="n">
        <v>119</v>
      </c>
      <c r="B120" t="inlineStr">
        <is>
          <t>Tennis</t>
        </is>
      </c>
      <c r="C120" t="inlineStr">
        <is>
          <t>Coco Gauff</t>
        </is>
      </c>
      <c r="D120" s="16" t="inlineStr">
        <is>
          <t>Wu</t>
        </is>
      </c>
      <c r="E120">
        <f>'Tennis'!M12</f>
        <v/>
      </c>
      <c r="F120">
        <f>'Tennis'!N12</f>
        <v/>
      </c>
      <c r="G120">
        <f>'Tennis'!O12</f>
        <v/>
      </c>
      <c r="H120" t="n">
        <v>3</v>
      </c>
      <c r="J120" t="inlineStr">
        <is>
          <t>WTA 4 (2026-10-08)</t>
        </is>
      </c>
      <c r="K120" t="inlineStr">
        <is>
          <t>C</t>
        </is>
      </c>
      <c r="L120" t="inlineStr">
        <is>
          <t>ATP rank from league standings pull (A) / WTA via Olympics.com Oct 5; AO odds VegasInsider/Johnnybet Oct 2026; probabilities = agent estimates</t>
        </is>
      </c>
      <c r="M120" t="inlineStr">
        <is>
          <t>2026-10-08</t>
        </is>
      </c>
      <c r="N120" t="inlineStr"/>
      <c r="O120">
        <f>'Tennis'!Y12</f>
        <v/>
      </c>
    </row>
    <row r="121">
      <c r="A121" t="n">
        <v>120</v>
      </c>
      <c r="B121" t="inlineStr">
        <is>
          <t>MLS</t>
        </is>
      </c>
      <c r="C121" t="inlineStr">
        <is>
          <t>Houston Dynamo FC</t>
        </is>
      </c>
      <c r="D121" t="inlineStr">
        <is>
          <t>— free</t>
        </is>
      </c>
      <c r="E121">
        <f>'MLS'!M13</f>
        <v/>
      </c>
      <c r="F121">
        <f>'MLS'!N13</f>
        <v/>
      </c>
      <c r="G121">
        <f>'MLS'!O13</f>
        <v/>
      </c>
      <c r="H121" t="n">
        <v>3</v>
      </c>
      <c r="I121" t="inlineStr">
        <is>
          <t>2026 Cup: Kalshi 3.5%</t>
        </is>
      </c>
      <c r="J121" t="inlineStr">
        <is>
          <t>2026: 44 pts (as of 10-08; season ends Nov 7)</t>
        </is>
      </c>
      <c r="K121" t="inlineStr">
        <is>
          <t>C</t>
        </is>
      </c>
      <c r="L121" t="inlineStr">
        <is>
          <t>2026 points (league standings, A) + Kalshi KXMLSCUP-26 price as strength proxy, shrunk 50% toward the field</t>
        </is>
      </c>
      <c r="M121" t="inlineStr">
        <is>
          <t>2026-10-08</t>
        </is>
      </c>
      <c r="N121" t="inlineStr">
        <is>
          <t>low confidence: far-out event</t>
        </is>
      </c>
      <c r="O121">
        <f>'MLS'!Y13</f>
        <v/>
      </c>
    </row>
    <row r="122">
      <c r="A122" t="n">
        <v>121</v>
      </c>
      <c r="B122" t="inlineStr">
        <is>
          <t>Stock</t>
        </is>
      </c>
      <c r="C122" t="inlineStr">
        <is>
          <t>NVDA (Long)</t>
        </is>
      </c>
      <c r="D122" s="16" t="inlineStr">
        <is>
          <t>Todd</t>
        </is>
      </c>
      <c r="E122">
        <f>'Stock'!M22</f>
        <v/>
      </c>
      <c r="F122">
        <f>'Stock'!N22</f>
        <v/>
      </c>
      <c r="G122">
        <f>'Stock'!O22</f>
        <v/>
      </c>
      <c r="H122" t="n">
        <v>4</v>
      </c>
      <c r="J122" t="inlineStr">
        <is>
          <t>mega-cap AI; ~$221 (Sep 1); beta ~1.7</t>
        </is>
      </c>
      <c r="K122" t="inlineStr">
        <is>
          <t>C</t>
        </is>
      </c>
      <c r="L122" t="inlineStr">
        <is>
          <t>my estimate: sector view + typical vol; no price data pulled (verify quotes before drafting)</t>
        </is>
      </c>
      <c r="M122" t="inlineStr">
        <is>
          <t>2026-10-08</t>
        </is>
      </c>
      <c r="N122" t="inlineStr">
        <is>
          <t>coin flip: take last, no edge</t>
        </is>
      </c>
      <c r="O122">
        <f>'Stock'!Y22</f>
        <v/>
      </c>
    </row>
    <row r="123">
      <c r="A123" t="n">
        <v>122</v>
      </c>
      <c r="B123" t="inlineStr">
        <is>
          <t>MLB</t>
        </is>
      </c>
      <c r="C123" t="inlineStr">
        <is>
          <t>Philadelphia Phillies</t>
        </is>
      </c>
      <c r="D123" s="16" t="inlineStr">
        <is>
          <t>Mitchell</t>
        </is>
      </c>
      <c r="E123">
        <f>'MLB'!M12</f>
        <v/>
      </c>
      <c r="F123">
        <f>'MLB'!N12</f>
        <v/>
      </c>
      <c r="G123">
        <f>'MLB'!O12</f>
        <v/>
      </c>
      <c r="H123" t="n">
        <v>3</v>
      </c>
      <c r="J123" t="inlineStr">
        <is>
          <t>2026: 88-74 (.5432)</t>
        </is>
      </c>
      <c r="K123" t="inlineStr">
        <is>
          <t>C</t>
        </is>
      </c>
      <c r="L123" t="inlineStr">
        <is>
          <t>2026 win% from league standings (A); title prob = model estimate — no 2027 World Series odds posted</t>
        </is>
      </c>
      <c r="M123" t="inlineStr">
        <is>
          <t>2026-10-08</t>
        </is>
      </c>
      <c r="N123" t="inlineStr">
        <is>
          <t>low confidence: far-out event</t>
        </is>
      </c>
      <c r="O123">
        <f>'MLB'!Y12</f>
        <v/>
      </c>
    </row>
    <row r="124">
      <c r="A124" t="n">
        <v>123</v>
      </c>
      <c r="B124" t="inlineStr">
        <is>
          <t>Stock</t>
        </is>
      </c>
      <c r="C124" t="inlineStr">
        <is>
          <t>CMG (Long)</t>
        </is>
      </c>
      <c r="D124" s="16" t="inlineStr">
        <is>
          <t>Theo</t>
        </is>
      </c>
      <c r="E124">
        <f>'Stock'!M23</f>
        <v/>
      </c>
      <c r="F124">
        <f>'Stock'!N23</f>
        <v/>
      </c>
      <c r="G124">
        <f>'Stock'!O23</f>
        <v/>
      </c>
      <c r="H124" t="n">
        <v>4</v>
      </c>
      <c r="J124" t="inlineStr">
        <is>
          <t>owned; no price data pulled</t>
        </is>
      </c>
      <c r="K124" t="inlineStr">
        <is>
          <t>C</t>
        </is>
      </c>
      <c r="L124" t="inlineStr">
        <is>
          <t>added because a league member currently owns this pick (draft_picks_2026.py); not in the first-pass pool, so figures are placeholders (conf C)</t>
        </is>
      </c>
      <c r="M124" t="inlineStr">
        <is>
          <t>2026-10-08</t>
        </is>
      </c>
      <c r="N124" t="inlineStr">
        <is>
          <t>coin flip: take last, no edge</t>
        </is>
      </c>
      <c r="O124">
        <f>'Stock'!Y23</f>
        <v/>
      </c>
    </row>
    <row r="125">
      <c r="A125" t="n">
        <v>124</v>
      </c>
      <c r="B125" t="inlineStr">
        <is>
          <t>NASCAR</t>
        </is>
      </c>
      <c r="C125" t="inlineStr">
        <is>
          <t>Chase Elliott</t>
        </is>
      </c>
      <c r="D125" s="16" t="inlineStr">
        <is>
          <t>Todd</t>
        </is>
      </c>
      <c r="E125">
        <f>'NASCAR'!M12</f>
        <v/>
      </c>
      <c r="F125">
        <f>'NASCAR'!N12</f>
        <v/>
      </c>
      <c r="G125">
        <f>'NASCAR'!O12</f>
        <v/>
      </c>
      <c r="H125" t="n">
        <v>3</v>
      </c>
      <c r="I125" t="inlineStr">
        <is>
          <t>2026 title: Kalshi 1.0%</t>
        </is>
      </c>
      <c r="J125" t="inlineStr">
        <is>
          <t>2026 Cup Series</t>
        </is>
      </c>
      <c r="K125" t="inlineStr">
        <is>
          <t>C</t>
        </is>
      </c>
      <c r="L125" t="inlineStr">
        <is>
          <t>User-supplied final Cup standings 2021-2026(proj.), recency-weighted (decay 0.65/yr, nascar_model.py) for drivers in the table; others = field prior blended with 2026 Kalshi title price (shrunk). No 2027 market exists.</t>
        </is>
      </c>
      <c r="M125" t="inlineStr">
        <is>
          <t>2026-10-08</t>
        </is>
      </c>
      <c r="N125" t="inlineStr">
        <is>
          <t>low confidence: far-out event</t>
        </is>
      </c>
      <c r="O125">
        <f>'NASCAR'!Y12</f>
        <v/>
      </c>
    </row>
    <row r="126">
      <c r="A126" t="n">
        <v>125</v>
      </c>
      <c r="B126" t="inlineStr">
        <is>
          <t>Stock</t>
        </is>
      </c>
      <c r="C126" t="inlineStr">
        <is>
          <t>CRCL (Long)</t>
        </is>
      </c>
      <c r="D126" t="inlineStr">
        <is>
          <t>— free</t>
        </is>
      </c>
      <c r="E126">
        <f>'Stock'!M24</f>
        <v/>
      </c>
      <c r="F126">
        <f>'Stock'!N24</f>
        <v/>
      </c>
      <c r="G126">
        <f>'Stock'!O24</f>
        <v/>
      </c>
      <c r="H126" t="n">
        <v>4</v>
      </c>
      <c r="J126" t="inlineStr">
        <is>
          <t>stablecoin; rate-cut sensitivity</t>
        </is>
      </c>
      <c r="K126" t="inlineStr">
        <is>
          <t>C</t>
        </is>
      </c>
      <c r="L126" t="inlineStr">
        <is>
          <t>my estimate: sector view + typical vol; no price data pulled (verify quotes before drafting)</t>
        </is>
      </c>
      <c r="M126" t="inlineStr">
        <is>
          <t>2026-10-08</t>
        </is>
      </c>
      <c r="N126" t="inlineStr">
        <is>
          <t>coin flip: take last, no edge</t>
        </is>
      </c>
      <c r="O126">
        <f>'Stock'!Y24</f>
        <v/>
      </c>
    </row>
    <row r="127">
      <c r="A127" t="n">
        <v>126</v>
      </c>
      <c r="B127" t="inlineStr">
        <is>
          <t>Stock</t>
        </is>
      </c>
      <c r="C127" t="inlineStr">
        <is>
          <t>UNH (Long)</t>
        </is>
      </c>
      <c r="D127" t="inlineStr">
        <is>
          <t>— free</t>
        </is>
      </c>
      <c r="E127">
        <f>'Stock'!M25</f>
        <v/>
      </c>
      <c r="F127">
        <f>'Stock'!N25</f>
        <v/>
      </c>
      <c r="G127">
        <f>'Stock'!O25</f>
        <v/>
      </c>
      <c r="H127" t="n">
        <v>4</v>
      </c>
      <c r="J127" t="inlineStr">
        <is>
          <t>turnaround</t>
        </is>
      </c>
      <c r="K127" t="inlineStr">
        <is>
          <t>C</t>
        </is>
      </c>
      <c r="L127" t="inlineStr">
        <is>
          <t>my estimate: sector view + typical vol; no price data pulled (verify quotes before drafting)</t>
        </is>
      </c>
      <c r="M127" t="inlineStr">
        <is>
          <t>2026-10-08</t>
        </is>
      </c>
      <c r="N127" t="inlineStr">
        <is>
          <t>coin flip: take last, no edge</t>
        </is>
      </c>
      <c r="O127">
        <f>'Stock'!Y25</f>
        <v/>
      </c>
    </row>
    <row r="128">
      <c r="A128" t="n">
        <v>127</v>
      </c>
      <c r="B128" t="inlineStr">
        <is>
          <t>Stock</t>
        </is>
      </c>
      <c r="C128" t="inlineStr">
        <is>
          <t>INTC (Long)</t>
        </is>
      </c>
      <c r="D128" s="16" t="inlineStr">
        <is>
          <t>Jamzee</t>
        </is>
      </c>
      <c r="E128">
        <f>'Stock'!M26</f>
        <v/>
      </c>
      <c r="F128">
        <f>'Stock'!N26</f>
        <v/>
      </c>
      <c r="G128">
        <f>'Stock'!O26</f>
        <v/>
      </c>
      <c r="H128" t="n">
        <v>4</v>
      </c>
      <c r="J128" t="inlineStr">
        <is>
          <t>foundry / 14A news; +187% in 2026 already</t>
        </is>
      </c>
      <c r="K128" t="inlineStr">
        <is>
          <t>C</t>
        </is>
      </c>
      <c r="L128" t="inlineStr">
        <is>
          <t>my estimate: sector view + typical vol; no price data pulled (verify quotes before drafting)</t>
        </is>
      </c>
      <c r="M128" t="inlineStr">
        <is>
          <t>2026-10-08</t>
        </is>
      </c>
      <c r="N128" t="inlineStr">
        <is>
          <t>coin flip: take last, no edge</t>
        </is>
      </c>
      <c r="O128">
        <f>'Stock'!Y26</f>
        <v/>
      </c>
    </row>
    <row r="129">
      <c r="A129" t="n">
        <v>128</v>
      </c>
      <c r="B129" t="inlineStr">
        <is>
          <t>Stock</t>
        </is>
      </c>
      <c r="C129" t="inlineStr">
        <is>
          <t>PLTR (Long)</t>
        </is>
      </c>
      <c r="D129" s="16" t="inlineStr">
        <is>
          <t>Feder</t>
        </is>
      </c>
      <c r="E129">
        <f>'Stock'!M27</f>
        <v/>
      </c>
      <c r="F129">
        <f>'Stock'!N27</f>
        <v/>
      </c>
      <c r="G129">
        <f>'Stock'!O27</f>
        <v/>
      </c>
      <c r="H129" t="n">
        <v>4</v>
      </c>
      <c r="J129" t="inlineStr">
        <is>
          <t>momentum; valuation risk</t>
        </is>
      </c>
      <c r="K129" t="inlineStr">
        <is>
          <t>C</t>
        </is>
      </c>
      <c r="L129" t="inlineStr">
        <is>
          <t>my estimate: sector view + typical vol; no price data pulled (verify quotes before drafting)</t>
        </is>
      </c>
      <c r="M129" t="inlineStr">
        <is>
          <t>2026-10-08</t>
        </is>
      </c>
      <c r="N129" t="inlineStr">
        <is>
          <t>coin flip: take last, no edge</t>
        </is>
      </c>
      <c r="O129">
        <f>'Stock'!Y27</f>
        <v/>
      </c>
    </row>
    <row r="130">
      <c r="A130" t="n">
        <v>129</v>
      </c>
      <c r="B130" t="inlineStr">
        <is>
          <t>Stock</t>
        </is>
      </c>
      <c r="C130" t="inlineStr">
        <is>
          <t>MU (Long)</t>
        </is>
      </c>
      <c r="D130" t="inlineStr">
        <is>
          <t>— free</t>
        </is>
      </c>
      <c r="E130">
        <f>'Stock'!M28</f>
        <v/>
      </c>
      <c r="F130">
        <f>'Stock'!N28</f>
        <v/>
      </c>
      <c r="G130">
        <f>'Stock'!O28</f>
        <v/>
      </c>
      <c r="H130" t="n">
        <v>4</v>
      </c>
      <c r="J130" t="inlineStr">
        <is>
          <t>HBM4; memory-cycle peak risk</t>
        </is>
      </c>
      <c r="K130" t="inlineStr">
        <is>
          <t>C</t>
        </is>
      </c>
      <c r="L130" t="inlineStr">
        <is>
          <t>my estimate: sector view + typical vol; no price data pulled (verify quotes before drafting)</t>
        </is>
      </c>
      <c r="M130" t="inlineStr">
        <is>
          <t>2026-10-08</t>
        </is>
      </c>
      <c r="N130" t="inlineStr">
        <is>
          <t>coin flip: take last, no edge</t>
        </is>
      </c>
      <c r="O130">
        <f>'Stock'!Y28</f>
        <v/>
      </c>
    </row>
    <row r="131">
      <c r="A131" t="n">
        <v>130</v>
      </c>
      <c r="B131" t="inlineStr">
        <is>
          <t>MLS</t>
        </is>
      </c>
      <c r="C131" t="inlineStr">
        <is>
          <t>San Jose Earthquakes</t>
        </is>
      </c>
      <c r="D131" t="inlineStr">
        <is>
          <t>— free</t>
        </is>
      </c>
      <c r="E131">
        <f>'MLS'!M14</f>
        <v/>
      </c>
      <c r="F131">
        <f>'MLS'!N14</f>
        <v/>
      </c>
      <c r="G131">
        <f>'MLS'!O14</f>
        <v/>
      </c>
      <c r="H131" t="n">
        <v>3</v>
      </c>
      <c r="I131" t="inlineStr">
        <is>
          <t>2026 Cup: Kalshi 2.5%</t>
        </is>
      </c>
      <c r="J131" t="inlineStr">
        <is>
          <t>2026: 45 pts (as of 10-08; season ends Nov 7)</t>
        </is>
      </c>
      <c r="K131" t="inlineStr">
        <is>
          <t>C</t>
        </is>
      </c>
      <c r="L131" t="inlineStr">
        <is>
          <t>2026 points (league standings, A) + Kalshi KXMLSCUP-26 price as strength proxy, shrunk 50% toward the field</t>
        </is>
      </c>
      <c r="M131" t="inlineStr">
        <is>
          <t>2026-10-08</t>
        </is>
      </c>
      <c r="N131" t="inlineStr">
        <is>
          <t>low confidence: far-out event</t>
        </is>
      </c>
      <c r="O131">
        <f>'MLS'!Y14</f>
        <v/>
      </c>
    </row>
    <row r="132">
      <c r="A132" t="n">
        <v>131</v>
      </c>
      <c r="B132" t="inlineStr">
        <is>
          <t>Stock</t>
        </is>
      </c>
      <c r="C132" t="inlineStr">
        <is>
          <t>AVGO (Long)</t>
        </is>
      </c>
      <c r="D132" s="16" t="inlineStr">
        <is>
          <t>Fryar</t>
        </is>
      </c>
      <c r="E132">
        <f>'Stock'!M29</f>
        <v/>
      </c>
      <c r="F132">
        <f>'Stock'!N29</f>
        <v/>
      </c>
      <c r="G132">
        <f>'Stock'!O29</f>
        <v/>
      </c>
      <c r="H132" t="n">
        <v>4</v>
      </c>
      <c r="J132" t="inlineStr">
        <is>
          <t>custom ASIC demand</t>
        </is>
      </c>
      <c r="K132" t="inlineStr">
        <is>
          <t>C</t>
        </is>
      </c>
      <c r="L132" t="inlineStr">
        <is>
          <t>my estimate: sector view + typical vol; no price data pulled (verify quotes before drafting)</t>
        </is>
      </c>
      <c r="M132" t="inlineStr">
        <is>
          <t>2026-10-08</t>
        </is>
      </c>
      <c r="N132" t="inlineStr">
        <is>
          <t>coin flip: take last, no edge</t>
        </is>
      </c>
      <c r="O132">
        <f>'Stock'!Y29</f>
        <v/>
      </c>
    </row>
    <row r="133">
      <c r="A133" t="n">
        <v>132</v>
      </c>
      <c r="B133" t="inlineStr">
        <is>
          <t>NBA</t>
        </is>
      </c>
      <c r="C133" t="inlineStr">
        <is>
          <t>Denver Nuggets</t>
        </is>
      </c>
      <c r="D133" s="16" t="inlineStr">
        <is>
          <t>Tim</t>
        </is>
      </c>
      <c r="E133">
        <f>'NBA'!M15</f>
        <v/>
      </c>
      <c r="F133">
        <f>'NBA'!N15</f>
        <v/>
      </c>
      <c r="G133">
        <f>'NBA'!O15</f>
        <v/>
      </c>
      <c r="H133" t="n">
        <v>3</v>
      </c>
      <c r="I133" t="inlineStr">
        <is>
          <t>Kalshi 2.5%</t>
        </is>
      </c>
      <c r="J133" t="inlineStr">
        <is>
          <t>West; win total 49.5</t>
        </is>
      </c>
      <c r="K133" t="inlineStr">
        <is>
          <t>A</t>
        </is>
      </c>
      <c r="L133" t="inlineStr">
        <is>
          <t>KXNBA-27 exchange mid-price, pulled 2026-10-08; p(final)=KXNBAEAST/KXNBAWEST-27 Kalshi mid | league_sim.py: full-schedule + real playoff bracket Monte Carlo, ratings fitted to Kalshi</t>
        </is>
      </c>
      <c r="M133" t="inlineStr">
        <is>
          <t>2026-10-08</t>
        </is>
      </c>
      <c r="N133" t="inlineStr"/>
      <c r="O133">
        <f>'NBA'!Y15</f>
        <v/>
      </c>
    </row>
    <row r="134">
      <c r="A134" t="n">
        <v>133</v>
      </c>
      <c r="B134" t="inlineStr">
        <is>
          <t>Stock</t>
        </is>
      </c>
      <c r="C134" t="inlineStr">
        <is>
          <t>NEE (Long)</t>
        </is>
      </c>
      <c r="D134" s="16" t="inlineStr">
        <is>
          <t>Buckley</t>
        </is>
      </c>
      <c r="E134">
        <f>'Stock'!M30</f>
        <v/>
      </c>
      <c r="F134">
        <f>'Stock'!N30</f>
        <v/>
      </c>
      <c r="G134">
        <f>'Stock'!O30</f>
        <v/>
      </c>
      <c r="H134" t="n">
        <v>4</v>
      </c>
      <c r="J134" t="inlineStr">
        <is>
          <t>owned; no price data pulled</t>
        </is>
      </c>
      <c r="K134" t="inlineStr">
        <is>
          <t>C</t>
        </is>
      </c>
      <c r="L134" t="inlineStr">
        <is>
          <t>added because a league member currently owns this pick (draft_picks_2026.py); not in the first-pass pool, so figures are placeholders (conf C)</t>
        </is>
      </c>
      <c r="M134" t="inlineStr">
        <is>
          <t>2026-10-08</t>
        </is>
      </c>
      <c r="N134" t="inlineStr">
        <is>
          <t>coin flip: take last, no edge</t>
        </is>
      </c>
      <c r="O134">
        <f>'Stock'!Y30</f>
        <v/>
      </c>
    </row>
    <row r="135">
      <c r="A135" t="n">
        <v>134</v>
      </c>
      <c r="B135" t="inlineStr">
        <is>
          <t>Actress</t>
        </is>
      </c>
      <c r="C135" t="inlineStr">
        <is>
          <t>Adria Arjona</t>
        </is>
      </c>
      <c r="D135" t="inlineStr">
        <is>
          <t>— free</t>
        </is>
      </c>
      <c r="E135">
        <f>'Actress'!M11</f>
        <v/>
      </c>
      <c r="F135">
        <f>'Actress'!N11</f>
        <v/>
      </c>
      <c r="G135">
        <f>'Actress'!O11</f>
        <v/>
      </c>
      <c r="H135" t="n">
        <v>2</v>
      </c>
      <c r="J135" t="inlineStr">
        <is>
          <t>Man of Tomorrow (Jul 9); The Thomas Crown Affair (Mar 5)</t>
        </is>
      </c>
      <c r="K135" t="inlineStr">
        <is>
          <t>C</t>
        </is>
      </c>
      <c r="L135" t="inlineStr">
        <is>
          <t>Wikipedia 'List of American films of 2027' casts (Actions-runner pull 2026-10-08) x comp-based box office/RT estimates; cast lists are billed leads only (cameos not captured)</t>
        </is>
      </c>
      <c r="M135" t="inlineStr">
        <is>
          <t>2026-10-08</t>
        </is>
      </c>
      <c r="N135" t="inlineStr">
        <is>
          <t>TARGET LATE: value the field undervalues</t>
        </is>
      </c>
      <c r="O135">
        <f>'Actress'!Y11</f>
        <v/>
      </c>
    </row>
    <row r="136">
      <c r="A136" t="n">
        <v>135</v>
      </c>
      <c r="B136" t="inlineStr">
        <is>
          <t>NASCAR</t>
        </is>
      </c>
      <c r="C136" t="inlineStr">
        <is>
          <t>Tyler Reddick</t>
        </is>
      </c>
      <c r="D136" s="16" t="inlineStr">
        <is>
          <t>Feder</t>
        </is>
      </c>
      <c r="E136">
        <f>'NASCAR'!M13</f>
        <v/>
      </c>
      <c r="F136">
        <f>'NASCAR'!N13</f>
        <v/>
      </c>
      <c r="G136">
        <f>'NASCAR'!O13</f>
        <v/>
      </c>
      <c r="H136" t="n">
        <v>3</v>
      </c>
      <c r="I136" t="inlineStr">
        <is>
          <t>2026 title: Kalshi 2.0%</t>
        </is>
      </c>
      <c r="J136" t="inlineStr">
        <is>
          <t>7th, -106</t>
        </is>
      </c>
      <c r="K136" t="inlineStr">
        <is>
          <t>C</t>
        </is>
      </c>
      <c r="L136" t="inlineStr">
        <is>
          <t>User-supplied final Cup standings 2021-2026(proj.), recency-weighted (decay 0.65/yr, nascar_model.py) for drivers in the table; others = field prior blended with 2026 Kalshi title price (shrunk). No 2027 market exists.</t>
        </is>
      </c>
      <c r="M136" t="inlineStr">
        <is>
          <t>2026-10-08</t>
        </is>
      </c>
      <c r="N136" t="inlineStr">
        <is>
          <t>low confidence: far-out event</t>
        </is>
      </c>
      <c r="O136">
        <f>'NASCAR'!Y13</f>
        <v/>
      </c>
    </row>
    <row r="137">
      <c r="A137" t="n">
        <v>136</v>
      </c>
      <c r="B137" t="inlineStr">
        <is>
          <t>Actor</t>
        </is>
      </c>
      <c r="C137" t="inlineStr">
        <is>
          <t>Skyler Gisondo</t>
        </is>
      </c>
      <c r="D137" t="inlineStr">
        <is>
          <t>— free</t>
        </is>
      </c>
      <c r="E137">
        <f>'Actor'!M8</f>
        <v/>
      </c>
      <c r="F137">
        <f>'Actor'!N8</f>
        <v/>
      </c>
      <c r="G137">
        <f>'Actor'!O8</f>
        <v/>
      </c>
      <c r="H137" t="n">
        <v>2</v>
      </c>
      <c r="J137" t="inlineStr">
        <is>
          <t>Man of Tomorrow (Jul 9); Shrek 5 (Jun 30)</t>
        </is>
      </c>
      <c r="K137" t="inlineStr">
        <is>
          <t>C</t>
        </is>
      </c>
      <c r="L137" t="inlineStr">
        <is>
          <t>Wikipedia 'List of American films of 2027' casts (Actions-runner pull 2026-10-08) x comp-based box office/RT estimates; cast lists are billed leads only (cameos not captured)</t>
        </is>
      </c>
      <c r="M137" t="inlineStr">
        <is>
          <t>2026-10-08</t>
        </is>
      </c>
      <c r="N137" t="inlineStr">
        <is>
          <t>Good but the field reaches for it: let it come to you</t>
        </is>
      </c>
      <c r="O137">
        <f>'Actor'!Y8</f>
        <v/>
      </c>
    </row>
    <row r="138">
      <c r="A138" t="n">
        <v>137</v>
      </c>
      <c r="B138" t="inlineStr">
        <is>
          <t>MLS</t>
        </is>
      </c>
      <c r="C138" t="inlineStr">
        <is>
          <t>Charlotte FC</t>
        </is>
      </c>
      <c r="D138" s="16" t="inlineStr">
        <is>
          <t>Tim</t>
        </is>
      </c>
      <c r="E138">
        <f>'MLS'!M15</f>
        <v/>
      </c>
      <c r="F138">
        <f>'MLS'!N15</f>
        <v/>
      </c>
      <c r="G138">
        <f>'MLS'!O15</f>
        <v/>
      </c>
      <c r="H138" t="n">
        <v>3</v>
      </c>
      <c r="I138" t="inlineStr">
        <is>
          <t>2026 Cup: Kalshi 2.5%</t>
        </is>
      </c>
      <c r="J138" t="inlineStr">
        <is>
          <t>2026: 43 pts (as of 10-08; season ends Nov 7)</t>
        </is>
      </c>
      <c r="K138" t="inlineStr">
        <is>
          <t>C</t>
        </is>
      </c>
      <c r="L138" t="inlineStr">
        <is>
          <t>2026 points (league standings, A) + Kalshi KXMLSCUP-26 price as strength proxy, shrunk 50% toward the field</t>
        </is>
      </c>
      <c r="M138" t="inlineStr">
        <is>
          <t>2026-10-08</t>
        </is>
      </c>
      <c r="N138" t="inlineStr">
        <is>
          <t>low confidence: far-out event</t>
        </is>
      </c>
      <c r="O138">
        <f>'MLS'!Y15</f>
        <v/>
      </c>
    </row>
    <row r="139">
      <c r="A139" t="n">
        <v>138</v>
      </c>
      <c r="B139" t="inlineStr">
        <is>
          <t>NHL</t>
        </is>
      </c>
      <c r="C139" t="inlineStr">
        <is>
          <t>Washington Capitals</t>
        </is>
      </c>
      <c r="D139" s="16" t="inlineStr">
        <is>
          <t>Feder</t>
        </is>
      </c>
      <c r="E139">
        <f>'NHL'!M13</f>
        <v/>
      </c>
      <c r="F139">
        <f>'NHL'!N13</f>
        <v/>
      </c>
      <c r="G139">
        <f>'NHL'!O13</f>
        <v/>
      </c>
      <c r="H139" t="n">
        <v>3</v>
      </c>
      <c r="I139" t="inlineStr">
        <is>
          <t>Kalshi 5.5%</t>
        </is>
      </c>
      <c r="J139" t="inlineStr">
        <is>
          <t>East</t>
        </is>
      </c>
      <c r="K139" t="inlineStr">
        <is>
          <t>A</t>
        </is>
      </c>
      <c r="L139" t="inlineStr">
        <is>
          <t>KXNHL-27 exchange mid-price, pulled 2026-10-08; p(final)=KXNHLEAST/KXNHLWEST-27 Kalshi mid | league_sim.py: full-schedule + real playoff bracket Monte Carlo, ratings fitted to Kalshi</t>
        </is>
      </c>
      <c r="M139" t="inlineStr">
        <is>
          <t>2026-10-08</t>
        </is>
      </c>
      <c r="N139" t="inlineStr"/>
      <c r="O139">
        <f>'NHL'!Y13</f>
        <v/>
      </c>
    </row>
    <row r="140">
      <c r="A140" t="n">
        <v>139</v>
      </c>
      <c r="B140" t="inlineStr">
        <is>
          <t>Musician</t>
        </is>
      </c>
      <c r="C140" t="inlineStr">
        <is>
          <t>Raye</t>
        </is>
      </c>
      <c r="D140" t="inlineStr">
        <is>
          <t>— free</t>
        </is>
      </c>
      <c r="E140">
        <f>'Musician'!M13</f>
        <v/>
      </c>
      <c r="F140">
        <f>'Musician'!N13</f>
        <v/>
      </c>
      <c r="G140">
        <f>'Musician'!O13</f>
        <v/>
      </c>
      <c r="H140" t="n">
        <v>3</v>
      </c>
      <c r="I140" t="inlineStr">
        <is>
          <t>Grammy EV 5.8 (raw 5.9, P(cap) 6%)</t>
        </is>
      </c>
      <c r="J140" t="inlineStr">
        <is>
          <t>2026 raw 0; charting now: none charting; carry-over 0.0 + new hits 1.2 (lambda 0.15, P(~0) 86%)</t>
        </is>
      </c>
      <c r="K140" t="inlineStr">
        <is>
          <t>C</t>
        </is>
      </c>
      <c r="L140" t="inlineStr">
        <is>
          <t>2027 Hot 100 baseline = my estimate; Grammy: Kalshi KXGRAM*-69 prices (A) + estimates for other categories (C)</t>
        </is>
      </c>
      <c r="M140" t="inlineStr">
        <is>
          <t>2026-10-08</t>
        </is>
      </c>
      <c r="N140" t="inlineStr">
        <is>
          <t>Overpriced by the field on award buzz: skip</t>
        </is>
      </c>
      <c r="O140">
        <f>'Musician'!Y13</f>
        <v/>
      </c>
    </row>
    <row r="141">
      <c r="A141" t="n">
        <v>140</v>
      </c>
      <c r="B141" t="inlineStr">
        <is>
          <t>MLS</t>
        </is>
      </c>
      <c r="C141" t="inlineStr">
        <is>
          <t>Philadelphia Union</t>
        </is>
      </c>
      <c r="D141" s="16" t="inlineStr">
        <is>
          <t>Mitchell</t>
        </is>
      </c>
      <c r="E141">
        <f>'MLS'!M16</f>
        <v/>
      </c>
      <c r="F141">
        <f>'MLS'!N16</f>
        <v/>
      </c>
      <c r="G141">
        <f>'MLS'!O16</f>
        <v/>
      </c>
      <c r="H141" t="n">
        <v>3</v>
      </c>
      <c r="I141" t="inlineStr">
        <is>
          <t>2026 Cup: Kalshi 3.5%</t>
        </is>
      </c>
      <c r="J141" t="inlineStr">
        <is>
          <t>2026: 39 pts (as of 10-08; season ends Nov 7)</t>
        </is>
      </c>
      <c r="K141" t="inlineStr">
        <is>
          <t>C</t>
        </is>
      </c>
      <c r="L141" t="inlineStr">
        <is>
          <t>2026 points (league standings, A) + Kalshi KXMLSCUP-26 price as strength proxy, shrunk 50% toward the field</t>
        </is>
      </c>
      <c r="M141" t="inlineStr">
        <is>
          <t>2026-10-08</t>
        </is>
      </c>
      <c r="N141" t="inlineStr">
        <is>
          <t>low confidence: far-out event</t>
        </is>
      </c>
      <c r="O141">
        <f>'MLS'!Y16</f>
        <v/>
      </c>
    </row>
    <row r="142">
      <c r="A142" t="n">
        <v>141</v>
      </c>
      <c r="B142" t="inlineStr">
        <is>
          <t>MLB</t>
        </is>
      </c>
      <c r="C142" t="inlineStr">
        <is>
          <t>Boston Red Sox</t>
        </is>
      </c>
      <c r="D142" t="inlineStr">
        <is>
          <t>— free</t>
        </is>
      </c>
      <c r="E142">
        <f>'MLB'!M13</f>
        <v/>
      </c>
      <c r="F142">
        <f>'MLB'!N13</f>
        <v/>
      </c>
      <c r="G142">
        <f>'MLB'!O13</f>
        <v/>
      </c>
      <c r="H142" t="n">
        <v>3</v>
      </c>
      <c r="J142" t="inlineStr">
        <is>
          <t>2026: 87-75 (.5370)</t>
        </is>
      </c>
      <c r="K142" t="inlineStr">
        <is>
          <t>C</t>
        </is>
      </c>
      <c r="L142" t="inlineStr">
        <is>
          <t>2026 win% from league standings (A); title prob = model estimate — no 2027 World Series odds posted</t>
        </is>
      </c>
      <c r="M142" t="inlineStr">
        <is>
          <t>2026-10-08</t>
        </is>
      </c>
      <c r="N142" t="inlineStr">
        <is>
          <t>low confidence: far-out event</t>
        </is>
      </c>
      <c r="O142">
        <f>'MLB'!Y13</f>
        <v/>
      </c>
    </row>
    <row r="143">
      <c r="A143" t="n">
        <v>142</v>
      </c>
      <c r="B143" t="inlineStr">
        <is>
          <t>NASCAR</t>
        </is>
      </c>
      <c r="C143" t="inlineStr">
        <is>
          <t>Shane van Gisbergen</t>
        </is>
      </c>
      <c r="D143" s="16" t="inlineStr">
        <is>
          <t>Mitchell</t>
        </is>
      </c>
      <c r="E143">
        <f>'NASCAR'!M14</f>
        <v/>
      </c>
      <c r="F143">
        <f>'NASCAR'!N14</f>
        <v/>
      </c>
      <c r="G143">
        <f>'NASCAR'!O14</f>
        <v/>
      </c>
      <c r="H143" t="n">
        <v>3</v>
      </c>
      <c r="I143" t="inlineStr">
        <is>
          <t>2026 title: Kalshi 0.5%</t>
        </is>
      </c>
      <c r="J143" t="inlineStr">
        <is>
          <t>2026 Cup Series</t>
        </is>
      </c>
      <c r="K143" t="inlineStr">
        <is>
          <t>C</t>
        </is>
      </c>
      <c r="L143" t="inlineStr">
        <is>
          <t>User-supplied final Cup standings 2021-2026(proj.), recency-weighted (decay 0.65/yr, nascar_model.py) for drivers in the table; others = field prior blended with 2026 Kalshi title price (shrunk). No 2027 market exists.</t>
        </is>
      </c>
      <c r="M143" t="inlineStr">
        <is>
          <t>2026-10-08</t>
        </is>
      </c>
      <c r="N143" t="inlineStr">
        <is>
          <t>low confidence: far-out event</t>
        </is>
      </c>
      <c r="O143">
        <f>'NASCAR'!Y14</f>
        <v/>
      </c>
    </row>
    <row r="144">
      <c r="A144" t="n">
        <v>143</v>
      </c>
      <c r="B144" t="inlineStr">
        <is>
          <t>NASCAR</t>
        </is>
      </c>
      <c r="C144" t="inlineStr">
        <is>
          <t>Michael McDowell</t>
        </is>
      </c>
      <c r="D144" t="inlineStr">
        <is>
          <t>— free</t>
        </is>
      </c>
      <c r="E144">
        <f>'NASCAR'!M15</f>
        <v/>
      </c>
      <c r="F144">
        <f>'NASCAR'!N15</f>
        <v/>
      </c>
      <c r="G144">
        <f>'NASCAR'!O15</f>
        <v/>
      </c>
      <c r="H144" t="n">
        <v>3</v>
      </c>
      <c r="I144" t="inlineStr">
        <is>
          <t>2026 title: Kalshi 0.5%</t>
        </is>
      </c>
      <c r="J144" t="inlineStr">
        <is>
          <t>2026 Cup Series</t>
        </is>
      </c>
      <c r="K144" t="inlineStr">
        <is>
          <t>C</t>
        </is>
      </c>
      <c r="L144" t="inlineStr">
        <is>
          <t>User-supplied final Cup standings 2021-2026(proj.), recency-weighted (decay 0.65/yr, nascar_model.py) for drivers in the table; others = field prior blended with 2026 Kalshi title price (shrunk). No 2027 market exists.</t>
        </is>
      </c>
      <c r="M144" t="inlineStr">
        <is>
          <t>2026-10-08</t>
        </is>
      </c>
      <c r="N144" t="inlineStr">
        <is>
          <t>low confidence: far-out event</t>
        </is>
      </c>
      <c r="O144">
        <f>'NASCAR'!Y15</f>
        <v/>
      </c>
    </row>
    <row r="145">
      <c r="A145" t="n">
        <v>144</v>
      </c>
      <c r="B145" t="inlineStr">
        <is>
          <t>NBA</t>
        </is>
      </c>
      <c r="C145" t="inlineStr">
        <is>
          <t>Houston Rockets</t>
        </is>
      </c>
      <c r="D145" s="16" t="inlineStr">
        <is>
          <t>Korch</t>
        </is>
      </c>
      <c r="E145">
        <f>'NBA'!M16</f>
        <v/>
      </c>
      <c r="F145">
        <f>'NBA'!N16</f>
        <v/>
      </c>
      <c r="G145">
        <f>'NBA'!O16</f>
        <v/>
      </c>
      <c r="H145" t="n">
        <v>3</v>
      </c>
      <c r="I145" t="inlineStr">
        <is>
          <t>Kalshi 1.5%</t>
        </is>
      </c>
      <c r="J145" t="inlineStr">
        <is>
          <t>West; win total 47.5</t>
        </is>
      </c>
      <c r="K145" t="inlineStr">
        <is>
          <t>A</t>
        </is>
      </c>
      <c r="L145" t="inlineStr">
        <is>
          <t>KXNBA-27 exchange mid-price, pulled 2026-10-08; p(final)=KXNBAEAST/KXNBAWEST-27 Kalshi mid | league_sim.py: full-schedule + real playoff bracket Monte Carlo, ratings fitted to Kalshi</t>
        </is>
      </c>
      <c r="M145" t="inlineStr">
        <is>
          <t>2026-10-08</t>
        </is>
      </c>
      <c r="N145" t="inlineStr"/>
      <c r="O145">
        <f>'NBA'!Y16</f>
        <v/>
      </c>
    </row>
    <row r="146">
      <c r="A146" t="n">
        <v>145</v>
      </c>
      <c r="B146" t="inlineStr">
        <is>
          <t>Actress</t>
        </is>
      </c>
      <c r="C146" t="inlineStr">
        <is>
          <t>Amy Adams</t>
        </is>
      </c>
      <c r="D146" t="inlineStr">
        <is>
          <t>— free</t>
        </is>
      </c>
      <c r="E146">
        <f>'Actress'!M12</f>
        <v/>
      </c>
      <c r="F146">
        <f>'Actress'!N12</f>
        <v/>
      </c>
      <c r="G146">
        <f>'Actress'!O12</f>
        <v/>
      </c>
      <c r="H146" t="n">
        <v>3</v>
      </c>
      <c r="J146" t="inlineStr">
        <is>
          <t>Starfighter (May 28)</t>
        </is>
      </c>
      <c r="K146" t="inlineStr">
        <is>
          <t>C</t>
        </is>
      </c>
      <c r="L146" t="inlineStr">
        <is>
          <t>Wikipedia 'List of American films of 2027' casts (Actions-runner pull 2026-10-08) x comp-based box office/RT estimates; cast lists are billed leads only (cameos not captured)</t>
        </is>
      </c>
      <c r="M146" t="inlineStr">
        <is>
          <t>2026-10-08</t>
        </is>
      </c>
      <c r="N146" t="inlineStr">
        <is>
          <t>late filler</t>
        </is>
      </c>
      <c r="O146">
        <f>'Actress'!Y12</f>
        <v/>
      </c>
    </row>
    <row r="147">
      <c r="A147" t="n">
        <v>146</v>
      </c>
      <c r="B147" t="inlineStr">
        <is>
          <t>NASCAR</t>
        </is>
      </c>
      <c r="C147" t="inlineStr">
        <is>
          <t>Ty Gibbs</t>
        </is>
      </c>
      <c r="D147" t="inlineStr">
        <is>
          <t>— free</t>
        </is>
      </c>
      <c r="E147">
        <f>'NASCAR'!M16</f>
        <v/>
      </c>
      <c r="F147">
        <f>'NASCAR'!N16</f>
        <v/>
      </c>
      <c r="G147">
        <f>'NASCAR'!O16</f>
        <v/>
      </c>
      <c r="H147" t="n">
        <v>3</v>
      </c>
      <c r="I147" t="inlineStr">
        <is>
          <t>2026 title: Kalshi 0.5%</t>
        </is>
      </c>
      <c r="J147" t="inlineStr">
        <is>
          <t>2026 Cup Series</t>
        </is>
      </c>
      <c r="K147" t="inlineStr">
        <is>
          <t>C</t>
        </is>
      </c>
      <c r="L147" t="inlineStr">
        <is>
          <t>User-supplied final Cup standings 2021-2026(proj.), recency-weighted (decay 0.65/yr, nascar_model.py) for drivers in the table; others = field prior blended with 2026 Kalshi title price (shrunk). No 2027 market exists.</t>
        </is>
      </c>
      <c r="M147" t="inlineStr">
        <is>
          <t>2026-10-08</t>
        </is>
      </c>
      <c r="N147" t="inlineStr">
        <is>
          <t>low confidence: far-out event</t>
        </is>
      </c>
      <c r="O147">
        <f>'NASCAR'!Y16</f>
        <v/>
      </c>
    </row>
    <row r="148">
      <c r="A148" t="n">
        <v>147</v>
      </c>
      <c r="B148" t="inlineStr">
        <is>
          <t>NASCAR</t>
        </is>
      </c>
      <c r="C148" t="inlineStr">
        <is>
          <t>AJ Allmendinger</t>
        </is>
      </c>
      <c r="D148" t="inlineStr">
        <is>
          <t>— free</t>
        </is>
      </c>
      <c r="E148">
        <f>'NASCAR'!M17</f>
        <v/>
      </c>
      <c r="F148">
        <f>'NASCAR'!N17</f>
        <v/>
      </c>
      <c r="G148">
        <f>'NASCAR'!O17</f>
        <v/>
      </c>
      <c r="H148" t="n">
        <v>3</v>
      </c>
      <c r="I148" t="inlineStr">
        <is>
          <t>2026 title: Kalshi 0.5%</t>
        </is>
      </c>
      <c r="J148" t="inlineStr">
        <is>
          <t>2026 Cup Series</t>
        </is>
      </c>
      <c r="K148" t="inlineStr">
        <is>
          <t>C</t>
        </is>
      </c>
      <c r="L148" t="inlineStr">
        <is>
          <t>User-supplied final Cup standings 2021-2026(proj.), recency-weighted (decay 0.65/yr, nascar_model.py) for drivers in the table; others = field prior blended with 2026 Kalshi title price (shrunk). No 2027 market exists.</t>
        </is>
      </c>
      <c r="M148" t="inlineStr">
        <is>
          <t>2026-10-08</t>
        </is>
      </c>
      <c r="N148" t="inlineStr">
        <is>
          <t>low confidence: far-out event</t>
        </is>
      </c>
      <c r="O148">
        <f>'NASCAR'!Y17</f>
        <v/>
      </c>
    </row>
    <row r="149">
      <c r="A149" t="n">
        <v>148</v>
      </c>
      <c r="B149" t="inlineStr">
        <is>
          <t>NASCAR</t>
        </is>
      </c>
      <c r="C149" t="inlineStr">
        <is>
          <t>Alex Bowman</t>
        </is>
      </c>
      <c r="D149" t="inlineStr">
        <is>
          <t>— free</t>
        </is>
      </c>
      <c r="E149">
        <f>'NASCAR'!M18</f>
        <v/>
      </c>
      <c r="F149">
        <f>'NASCAR'!N18</f>
        <v/>
      </c>
      <c r="G149">
        <f>'NASCAR'!O18</f>
        <v/>
      </c>
      <c r="H149" t="n">
        <v>4</v>
      </c>
      <c r="I149" t="inlineStr">
        <is>
          <t>2026 title: Kalshi 0.5%</t>
        </is>
      </c>
      <c r="J149" t="inlineStr">
        <is>
          <t>2026 Cup Series</t>
        </is>
      </c>
      <c r="K149" t="inlineStr">
        <is>
          <t>C</t>
        </is>
      </c>
      <c r="L149" t="inlineStr">
        <is>
          <t>User-supplied final Cup standings 2021-2026(proj.), recency-weighted (decay 0.65/yr, nascar_model.py) for drivers in the table; others = field prior blended with 2026 Kalshi title price (shrunk). No 2027 market exists.</t>
        </is>
      </c>
      <c r="M149" t="inlineStr">
        <is>
          <t>2026-10-08</t>
        </is>
      </c>
      <c r="N149" t="inlineStr">
        <is>
          <t>low confidence: far-out event</t>
        </is>
      </c>
      <c r="O149">
        <f>'NASCAR'!Y18</f>
        <v/>
      </c>
    </row>
    <row r="150">
      <c r="A150" t="n">
        <v>149</v>
      </c>
      <c r="B150" t="inlineStr">
        <is>
          <t>NASCAR</t>
        </is>
      </c>
      <c r="C150" t="inlineStr">
        <is>
          <t>Riley Herbst</t>
        </is>
      </c>
      <c r="D150" t="inlineStr">
        <is>
          <t>— free</t>
        </is>
      </c>
      <c r="E150">
        <f>'NASCAR'!M19</f>
        <v/>
      </c>
      <c r="F150">
        <f>'NASCAR'!N19</f>
        <v/>
      </c>
      <c r="G150">
        <f>'NASCAR'!O19</f>
        <v/>
      </c>
      <c r="H150" t="n">
        <v>4</v>
      </c>
      <c r="I150" t="inlineStr">
        <is>
          <t>2026 title: Kalshi 0.5%</t>
        </is>
      </c>
      <c r="J150" t="inlineStr">
        <is>
          <t>2026 Cup Series</t>
        </is>
      </c>
      <c r="K150" t="inlineStr">
        <is>
          <t>C</t>
        </is>
      </c>
      <c r="L150" t="inlineStr">
        <is>
          <t>User-supplied final Cup standings 2021-2026(proj.), recency-weighted (decay 0.65/yr, nascar_model.py) for drivers in the table; others = field prior blended with 2026 Kalshi title price (shrunk). No 2027 market exists.</t>
        </is>
      </c>
      <c r="M150" t="inlineStr">
        <is>
          <t>2026-10-08</t>
        </is>
      </c>
      <c r="N150" t="inlineStr">
        <is>
          <t>low confidence: far-out event</t>
        </is>
      </c>
      <c r="O150">
        <f>'NASCAR'!Y19</f>
        <v/>
      </c>
    </row>
    <row r="151">
      <c r="A151" t="n">
        <v>150</v>
      </c>
      <c r="B151" t="inlineStr">
        <is>
          <t>NASCAR</t>
        </is>
      </c>
      <c r="C151" t="inlineStr">
        <is>
          <t>Ross Chastain</t>
        </is>
      </c>
      <c r="D151" s="16" t="inlineStr">
        <is>
          <t>Buckley</t>
        </is>
      </c>
      <c r="E151">
        <f>'NASCAR'!M20</f>
        <v/>
      </c>
      <c r="F151">
        <f>'NASCAR'!N20</f>
        <v/>
      </c>
      <c r="G151">
        <f>'NASCAR'!O20</f>
        <v/>
      </c>
      <c r="H151" t="n">
        <v>4</v>
      </c>
      <c r="I151" t="inlineStr">
        <is>
          <t>2026 title: Kalshi 0.5%</t>
        </is>
      </c>
      <c r="J151" t="inlineStr">
        <is>
          <t>2026 Cup Series</t>
        </is>
      </c>
      <c r="K151" t="inlineStr">
        <is>
          <t>C</t>
        </is>
      </c>
      <c r="L151" t="inlineStr">
        <is>
          <t>User-supplied final Cup standings 2021-2026(proj.), recency-weighted (decay 0.65/yr, nascar_model.py) for drivers in the table; others = field prior blended with 2026 Kalshi title price (shrunk). No 2027 market exists.</t>
        </is>
      </c>
      <c r="M151" t="inlineStr">
        <is>
          <t>2026-10-08</t>
        </is>
      </c>
      <c r="N151" t="inlineStr">
        <is>
          <t>low confidence: far-out event</t>
        </is>
      </c>
      <c r="O151">
        <f>'NASCAR'!Y20</f>
        <v/>
      </c>
    </row>
    <row r="152">
      <c r="A152" t="n">
        <v>151</v>
      </c>
      <c r="B152" t="inlineStr">
        <is>
          <t>NASCAR</t>
        </is>
      </c>
      <c r="C152" t="inlineStr">
        <is>
          <t>Todd Gilliland</t>
        </is>
      </c>
      <c r="D152" t="inlineStr">
        <is>
          <t>— free</t>
        </is>
      </c>
      <c r="E152">
        <f>'NASCAR'!M21</f>
        <v/>
      </c>
      <c r="F152">
        <f>'NASCAR'!N21</f>
        <v/>
      </c>
      <c r="G152">
        <f>'NASCAR'!O21</f>
        <v/>
      </c>
      <c r="H152" t="n">
        <v>4</v>
      </c>
      <c r="I152" t="inlineStr">
        <is>
          <t>2026 title: Kalshi 0.5%</t>
        </is>
      </c>
      <c r="J152" t="inlineStr">
        <is>
          <t>2026 Cup Series</t>
        </is>
      </c>
      <c r="K152" t="inlineStr">
        <is>
          <t>C</t>
        </is>
      </c>
      <c r="L152" t="inlineStr">
        <is>
          <t>User-supplied final Cup standings 2021-2026(proj.), recency-weighted (decay 0.65/yr, nascar_model.py) for drivers in the table; others = field prior blended with 2026 Kalshi title price (shrunk). No 2027 market exists.</t>
        </is>
      </c>
      <c r="M152" t="inlineStr">
        <is>
          <t>2026-10-08</t>
        </is>
      </c>
      <c r="N152" t="inlineStr">
        <is>
          <t>low confidence: far-out event</t>
        </is>
      </c>
      <c r="O152">
        <f>'NASCAR'!Y21</f>
        <v/>
      </c>
    </row>
    <row r="153">
      <c r="A153" t="n">
        <v>152</v>
      </c>
      <c r="B153" t="inlineStr">
        <is>
          <t>NASCAR</t>
        </is>
      </c>
      <c r="C153" t="inlineStr">
        <is>
          <t>Ryan Preece</t>
        </is>
      </c>
      <c r="D153" t="inlineStr">
        <is>
          <t>— free</t>
        </is>
      </c>
      <c r="E153">
        <f>'NASCAR'!M22</f>
        <v/>
      </c>
      <c r="F153">
        <f>'NASCAR'!N22</f>
        <v/>
      </c>
      <c r="G153">
        <f>'NASCAR'!O22</f>
        <v/>
      </c>
      <c r="H153" t="n">
        <v>4</v>
      </c>
      <c r="I153" t="inlineStr">
        <is>
          <t>2026 title: Kalshi 0.5%</t>
        </is>
      </c>
      <c r="J153" t="inlineStr">
        <is>
          <t>2026 Cup Series</t>
        </is>
      </c>
      <c r="K153" t="inlineStr">
        <is>
          <t>C</t>
        </is>
      </c>
      <c r="L153" t="inlineStr">
        <is>
          <t>User-supplied final Cup standings 2021-2026(proj.), recency-weighted (decay 0.65/yr, nascar_model.py) for drivers in the table; others = field prior blended with 2026 Kalshi title price (shrunk). No 2027 market exists.</t>
        </is>
      </c>
      <c r="M153" t="inlineStr">
        <is>
          <t>2026-10-08</t>
        </is>
      </c>
      <c r="N153" t="inlineStr">
        <is>
          <t>low confidence: far-out event</t>
        </is>
      </c>
      <c r="O153">
        <f>'NASCAR'!Y22</f>
        <v/>
      </c>
    </row>
    <row r="154">
      <c r="A154" t="n">
        <v>153</v>
      </c>
      <c r="B154" t="inlineStr">
        <is>
          <t>NASCAR</t>
        </is>
      </c>
      <c r="C154" t="inlineStr">
        <is>
          <t>Bubba Wallace</t>
        </is>
      </c>
      <c r="D154" s="16" t="inlineStr">
        <is>
          <t>Tim</t>
        </is>
      </c>
      <c r="E154">
        <f>'NASCAR'!M23</f>
        <v/>
      </c>
      <c r="F154">
        <f>'NASCAR'!N23</f>
        <v/>
      </c>
      <c r="G154">
        <f>'NASCAR'!O23</f>
        <v/>
      </c>
      <c r="H154" t="n">
        <v>4</v>
      </c>
      <c r="I154" t="inlineStr">
        <is>
          <t>2026 title: Kalshi 0.5%</t>
        </is>
      </c>
      <c r="J154" t="inlineStr">
        <is>
          <t>2026 Cup Series</t>
        </is>
      </c>
      <c r="K154" t="inlineStr">
        <is>
          <t>C</t>
        </is>
      </c>
      <c r="L154" t="inlineStr">
        <is>
          <t>User-supplied final Cup standings 2021-2026(proj.), recency-weighted (decay 0.65/yr, nascar_model.py) for drivers in the table; others = field prior blended with 2026 Kalshi title price (shrunk). No 2027 market exists.</t>
        </is>
      </c>
      <c r="M154" t="inlineStr">
        <is>
          <t>2026-10-08</t>
        </is>
      </c>
      <c r="N154" t="inlineStr">
        <is>
          <t>low confidence: far-out event</t>
        </is>
      </c>
      <c r="O154">
        <f>'NASCAR'!Y23</f>
        <v/>
      </c>
    </row>
    <row r="155">
      <c r="A155" t="n">
        <v>154</v>
      </c>
      <c r="B155" t="inlineStr">
        <is>
          <t>NASCAR</t>
        </is>
      </c>
      <c r="C155" t="inlineStr">
        <is>
          <t>Zane Smith</t>
        </is>
      </c>
      <c r="D155" t="inlineStr">
        <is>
          <t>— free</t>
        </is>
      </c>
      <c r="E155">
        <f>'NASCAR'!M24</f>
        <v/>
      </c>
      <c r="F155">
        <f>'NASCAR'!N24</f>
        <v/>
      </c>
      <c r="G155">
        <f>'NASCAR'!O24</f>
        <v/>
      </c>
      <c r="H155" t="n">
        <v>4</v>
      </c>
      <c r="I155" t="inlineStr">
        <is>
          <t>2026 title: Kalshi 0.5%</t>
        </is>
      </c>
      <c r="J155" t="inlineStr">
        <is>
          <t>2026 Cup Series</t>
        </is>
      </c>
      <c r="K155" t="inlineStr">
        <is>
          <t>C</t>
        </is>
      </c>
      <c r="L155" t="inlineStr">
        <is>
          <t>User-supplied final Cup standings 2021-2026(proj.), recency-weighted (decay 0.65/yr, nascar_model.py) for drivers in the table; others = field prior blended with 2026 Kalshi title price (shrunk). No 2027 market exists.</t>
        </is>
      </c>
      <c r="M155" t="inlineStr">
        <is>
          <t>2026-10-08</t>
        </is>
      </c>
      <c r="N155" t="inlineStr">
        <is>
          <t>low confidence: far-out event</t>
        </is>
      </c>
      <c r="O155">
        <f>'NASCAR'!Y24</f>
        <v/>
      </c>
    </row>
    <row r="156">
      <c r="A156" t="n">
        <v>155</v>
      </c>
      <c r="B156" t="inlineStr">
        <is>
          <t>NASCAR</t>
        </is>
      </c>
      <c r="C156" t="inlineStr">
        <is>
          <t>Noah Gragson</t>
        </is>
      </c>
      <c r="D156" t="inlineStr">
        <is>
          <t>— free</t>
        </is>
      </c>
      <c r="E156">
        <f>'NASCAR'!M25</f>
        <v/>
      </c>
      <c r="F156">
        <f>'NASCAR'!N25</f>
        <v/>
      </c>
      <c r="G156">
        <f>'NASCAR'!O25</f>
        <v/>
      </c>
      <c r="H156" t="n">
        <v>4</v>
      </c>
      <c r="I156" t="inlineStr">
        <is>
          <t>2026 title: Kalshi 0.5%</t>
        </is>
      </c>
      <c r="J156" t="inlineStr">
        <is>
          <t>2026 Cup Series</t>
        </is>
      </c>
      <c r="K156" t="inlineStr">
        <is>
          <t>C</t>
        </is>
      </c>
      <c r="L156" t="inlineStr">
        <is>
          <t>User-supplied final Cup standings 2021-2026(proj.), recency-weighted (decay 0.65/yr, nascar_model.py) for drivers in the table; others = field prior blended with 2026 Kalshi title price (shrunk). No 2027 market exists.</t>
        </is>
      </c>
      <c r="M156" t="inlineStr">
        <is>
          <t>2026-10-08</t>
        </is>
      </c>
      <c r="N156" t="inlineStr">
        <is>
          <t>low confidence: far-out event</t>
        </is>
      </c>
      <c r="O156">
        <f>'NASCAR'!Y25</f>
        <v/>
      </c>
    </row>
    <row r="157">
      <c r="A157" t="n">
        <v>156</v>
      </c>
      <c r="B157" t="inlineStr">
        <is>
          <t>NASCAR</t>
        </is>
      </c>
      <c r="C157" t="inlineStr">
        <is>
          <t>Austin Cindric</t>
        </is>
      </c>
      <c r="D157" t="inlineStr">
        <is>
          <t>— free</t>
        </is>
      </c>
      <c r="E157">
        <f>'NASCAR'!M26</f>
        <v/>
      </c>
      <c r="F157">
        <f>'NASCAR'!N26</f>
        <v/>
      </c>
      <c r="G157">
        <f>'NASCAR'!O26</f>
        <v/>
      </c>
      <c r="H157" t="n">
        <v>4</v>
      </c>
      <c r="I157" t="inlineStr">
        <is>
          <t>2026 title: Kalshi 0.5%</t>
        </is>
      </c>
      <c r="J157" t="inlineStr">
        <is>
          <t>2026 Cup Series</t>
        </is>
      </c>
      <c r="K157" t="inlineStr">
        <is>
          <t>C</t>
        </is>
      </c>
      <c r="L157" t="inlineStr">
        <is>
          <t>User-supplied final Cup standings 2021-2026(proj.), recency-weighted (decay 0.65/yr, nascar_model.py) for drivers in the table; others = field prior blended with 2026 Kalshi title price (shrunk). No 2027 market exists.</t>
        </is>
      </c>
      <c r="M157" t="inlineStr">
        <is>
          <t>2026-10-08</t>
        </is>
      </c>
      <c r="N157" t="inlineStr">
        <is>
          <t>low confidence: far-out event</t>
        </is>
      </c>
      <c r="O157">
        <f>'NASCAR'!Y26</f>
        <v/>
      </c>
    </row>
    <row r="158">
      <c r="A158" t="n">
        <v>157</v>
      </c>
      <c r="B158" t="inlineStr">
        <is>
          <t>NASCAR</t>
        </is>
      </c>
      <c r="C158" t="inlineStr">
        <is>
          <t>Daniel Suarez</t>
        </is>
      </c>
      <c r="D158" s="16" t="inlineStr">
        <is>
          <t>Shep</t>
        </is>
      </c>
      <c r="E158">
        <f>'NASCAR'!M27</f>
        <v/>
      </c>
      <c r="F158">
        <f>'NASCAR'!N27</f>
        <v/>
      </c>
      <c r="G158">
        <f>'NASCAR'!O27</f>
        <v/>
      </c>
      <c r="H158" t="n">
        <v>4</v>
      </c>
      <c r="I158" t="inlineStr">
        <is>
          <t>2026 title: Kalshi 0.5%</t>
        </is>
      </c>
      <c r="J158" t="inlineStr">
        <is>
          <t>2026 Cup Series</t>
        </is>
      </c>
      <c r="K158" t="inlineStr">
        <is>
          <t>C</t>
        </is>
      </c>
      <c r="L158" t="inlineStr">
        <is>
          <t>User-supplied final Cup standings 2021-2026(proj.), recency-weighted (decay 0.65/yr, nascar_model.py) for drivers in the table; others = field prior blended with 2026 Kalshi title price (shrunk). No 2027 market exists.</t>
        </is>
      </c>
      <c r="M158" t="inlineStr">
        <is>
          <t>2026-10-08</t>
        </is>
      </c>
      <c r="N158" t="inlineStr">
        <is>
          <t>low confidence: far-out event</t>
        </is>
      </c>
      <c r="O158">
        <f>'NASCAR'!Y27</f>
        <v/>
      </c>
    </row>
    <row r="159">
      <c r="A159" t="n">
        <v>158</v>
      </c>
      <c r="B159" t="inlineStr">
        <is>
          <t>NASCAR</t>
        </is>
      </c>
      <c r="C159" t="inlineStr">
        <is>
          <t>Carson Hocevar</t>
        </is>
      </c>
      <c r="D159" t="inlineStr">
        <is>
          <t>— free</t>
        </is>
      </c>
      <c r="E159">
        <f>'NASCAR'!M28</f>
        <v/>
      </c>
      <c r="F159">
        <f>'NASCAR'!N28</f>
        <v/>
      </c>
      <c r="G159">
        <f>'NASCAR'!O28</f>
        <v/>
      </c>
      <c r="H159" t="n">
        <v>4</v>
      </c>
      <c r="I159" t="inlineStr">
        <is>
          <t>2026 title: Kalshi 0.5%</t>
        </is>
      </c>
      <c r="J159" t="inlineStr">
        <is>
          <t>2026 Cup Series</t>
        </is>
      </c>
      <c r="K159" t="inlineStr">
        <is>
          <t>C</t>
        </is>
      </c>
      <c r="L159" t="inlineStr">
        <is>
          <t>User-supplied final Cup standings 2021-2026(proj.), recency-weighted (decay 0.65/yr, nascar_model.py) for drivers in the table; others = field prior blended with 2026 Kalshi title price (shrunk). No 2027 market exists.</t>
        </is>
      </c>
      <c r="M159" t="inlineStr">
        <is>
          <t>2026-10-08</t>
        </is>
      </c>
      <c r="N159" t="inlineStr">
        <is>
          <t>low confidence: far-out event</t>
        </is>
      </c>
      <c r="O159">
        <f>'NASCAR'!Y28</f>
        <v/>
      </c>
    </row>
    <row r="160">
      <c r="A160" t="n">
        <v>159</v>
      </c>
      <c r="B160" t="inlineStr">
        <is>
          <t>Golf</t>
        </is>
      </c>
      <c r="C160" t="inlineStr">
        <is>
          <t>Chris Gotterup</t>
        </is>
      </c>
      <c r="D160" t="inlineStr">
        <is>
          <t>— free</t>
        </is>
      </c>
      <c r="E160">
        <f>'Golf'!M12</f>
        <v/>
      </c>
      <c r="F160">
        <f>'Golf'!N12</f>
        <v/>
      </c>
      <c r="G160">
        <f>'Golf'!O12</f>
        <v/>
      </c>
      <c r="H160" t="n">
        <v>3</v>
      </c>
      <c r="J160" t="inlineStr">
        <is>
          <t>OWGR 8 (2026-10-08)</t>
        </is>
      </c>
      <c r="K160" t="inlineStr">
        <is>
          <t>C</t>
        </is>
      </c>
      <c r="L160" t="inlineStr">
        <is>
          <t>OWGR rank from league standings pull (A); major-win probabilities = model (rank-weighted share of 4 majors)</t>
        </is>
      </c>
      <c r="M160" t="inlineStr">
        <is>
          <t>2026-10-08</t>
        </is>
      </c>
      <c r="N160" t="inlineStr"/>
      <c r="O160">
        <f>'Golf'!Y12</f>
        <v/>
      </c>
    </row>
    <row r="161">
      <c r="A161" t="n">
        <v>160</v>
      </c>
      <c r="B161" t="inlineStr">
        <is>
          <t>Tennis</t>
        </is>
      </c>
      <c r="C161" t="inlineStr">
        <is>
          <t>Mirra Andreeva</t>
        </is>
      </c>
      <c r="D161" t="inlineStr">
        <is>
          <t>— free</t>
        </is>
      </c>
      <c r="E161">
        <f>'Tennis'!M13</f>
        <v/>
      </c>
      <c r="F161">
        <f>'Tennis'!N13</f>
        <v/>
      </c>
      <c r="G161">
        <f>'Tennis'!O13</f>
        <v/>
      </c>
      <c r="H161" t="n">
        <v>3</v>
      </c>
      <c r="J161" t="inlineStr">
        <is>
          <t>WTA 5 (2026-10-08)</t>
        </is>
      </c>
      <c r="K161" t="inlineStr">
        <is>
          <t>C</t>
        </is>
      </c>
      <c r="L161" t="inlineStr">
        <is>
          <t>ATP rank from league standings pull (A) / WTA via Olympics.com Oct 5; AO odds VegasInsider/Johnnybet Oct 2026; probabilities = agent estimates</t>
        </is>
      </c>
      <c r="M161" t="inlineStr">
        <is>
          <t>2026-10-08</t>
        </is>
      </c>
      <c r="N161" t="inlineStr"/>
      <c r="O161">
        <f>'Tennis'!Y13</f>
        <v/>
      </c>
    </row>
    <row r="162">
      <c r="A162" t="n">
        <v>161</v>
      </c>
      <c r="B162" t="inlineStr">
        <is>
          <t>Actress</t>
        </is>
      </c>
      <c r="C162" t="inlineStr">
        <is>
          <t>Inde Navarrette</t>
        </is>
      </c>
      <c r="D162" t="inlineStr">
        <is>
          <t>— free</t>
        </is>
      </c>
      <c r="E162">
        <f>'Actress'!M13</f>
        <v/>
      </c>
      <c r="F162">
        <f>'Actress'!N13</f>
        <v/>
      </c>
      <c r="G162">
        <f>'Actress'!O13</f>
        <v/>
      </c>
      <c r="H162" t="n">
        <v>3</v>
      </c>
      <c r="J162" t="inlineStr">
        <is>
          <t>no 2027 film found in Wikipedia's cast lists</t>
        </is>
      </c>
      <c r="K162" t="inlineStr">
        <is>
          <t>C</t>
        </is>
      </c>
      <c r="L162" t="inlineStr">
        <is>
          <t>Wikipedia 'List of American films of 2027' casts (Actions-runner pull 2026-10-08) x comp-based box office/RT estimates; cast lists are billed leads only (cameos not captured)</t>
        </is>
      </c>
      <c r="M162" t="inlineStr">
        <is>
          <t>2026-10-08</t>
        </is>
      </c>
      <c r="N162" t="inlineStr">
        <is>
          <t>Overpriced by the field on award buzz: skip</t>
        </is>
      </c>
      <c r="O162">
        <f>'Actress'!Y13</f>
        <v/>
      </c>
    </row>
    <row r="163">
      <c r="A163" t="n">
        <v>162</v>
      </c>
      <c r="B163" t="inlineStr">
        <is>
          <t>MLS</t>
        </is>
      </c>
      <c r="C163" t="inlineStr">
        <is>
          <t>Seattle Sounders FC</t>
        </is>
      </c>
      <c r="D163" s="16" t="inlineStr">
        <is>
          <t>Jamzee</t>
        </is>
      </c>
      <c r="E163">
        <f>'MLS'!M17</f>
        <v/>
      </c>
      <c r="F163">
        <f>'MLS'!N17</f>
        <v/>
      </c>
      <c r="G163">
        <f>'MLS'!O17</f>
        <v/>
      </c>
      <c r="H163" t="n">
        <v>3</v>
      </c>
      <c r="I163" t="inlineStr">
        <is>
          <t>2026 Cup: Kalshi 1.5%</t>
        </is>
      </c>
      <c r="J163" t="inlineStr">
        <is>
          <t>2026: 38 pts (as of 10-08; season ends Nov 7)</t>
        </is>
      </c>
      <c r="K163" t="inlineStr">
        <is>
          <t>C</t>
        </is>
      </c>
      <c r="L163" t="inlineStr">
        <is>
          <t>2026 points (league standings, A) + Kalshi KXMLSCUP-26 price as strength proxy, shrunk 50% toward the field</t>
        </is>
      </c>
      <c r="M163" t="inlineStr">
        <is>
          <t>2026-10-08</t>
        </is>
      </c>
      <c r="N163" t="inlineStr">
        <is>
          <t>low confidence: far-out event</t>
        </is>
      </c>
      <c r="O163">
        <f>'MLS'!Y17</f>
        <v/>
      </c>
    </row>
    <row r="164">
      <c r="A164" t="n">
        <v>163</v>
      </c>
      <c r="B164" t="inlineStr">
        <is>
          <t>Actress</t>
        </is>
      </c>
      <c r="C164" t="inlineStr">
        <is>
          <t>Mia Goth</t>
        </is>
      </c>
      <c r="D164" t="inlineStr">
        <is>
          <t>— free</t>
        </is>
      </c>
      <c r="E164">
        <f>'Actress'!M14</f>
        <v/>
      </c>
      <c r="F164">
        <f>'Actress'!N14</f>
        <v/>
      </c>
      <c r="G164">
        <f>'Actress'!O14</f>
        <v/>
      </c>
      <c r="H164" t="n">
        <v>3</v>
      </c>
      <c r="J164" t="inlineStr">
        <is>
          <t>Starfighter (May 28)</t>
        </is>
      </c>
      <c r="K164" t="inlineStr">
        <is>
          <t>C</t>
        </is>
      </c>
      <c r="L164" t="inlineStr">
        <is>
          <t>Wikipedia 'List of American films of 2027' casts (Actions-runner pull 2026-10-08) x comp-based box office/RT estimates; cast lists are billed leads only (cameos not captured)</t>
        </is>
      </c>
      <c r="M164" t="inlineStr">
        <is>
          <t>2026-10-08</t>
        </is>
      </c>
      <c r="N164" t="inlineStr">
        <is>
          <t>late filler</t>
        </is>
      </c>
      <c r="O164">
        <f>'Actress'!Y14</f>
        <v/>
      </c>
    </row>
    <row r="165">
      <c r="A165" t="n">
        <v>164</v>
      </c>
      <c r="B165" t="inlineStr">
        <is>
          <t>NFL</t>
        </is>
      </c>
      <c r="C165" t="inlineStr">
        <is>
          <t>New England Patriots</t>
        </is>
      </c>
      <c r="D165" s="16" t="inlineStr">
        <is>
          <t>Feder</t>
        </is>
      </c>
      <c r="E165">
        <f>'NFL'!M13</f>
        <v/>
      </c>
      <c r="F165">
        <f>'NFL'!N13</f>
        <v/>
      </c>
      <c r="G165">
        <f>'NFL'!O13</f>
        <v/>
      </c>
      <c r="H165" t="n">
        <v>3</v>
      </c>
      <c r="I165" t="inlineStr">
        <is>
          <t>Kalshi 2.5%</t>
        </is>
      </c>
      <c r="J165" t="inlineStr">
        <is>
          <t>2-2, AFC East</t>
        </is>
      </c>
      <c r="K165" t="inlineStr">
        <is>
          <t>A</t>
        </is>
      </c>
      <c r="L165" t="inlineStr">
        <is>
          <t>KXSB-27 exchange mid-price, pulled 2026-10-08; p(final)=KXNFLAFCCHAMP/KXNFLNFCCHAMP-27 Kalshi mid | league_sim.py: full-schedule + real playoff bracket Monte Carlo, ratings fitted to Kalshi</t>
        </is>
      </c>
      <c r="M165" t="inlineStr">
        <is>
          <t>2026-10-08</t>
        </is>
      </c>
      <c r="N165" t="inlineStr"/>
      <c r="O165">
        <f>'NFL'!Y13</f>
        <v/>
      </c>
    </row>
    <row r="166">
      <c r="A166" t="n">
        <v>165</v>
      </c>
      <c r="B166" t="inlineStr">
        <is>
          <t>MLS</t>
        </is>
      </c>
      <c r="C166" t="inlineStr">
        <is>
          <t>LA Galaxy</t>
        </is>
      </c>
      <c r="D166" s="16" t="inlineStr">
        <is>
          <t>Molmen</t>
        </is>
      </c>
      <c r="E166">
        <f>'MLS'!M18</f>
        <v/>
      </c>
      <c r="F166">
        <f>'MLS'!N18</f>
        <v/>
      </c>
      <c r="G166">
        <f>'MLS'!O18</f>
        <v/>
      </c>
      <c r="H166" t="n">
        <v>4</v>
      </c>
      <c r="I166" t="inlineStr">
        <is>
          <t>2026 Cup: Kalshi 1.5%</t>
        </is>
      </c>
      <c r="J166" t="inlineStr">
        <is>
          <t>2026: 36 pts (as of 10-08; season ends Nov 7)</t>
        </is>
      </c>
      <c r="K166" t="inlineStr">
        <is>
          <t>C</t>
        </is>
      </c>
      <c r="L166" t="inlineStr">
        <is>
          <t>2026 points (league standings, A) + Kalshi KXMLSCUP-26 price as strength proxy, shrunk 50% toward the field</t>
        </is>
      </c>
      <c r="M166" t="inlineStr">
        <is>
          <t>2026-10-08</t>
        </is>
      </c>
      <c r="N166" t="inlineStr">
        <is>
          <t>low confidence: far-out event</t>
        </is>
      </c>
      <c r="O166">
        <f>'MLS'!Y18</f>
        <v/>
      </c>
    </row>
    <row r="167">
      <c r="A167" t="n">
        <v>166</v>
      </c>
      <c r="B167" t="inlineStr">
        <is>
          <t>NFL</t>
        </is>
      </c>
      <c r="C167" t="inlineStr">
        <is>
          <t>Cincinnati Bengals</t>
        </is>
      </c>
      <c r="D167" t="inlineStr">
        <is>
          <t>— free</t>
        </is>
      </c>
      <c r="E167">
        <f>'NFL'!M14</f>
        <v/>
      </c>
      <c r="F167">
        <f>'NFL'!N14</f>
        <v/>
      </c>
      <c r="G167">
        <f>'NFL'!O14</f>
        <v/>
      </c>
      <c r="H167" t="n">
        <v>3</v>
      </c>
      <c r="I167" t="inlineStr">
        <is>
          <t>Kalshi 3.5%</t>
        </is>
      </c>
      <c r="J167" t="inlineStr">
        <is>
          <t>2-2, AFC North</t>
        </is>
      </c>
      <c r="K167" t="inlineStr">
        <is>
          <t>A</t>
        </is>
      </c>
      <c r="L167" t="inlineStr">
        <is>
          <t>KXSB-27 exchange mid-price, pulled 2026-10-08; p(final)=KXNFLAFCCHAMP/KXNFLNFCCHAMP-27 Kalshi mid | league_sim.py: full-schedule + real playoff bracket Monte Carlo, ratings fitted to Kalshi</t>
        </is>
      </c>
      <c r="M167" t="inlineStr">
        <is>
          <t>2026-10-08</t>
        </is>
      </c>
      <c r="N167" t="inlineStr"/>
      <c r="O167">
        <f>'NFL'!Y14</f>
        <v/>
      </c>
    </row>
    <row r="168">
      <c r="A168" t="n">
        <v>167</v>
      </c>
      <c r="B168" t="inlineStr">
        <is>
          <t>NHL</t>
        </is>
      </c>
      <c r="C168" t="inlineStr">
        <is>
          <t>Dallas Stars</t>
        </is>
      </c>
      <c r="D168" s="16" t="inlineStr">
        <is>
          <t>Mitchell</t>
        </is>
      </c>
      <c r="E168">
        <f>'NHL'!M14</f>
        <v/>
      </c>
      <c r="F168">
        <f>'NHL'!N14</f>
        <v/>
      </c>
      <c r="G168">
        <f>'NHL'!O14</f>
        <v/>
      </c>
      <c r="H168" t="n">
        <v>3</v>
      </c>
      <c r="I168" t="inlineStr">
        <is>
          <t>Kalshi 5.5%</t>
        </is>
      </c>
      <c r="J168" t="inlineStr">
        <is>
          <t>West</t>
        </is>
      </c>
      <c r="K168" t="inlineStr">
        <is>
          <t>A</t>
        </is>
      </c>
      <c r="L168" t="inlineStr">
        <is>
          <t>KXNHL-27 exchange mid-price, pulled 2026-10-08; p(final)=KXNHLEAST/KXNHLWEST-27 Kalshi mid | league_sim.py: full-schedule + real playoff bracket Monte Carlo, ratings fitted to Kalshi</t>
        </is>
      </c>
      <c r="M168" t="inlineStr">
        <is>
          <t>2026-10-08</t>
        </is>
      </c>
      <c r="N168" t="inlineStr"/>
      <c r="O168">
        <f>'NHL'!Y14</f>
        <v/>
      </c>
    </row>
    <row r="169">
      <c r="A169" t="n">
        <v>168</v>
      </c>
      <c r="B169" t="inlineStr">
        <is>
          <t>MLS</t>
        </is>
      </c>
      <c r="C169" t="inlineStr">
        <is>
          <t>Orlando City SC</t>
        </is>
      </c>
      <c r="D169" s="16" t="inlineStr">
        <is>
          <t>Shep</t>
        </is>
      </c>
      <c r="E169">
        <f>'MLS'!M19</f>
        <v/>
      </c>
      <c r="F169">
        <f>'MLS'!N19</f>
        <v/>
      </c>
      <c r="G169">
        <f>'MLS'!O19</f>
        <v/>
      </c>
      <c r="H169" t="n">
        <v>4</v>
      </c>
      <c r="I169" t="inlineStr">
        <is>
          <t>2026 Cup: Kalshi 0.5%</t>
        </is>
      </c>
      <c r="J169" t="inlineStr">
        <is>
          <t>2026: 34 pts (as of 10-08; season ends Nov 7)</t>
        </is>
      </c>
      <c r="K169" t="inlineStr">
        <is>
          <t>C</t>
        </is>
      </c>
      <c r="L169" t="inlineStr">
        <is>
          <t>2026 points (league standings, A) + Kalshi KXMLSCUP-26 price as strength proxy, shrunk 50% toward the field</t>
        </is>
      </c>
      <c r="M169" t="inlineStr">
        <is>
          <t>2026-10-08</t>
        </is>
      </c>
      <c r="N169" t="inlineStr">
        <is>
          <t>low confidence: far-out event</t>
        </is>
      </c>
      <c r="O169">
        <f>'MLS'!Y19</f>
        <v/>
      </c>
    </row>
    <row r="170">
      <c r="A170" t="n">
        <v>169</v>
      </c>
      <c r="B170" t="inlineStr">
        <is>
          <t>MLS</t>
        </is>
      </c>
      <c r="C170" t="inlineStr">
        <is>
          <t>Colorado Rapids</t>
        </is>
      </c>
      <c r="D170" t="inlineStr">
        <is>
          <t>— free</t>
        </is>
      </c>
      <c r="E170">
        <f>'MLS'!M20</f>
        <v/>
      </c>
      <c r="F170">
        <f>'MLS'!N20</f>
        <v/>
      </c>
      <c r="G170">
        <f>'MLS'!O20</f>
        <v/>
      </c>
      <c r="H170" t="n">
        <v>4</v>
      </c>
      <c r="I170" t="inlineStr">
        <is>
          <t>2026 Cup: Kalshi 0.5%</t>
        </is>
      </c>
      <c r="J170" t="inlineStr">
        <is>
          <t>2026: 36 pts (as of 10-08; season ends Nov 7)</t>
        </is>
      </c>
      <c r="K170" t="inlineStr">
        <is>
          <t>C</t>
        </is>
      </c>
      <c r="L170" t="inlineStr">
        <is>
          <t>2026 points (league standings, A) + Kalshi KXMLSCUP-26 price as strength proxy, shrunk 50% toward the field</t>
        </is>
      </c>
      <c r="M170" t="inlineStr">
        <is>
          <t>2026-10-08</t>
        </is>
      </c>
      <c r="N170" t="inlineStr">
        <is>
          <t>low confidence: far-out event</t>
        </is>
      </c>
      <c r="O170">
        <f>'MLS'!Y20</f>
        <v/>
      </c>
    </row>
    <row r="171">
      <c r="A171" t="n">
        <v>170</v>
      </c>
      <c r="B171" t="inlineStr">
        <is>
          <t>MLS</t>
        </is>
      </c>
      <c r="C171" t="inlineStr">
        <is>
          <t>New York Red Bulls</t>
        </is>
      </c>
      <c r="D171" s="16" t="inlineStr">
        <is>
          <t>Todd</t>
        </is>
      </c>
      <c r="E171">
        <f>'MLS'!M21</f>
        <v/>
      </c>
      <c r="F171">
        <f>'MLS'!N21</f>
        <v/>
      </c>
      <c r="G171">
        <f>'MLS'!O21</f>
        <v/>
      </c>
      <c r="H171" t="n">
        <v>4</v>
      </c>
      <c r="I171" t="inlineStr">
        <is>
          <t>2026 Cup: Kalshi 0.5%</t>
        </is>
      </c>
      <c r="J171" t="inlineStr">
        <is>
          <t>2026: 33 pts (as of 10-08; season ends Nov 7)</t>
        </is>
      </c>
      <c r="K171" t="inlineStr">
        <is>
          <t>C</t>
        </is>
      </c>
      <c r="L171" t="inlineStr">
        <is>
          <t>2026 points (league standings, A) + Kalshi KXMLSCUP-26 price as strength proxy, shrunk 50% toward the field</t>
        </is>
      </c>
      <c r="M171" t="inlineStr">
        <is>
          <t>2026-10-08</t>
        </is>
      </c>
      <c r="N171" t="inlineStr">
        <is>
          <t>low confidence: far-out event</t>
        </is>
      </c>
      <c r="O171">
        <f>'MLS'!Y21</f>
        <v/>
      </c>
    </row>
    <row r="172">
      <c r="A172" t="n">
        <v>171</v>
      </c>
      <c r="B172" t="inlineStr">
        <is>
          <t>NBA</t>
        </is>
      </c>
      <c r="C172" t="inlineStr">
        <is>
          <t>Indiana Pacers</t>
        </is>
      </c>
      <c r="D172" t="inlineStr">
        <is>
          <t>— free</t>
        </is>
      </c>
      <c r="E172">
        <f>'NBA'!M17</f>
        <v/>
      </c>
      <c r="F172">
        <f>'NBA'!N17</f>
        <v/>
      </c>
      <c r="G172">
        <f>'NBA'!O17</f>
        <v/>
      </c>
      <c r="H172" t="n">
        <v>3</v>
      </c>
      <c r="I172" t="inlineStr">
        <is>
          <t>Kalshi 1.5%</t>
        </is>
      </c>
      <c r="J172" t="inlineStr">
        <is>
          <t>East; win total 44.5</t>
        </is>
      </c>
      <c r="K172" t="inlineStr">
        <is>
          <t>A</t>
        </is>
      </c>
      <c r="L172" t="inlineStr">
        <is>
          <t>KXNBA-27 exchange mid-price, pulled 2026-10-08; p(final)=KXNBAEAST/KXNBAWEST-27 Kalshi mid | league_sim.py: full-schedule + real playoff bracket Monte Carlo, ratings fitted to Kalshi</t>
        </is>
      </c>
      <c r="M172" t="inlineStr">
        <is>
          <t>2026-10-08</t>
        </is>
      </c>
      <c r="N172" t="inlineStr"/>
      <c r="O172">
        <f>'NBA'!Y17</f>
        <v/>
      </c>
    </row>
    <row r="173">
      <c r="A173" t="n">
        <v>172</v>
      </c>
      <c r="B173" t="inlineStr">
        <is>
          <t>Actress</t>
        </is>
      </c>
      <c r="C173" t="inlineStr">
        <is>
          <t>Rachel Brosnahan</t>
        </is>
      </c>
      <c r="D173" t="inlineStr">
        <is>
          <t>— free</t>
        </is>
      </c>
      <c r="E173">
        <f>'Actress'!M15</f>
        <v/>
      </c>
      <c r="F173">
        <f>'Actress'!N15</f>
        <v/>
      </c>
      <c r="G173">
        <f>'Actress'!O15</f>
        <v/>
      </c>
      <c r="H173" t="n">
        <v>3</v>
      </c>
      <c r="J173" t="inlineStr">
        <is>
          <t>Man of Tomorrow (Jul 9)</t>
        </is>
      </c>
      <c r="K173" t="inlineStr">
        <is>
          <t>C</t>
        </is>
      </c>
      <c r="L173" t="inlineStr">
        <is>
          <t>Wikipedia 'List of American films of 2027' casts (Actions-runner pull 2026-10-08) x comp-based box office/RT estimates; cast lists are billed leads only (cameos not captured)</t>
        </is>
      </c>
      <c r="M173" t="inlineStr">
        <is>
          <t>2026-10-08</t>
        </is>
      </c>
      <c r="N173" t="inlineStr">
        <is>
          <t>late filler</t>
        </is>
      </c>
      <c r="O173">
        <f>'Actress'!Y15</f>
        <v/>
      </c>
    </row>
    <row r="174">
      <c r="A174" t="n">
        <v>173</v>
      </c>
      <c r="B174" t="inlineStr">
        <is>
          <t>Actress</t>
        </is>
      </c>
      <c r="C174" t="inlineStr">
        <is>
          <t>Isabela Merced</t>
        </is>
      </c>
      <c r="D174" t="inlineStr">
        <is>
          <t>— free</t>
        </is>
      </c>
      <c r="E174">
        <f>'Actress'!M16</f>
        <v/>
      </c>
      <c r="F174">
        <f>'Actress'!N16</f>
        <v/>
      </c>
      <c r="G174">
        <f>'Actress'!O16</f>
        <v/>
      </c>
      <c r="H174" t="n">
        <v>3</v>
      </c>
      <c r="J174" t="inlineStr">
        <is>
          <t>Man of Tomorrow (Jul 9)</t>
        </is>
      </c>
      <c r="K174" t="inlineStr">
        <is>
          <t>C</t>
        </is>
      </c>
      <c r="L174" t="inlineStr">
        <is>
          <t>Wikipedia 'List of American films of 2027' casts (Actions-runner pull 2026-10-08) x comp-based box office/RT estimates; cast lists are billed leads only (cameos not captured)</t>
        </is>
      </c>
      <c r="M174" t="inlineStr">
        <is>
          <t>2026-10-08</t>
        </is>
      </c>
      <c r="N174" t="inlineStr">
        <is>
          <t>late filler</t>
        </is>
      </c>
      <c r="O174">
        <f>'Actress'!Y16</f>
        <v/>
      </c>
    </row>
    <row r="175">
      <c r="A175" t="n">
        <v>174</v>
      </c>
      <c r="B175" t="inlineStr">
        <is>
          <t>MLS</t>
        </is>
      </c>
      <c r="C175" t="inlineStr">
        <is>
          <t>New York City FC</t>
        </is>
      </c>
      <c r="D175" t="inlineStr">
        <is>
          <t>— free</t>
        </is>
      </c>
      <c r="E175">
        <f>'MLS'!M22</f>
        <v/>
      </c>
      <c r="F175">
        <f>'MLS'!N22</f>
        <v/>
      </c>
      <c r="G175">
        <f>'MLS'!O22</f>
        <v/>
      </c>
      <c r="H175" t="n">
        <v>4</v>
      </c>
      <c r="I175" t="inlineStr">
        <is>
          <t>2026 Cup: Kalshi 0.5%</t>
        </is>
      </c>
      <c r="J175" t="inlineStr">
        <is>
          <t>2026: 33 pts (as of 10-08; season ends Nov 7)</t>
        </is>
      </c>
      <c r="K175" t="inlineStr">
        <is>
          <t>C</t>
        </is>
      </c>
      <c r="L175" t="inlineStr">
        <is>
          <t>2026 points (league standings, A) + Kalshi KXMLSCUP-26 price as strength proxy, shrunk 50% toward the field</t>
        </is>
      </c>
      <c r="M175" t="inlineStr">
        <is>
          <t>2026-10-08</t>
        </is>
      </c>
      <c r="N175" t="inlineStr">
        <is>
          <t>low confidence: far-out event</t>
        </is>
      </c>
      <c r="O175">
        <f>'MLS'!Y22</f>
        <v/>
      </c>
    </row>
    <row r="176">
      <c r="A176" t="n">
        <v>175</v>
      </c>
      <c r="B176" t="inlineStr">
        <is>
          <t>Actress</t>
        </is>
      </c>
      <c r="C176" t="inlineStr">
        <is>
          <t>Sara Sampaio</t>
        </is>
      </c>
      <c r="D176" t="inlineStr">
        <is>
          <t>— free</t>
        </is>
      </c>
      <c r="E176">
        <f>'Actress'!M17</f>
        <v/>
      </c>
      <c r="F176">
        <f>'Actress'!N17</f>
        <v/>
      </c>
      <c r="G176">
        <f>'Actress'!O17</f>
        <v/>
      </c>
      <c r="H176" t="n">
        <v>3</v>
      </c>
      <c r="J176" t="inlineStr">
        <is>
          <t>Man of Tomorrow (Jul 9)</t>
        </is>
      </c>
      <c r="K176" t="inlineStr">
        <is>
          <t>C</t>
        </is>
      </c>
      <c r="L176" t="inlineStr">
        <is>
          <t>Wikipedia 'List of American films of 2027' casts (Actions-runner pull 2026-10-08) x comp-based box office/RT estimates; cast lists are billed leads only (cameos not captured)</t>
        </is>
      </c>
      <c r="M176" t="inlineStr">
        <is>
          <t>2026-10-08</t>
        </is>
      </c>
      <c r="N176" t="inlineStr">
        <is>
          <t>late filler</t>
        </is>
      </c>
      <c r="O176">
        <f>'Actress'!Y17</f>
        <v/>
      </c>
    </row>
    <row r="177">
      <c r="A177" t="n">
        <v>176</v>
      </c>
      <c r="B177" t="inlineStr">
        <is>
          <t>MLS</t>
        </is>
      </c>
      <c r="C177" t="inlineStr">
        <is>
          <t>FC Cincinnati</t>
        </is>
      </c>
      <c r="D177" s="16" t="inlineStr">
        <is>
          <t>Korch</t>
        </is>
      </c>
      <c r="E177">
        <f>'MLS'!M23</f>
        <v/>
      </c>
      <c r="F177">
        <f>'MLS'!N23</f>
        <v/>
      </c>
      <c r="G177">
        <f>'MLS'!O23</f>
        <v/>
      </c>
      <c r="H177" t="n">
        <v>4</v>
      </c>
      <c r="I177" t="inlineStr">
        <is>
          <t>2026 Cup: Kalshi 0.5%</t>
        </is>
      </c>
      <c r="J177" t="inlineStr">
        <is>
          <t>2026: 33 pts (as of 10-08; season ends Nov 7)</t>
        </is>
      </c>
      <c r="K177" t="inlineStr">
        <is>
          <t>C</t>
        </is>
      </c>
      <c r="L177" t="inlineStr">
        <is>
          <t>2026 points (league standings, A) + Kalshi KXMLSCUP-26 price as strength proxy, shrunk 50% toward the field</t>
        </is>
      </c>
      <c r="M177" t="inlineStr">
        <is>
          <t>2026-10-08</t>
        </is>
      </c>
      <c r="N177" t="inlineStr">
        <is>
          <t>low confidence: far-out event</t>
        </is>
      </c>
      <c r="O177">
        <f>'MLS'!Y23</f>
        <v/>
      </c>
    </row>
    <row r="178">
      <c r="A178" t="n">
        <v>177</v>
      </c>
      <c r="B178" t="inlineStr">
        <is>
          <t>Actress</t>
        </is>
      </c>
      <c r="C178" t="inlineStr">
        <is>
          <t>María Gabriela de Faría</t>
        </is>
      </c>
      <c r="D178" t="inlineStr">
        <is>
          <t>— free</t>
        </is>
      </c>
      <c r="E178">
        <f>'Actress'!M18</f>
        <v/>
      </c>
      <c r="F178">
        <f>'Actress'!N18</f>
        <v/>
      </c>
      <c r="G178">
        <f>'Actress'!O18</f>
        <v/>
      </c>
      <c r="H178" t="n">
        <v>4</v>
      </c>
      <c r="J178" t="inlineStr">
        <is>
          <t>Man of Tomorrow (Jul 9)</t>
        </is>
      </c>
      <c r="K178" t="inlineStr">
        <is>
          <t>C</t>
        </is>
      </c>
      <c r="L178" t="inlineStr">
        <is>
          <t>Wikipedia 'List of American films of 2027' casts (Actions-runner pull 2026-10-08) x comp-based box office/RT estimates; cast lists are billed leads only (cameos not captured)</t>
        </is>
      </c>
      <c r="M178" t="inlineStr">
        <is>
          <t>2026-10-08</t>
        </is>
      </c>
      <c r="N178" t="inlineStr">
        <is>
          <t>late filler</t>
        </is>
      </c>
      <c r="O178">
        <f>'Actress'!Y18</f>
        <v/>
      </c>
    </row>
    <row r="179">
      <c r="A179" t="n">
        <v>178</v>
      </c>
      <c r="B179" t="inlineStr">
        <is>
          <t>MLS</t>
        </is>
      </c>
      <c r="C179" t="inlineStr">
        <is>
          <t>San Diego FC</t>
        </is>
      </c>
      <c r="D179" s="16" t="inlineStr">
        <is>
          <t>Jens</t>
        </is>
      </c>
      <c r="E179">
        <f>'MLS'!M24</f>
        <v/>
      </c>
      <c r="F179">
        <f>'MLS'!N24</f>
        <v/>
      </c>
      <c r="G179">
        <f>'MLS'!O24</f>
        <v/>
      </c>
      <c r="H179" t="n">
        <v>4</v>
      </c>
      <c r="I179" t="inlineStr">
        <is>
          <t>2026 Cup: Kalshi 0.5%</t>
        </is>
      </c>
      <c r="J179" t="inlineStr">
        <is>
          <t>2026: 32 pts (as of 10-08; season ends Nov 7)</t>
        </is>
      </c>
      <c r="K179" t="inlineStr">
        <is>
          <t>C</t>
        </is>
      </c>
      <c r="L179" t="inlineStr">
        <is>
          <t>2026 points (league standings, A) + Kalshi KXMLSCUP-26 price as strength proxy, shrunk 50% toward the field</t>
        </is>
      </c>
      <c r="M179" t="inlineStr">
        <is>
          <t>2026-10-08</t>
        </is>
      </c>
      <c r="N179" t="inlineStr">
        <is>
          <t>low confidence: far-out event</t>
        </is>
      </c>
      <c r="O179">
        <f>'MLS'!Y24</f>
        <v/>
      </c>
    </row>
    <row r="180">
      <c r="A180" t="n">
        <v>179</v>
      </c>
      <c r="B180" t="inlineStr">
        <is>
          <t>Actress</t>
        </is>
      </c>
      <c r="C180" t="inlineStr">
        <is>
          <t>Milly Alcock</t>
        </is>
      </c>
      <c r="D180" t="inlineStr">
        <is>
          <t>— free</t>
        </is>
      </c>
      <c r="E180">
        <f>'Actress'!M19</f>
        <v/>
      </c>
      <c r="F180">
        <f>'Actress'!N19</f>
        <v/>
      </c>
      <c r="G180">
        <f>'Actress'!O19</f>
        <v/>
      </c>
      <c r="H180" t="n">
        <v>4</v>
      </c>
      <c r="J180" t="inlineStr">
        <is>
          <t>Man of Tomorrow (Jul 9)</t>
        </is>
      </c>
      <c r="K180" t="inlineStr">
        <is>
          <t>C</t>
        </is>
      </c>
      <c r="L180" t="inlineStr">
        <is>
          <t>Wikipedia 'List of American films of 2027' casts (Actions-runner pull 2026-10-08) x comp-based box office/RT estimates; cast lists are billed leads only (cameos not captured)</t>
        </is>
      </c>
      <c r="M180" t="inlineStr">
        <is>
          <t>2026-10-08</t>
        </is>
      </c>
      <c r="N180" t="inlineStr">
        <is>
          <t>late filler</t>
        </is>
      </c>
      <c r="O180">
        <f>'Actress'!Y19</f>
        <v/>
      </c>
    </row>
    <row r="181">
      <c r="A181" t="n">
        <v>180</v>
      </c>
      <c r="B181" t="inlineStr">
        <is>
          <t>MLS</t>
        </is>
      </c>
      <c r="C181" t="inlineStr">
        <is>
          <t>Portland Timbers</t>
        </is>
      </c>
      <c r="D181" t="inlineStr">
        <is>
          <t>— free</t>
        </is>
      </c>
      <c r="E181">
        <f>'MLS'!M25</f>
        <v/>
      </c>
      <c r="F181">
        <f>'MLS'!N25</f>
        <v/>
      </c>
      <c r="G181">
        <f>'MLS'!O25</f>
        <v/>
      </c>
      <c r="H181" t="n">
        <v>4</v>
      </c>
      <c r="I181" t="inlineStr">
        <is>
          <t>2026 Cup: Kalshi 0.5%</t>
        </is>
      </c>
      <c r="J181" t="inlineStr">
        <is>
          <t>2026: 32 pts (as of 10-08; season ends Nov 7)</t>
        </is>
      </c>
      <c r="K181" t="inlineStr">
        <is>
          <t>C</t>
        </is>
      </c>
      <c r="L181" t="inlineStr">
        <is>
          <t>2026 points (league standings, A) + Kalshi KXMLSCUP-26 price as strength proxy, shrunk 50% toward the field</t>
        </is>
      </c>
      <c r="M181" t="inlineStr">
        <is>
          <t>2026-10-08</t>
        </is>
      </c>
      <c r="N181" t="inlineStr">
        <is>
          <t>low confidence: far-out event</t>
        </is>
      </c>
      <c r="O181">
        <f>'MLS'!Y25</f>
        <v/>
      </c>
    </row>
    <row r="182">
      <c r="A182" t="n">
        <v>181</v>
      </c>
      <c r="B182" t="inlineStr">
        <is>
          <t>Musician</t>
        </is>
      </c>
      <c r="C182" t="inlineStr">
        <is>
          <t>BTS</t>
        </is>
      </c>
      <c r="D182" s="16" t="inlineStr">
        <is>
          <t>Theo</t>
        </is>
      </c>
      <c r="E182">
        <f>'Musician'!M14</f>
        <v/>
      </c>
      <c r="F182">
        <f>'Musician'!N14</f>
        <v/>
      </c>
      <c r="G182">
        <f>'Musician'!O14</f>
        <v/>
      </c>
      <c r="H182" t="n">
        <v>3</v>
      </c>
      <c r="I182" t="inlineStr">
        <is>
          <t>Grammy EV 2.6</t>
        </is>
      </c>
      <c r="J182" t="inlineStr">
        <is>
          <t>2026 raw 6; charting now: none charting; carry-over 0.0 + new hits 9.0 (lambda 1.10, P(~0) 33%)</t>
        </is>
      </c>
      <c r="K182" t="inlineStr">
        <is>
          <t>C</t>
        </is>
      </c>
      <c r="L182" t="inlineStr">
        <is>
          <t>2027 Hot 100 baseline = my estimate; Grammy: estimate (C)</t>
        </is>
      </c>
      <c r="M182" t="inlineStr">
        <is>
          <t>2026-10-08</t>
        </is>
      </c>
      <c r="N182" t="inlineStr">
        <is>
          <t>late filler</t>
        </is>
      </c>
      <c r="O182">
        <f>'Musician'!Y14</f>
        <v/>
      </c>
    </row>
    <row r="183">
      <c r="A183" t="n">
        <v>182</v>
      </c>
      <c r="B183" t="inlineStr">
        <is>
          <t>Tennis</t>
        </is>
      </c>
      <c r="C183" t="inlineStr">
        <is>
          <t>Felix Auger-Aliassime</t>
        </is>
      </c>
      <c r="D183" t="inlineStr">
        <is>
          <t>— free</t>
        </is>
      </c>
      <c r="E183">
        <f>'Tennis'!M14</f>
        <v/>
      </c>
      <c r="F183">
        <f>'Tennis'!N14</f>
        <v/>
      </c>
      <c r="G183">
        <f>'Tennis'!O14</f>
        <v/>
      </c>
      <c r="H183" t="n">
        <v>3</v>
      </c>
      <c r="J183" t="inlineStr">
        <is>
          <t>ATP 5 (2026-10-08)</t>
        </is>
      </c>
      <c r="K183" t="inlineStr">
        <is>
          <t>C</t>
        </is>
      </c>
      <c r="L183" t="inlineStr">
        <is>
          <t>ATP rank from league standings pull (A) / WTA via Olympics.com Oct 5; AO odds VegasInsider/Johnnybet Oct 2026; probabilities = agent estimates</t>
        </is>
      </c>
      <c r="M183" t="inlineStr">
        <is>
          <t>2026-10-08</t>
        </is>
      </c>
      <c r="N183" t="inlineStr"/>
      <c r="O183">
        <f>'Tennis'!Y14</f>
        <v/>
      </c>
    </row>
    <row r="184">
      <c r="A184" t="n">
        <v>183</v>
      </c>
      <c r="B184" t="inlineStr">
        <is>
          <t>Actress</t>
        </is>
      </c>
      <c r="C184" t="inlineStr">
        <is>
          <t>Idina Menzel</t>
        </is>
      </c>
      <c r="D184" t="inlineStr">
        <is>
          <t>— free</t>
        </is>
      </c>
      <c r="E184">
        <f>'Actress'!M20</f>
        <v/>
      </c>
      <c r="F184">
        <f>'Actress'!N20</f>
        <v/>
      </c>
      <c r="G184">
        <f>'Actress'!O20</f>
        <v/>
      </c>
      <c r="H184" t="n">
        <v>4</v>
      </c>
      <c r="J184" t="inlineStr">
        <is>
          <t>Frozen 3 (Nov 24)</t>
        </is>
      </c>
      <c r="K184" t="inlineStr">
        <is>
          <t>C</t>
        </is>
      </c>
      <c r="L184" t="inlineStr">
        <is>
          <t>Wikipedia 'List of American films of 2027' casts (Actions-runner pull 2026-10-08) x comp-based box office/RT estimates; cast lists are billed leads only (cameos not captured)</t>
        </is>
      </c>
      <c r="M184" t="inlineStr">
        <is>
          <t>2026-10-08</t>
        </is>
      </c>
      <c r="N184" t="inlineStr">
        <is>
          <t>late filler</t>
        </is>
      </c>
      <c r="O184">
        <f>'Actress'!Y20</f>
        <v/>
      </c>
    </row>
    <row r="185">
      <c r="A185" t="n">
        <v>184</v>
      </c>
      <c r="B185" t="inlineStr">
        <is>
          <t>MLB</t>
        </is>
      </c>
      <c r="C185" t="inlineStr">
        <is>
          <t>Arizona Diamondbacks</t>
        </is>
      </c>
      <c r="D185" t="inlineStr">
        <is>
          <t>— free</t>
        </is>
      </c>
      <c r="E185">
        <f>'MLB'!M14</f>
        <v/>
      </c>
      <c r="F185">
        <f>'MLB'!N14</f>
        <v/>
      </c>
      <c r="G185">
        <f>'MLB'!O14</f>
        <v/>
      </c>
      <c r="H185" t="n">
        <v>3</v>
      </c>
      <c r="J185" t="inlineStr">
        <is>
          <t>2026: 86-76 (.5309)</t>
        </is>
      </c>
      <c r="K185" t="inlineStr">
        <is>
          <t>C</t>
        </is>
      </c>
      <c r="L185" t="inlineStr">
        <is>
          <t>2026 win% from league standings (A); title prob = model estimate — no 2027 World Series odds posted</t>
        </is>
      </c>
      <c r="M185" t="inlineStr">
        <is>
          <t>2026-10-08</t>
        </is>
      </c>
      <c r="N185" t="inlineStr">
        <is>
          <t>low confidence: far-out event</t>
        </is>
      </c>
      <c r="O185">
        <f>'MLB'!Y14</f>
        <v/>
      </c>
    </row>
    <row r="186">
      <c r="A186" t="n">
        <v>185</v>
      </c>
      <c r="B186" t="inlineStr">
        <is>
          <t>NFL</t>
        </is>
      </c>
      <c r="C186" t="inlineStr">
        <is>
          <t>Detroit Lions</t>
        </is>
      </c>
      <c r="D186" s="16" t="inlineStr">
        <is>
          <t>Jamzee</t>
        </is>
      </c>
      <c r="E186">
        <f>'NFL'!M15</f>
        <v/>
      </c>
      <c r="F186">
        <f>'NFL'!N15</f>
        <v/>
      </c>
      <c r="G186">
        <f>'NFL'!O15</f>
        <v/>
      </c>
      <c r="H186" t="n">
        <v>3</v>
      </c>
      <c r="I186" t="inlineStr">
        <is>
          <t>+3500</t>
        </is>
      </c>
      <c r="J186" t="inlineStr">
        <is>
          <t>2-2, NFC North</t>
        </is>
      </c>
      <c r="K186" t="inlineStr">
        <is>
          <t>A</t>
        </is>
      </c>
      <c r="L186" t="inlineStr">
        <is>
          <t>estimate; p(final)=KXNFLAFCCHAMP/KXNFLNFCCHAMP-27 Kalshi mid | league_sim.py: full-schedule + real playoff bracket Monte Carlo, ratings fitted to Kalshi</t>
        </is>
      </c>
      <c r="M186" t="inlineStr">
        <is>
          <t>2026-10-08</t>
        </is>
      </c>
      <c r="N186" t="inlineStr"/>
      <c r="O186">
        <f>'NFL'!Y15</f>
        <v/>
      </c>
    </row>
    <row r="187">
      <c r="A187" t="n">
        <v>186</v>
      </c>
      <c r="B187" t="inlineStr">
        <is>
          <t>MLS</t>
        </is>
      </c>
      <c r="C187" t="inlineStr">
        <is>
          <t>Minnesota United FC</t>
        </is>
      </c>
      <c r="D187" s="16" t="inlineStr">
        <is>
          <t>Wu</t>
        </is>
      </c>
      <c r="E187">
        <f>'MLS'!M26</f>
        <v/>
      </c>
      <c r="F187">
        <f>'MLS'!N26</f>
        <v/>
      </c>
      <c r="G187">
        <f>'MLS'!O26</f>
        <v/>
      </c>
      <c r="H187" t="n">
        <v>4</v>
      </c>
      <c r="I187" t="inlineStr">
        <is>
          <t>2026 Cup: Kalshi 0.5%</t>
        </is>
      </c>
      <c r="J187" t="inlineStr">
        <is>
          <t>2026: 29 pts (as of 10-08; season ends Nov 7)</t>
        </is>
      </c>
      <c r="K187" t="inlineStr">
        <is>
          <t>C</t>
        </is>
      </c>
      <c r="L187" t="inlineStr">
        <is>
          <t>2026 points (league standings, A) + Kalshi KXMLSCUP-26 price as strength proxy, shrunk 50% toward the field</t>
        </is>
      </c>
      <c r="M187" t="inlineStr">
        <is>
          <t>2026-10-08</t>
        </is>
      </c>
      <c r="N187" t="inlineStr">
        <is>
          <t>low confidence: far-out event</t>
        </is>
      </c>
      <c r="O187">
        <f>'MLS'!Y26</f>
        <v/>
      </c>
    </row>
    <row r="188">
      <c r="A188" t="n">
        <v>187</v>
      </c>
      <c r="B188" t="inlineStr">
        <is>
          <t>MLS</t>
        </is>
      </c>
      <c r="C188" t="inlineStr">
        <is>
          <t>Real Salt Lake</t>
        </is>
      </c>
      <c r="D188" t="inlineStr">
        <is>
          <t>— free</t>
        </is>
      </c>
      <c r="E188">
        <f>'MLS'!M27</f>
        <v/>
      </c>
      <c r="F188">
        <f>'MLS'!N27</f>
        <v/>
      </c>
      <c r="G188">
        <f>'MLS'!O27</f>
        <v/>
      </c>
      <c r="H188" t="n">
        <v>4</v>
      </c>
      <c r="I188" t="inlineStr">
        <is>
          <t>2026 Cup: Kalshi 0.5%</t>
        </is>
      </c>
      <c r="J188" t="inlineStr">
        <is>
          <t>2026: 32 pts (as of 10-08; season ends Nov 7)</t>
        </is>
      </c>
      <c r="K188" t="inlineStr">
        <is>
          <t>C</t>
        </is>
      </c>
      <c r="L188" t="inlineStr">
        <is>
          <t>2026 points (league standings, A) + Kalshi KXMLSCUP-26 price as strength proxy, shrunk 50% toward the field</t>
        </is>
      </c>
      <c r="M188" t="inlineStr">
        <is>
          <t>2026-10-08</t>
        </is>
      </c>
      <c r="N188" t="inlineStr">
        <is>
          <t>low confidence: far-out event</t>
        </is>
      </c>
      <c r="O188">
        <f>'MLS'!Y27</f>
        <v/>
      </c>
    </row>
    <row r="189">
      <c r="A189" t="n">
        <v>188</v>
      </c>
      <c r="B189" t="inlineStr">
        <is>
          <t>MLS</t>
        </is>
      </c>
      <c r="C189" t="inlineStr">
        <is>
          <t>Austin FC</t>
        </is>
      </c>
      <c r="D189" t="inlineStr">
        <is>
          <t>— free</t>
        </is>
      </c>
      <c r="E189">
        <f>'MLS'!M28</f>
        <v/>
      </c>
      <c r="F189">
        <f>'MLS'!N28</f>
        <v/>
      </c>
      <c r="G189">
        <f>'MLS'!O28</f>
        <v/>
      </c>
      <c r="H189" t="n">
        <v>4</v>
      </c>
      <c r="I189" t="inlineStr">
        <is>
          <t>2026 Cup: Kalshi 0.5%</t>
        </is>
      </c>
      <c r="J189" t="inlineStr">
        <is>
          <t>2026: 31 pts (as of 10-08; season ends Nov 7)</t>
        </is>
      </c>
      <c r="K189" t="inlineStr">
        <is>
          <t>C</t>
        </is>
      </c>
      <c r="L189" t="inlineStr">
        <is>
          <t>2026 points (league standings, A) + Kalshi KXMLSCUP-26 price as strength proxy, shrunk 50% toward the field</t>
        </is>
      </c>
      <c r="M189" t="inlineStr">
        <is>
          <t>2026-10-08</t>
        </is>
      </c>
      <c r="N189" t="inlineStr">
        <is>
          <t>low confidence: far-out event</t>
        </is>
      </c>
      <c r="O189">
        <f>'MLS'!Y28</f>
        <v/>
      </c>
    </row>
    <row r="190">
      <c r="A190" t="n">
        <v>189</v>
      </c>
      <c r="B190" t="inlineStr">
        <is>
          <t>MLS</t>
        </is>
      </c>
      <c r="C190" t="inlineStr">
        <is>
          <t>D.C. United</t>
        </is>
      </c>
      <c r="D190" t="inlineStr">
        <is>
          <t>— free</t>
        </is>
      </c>
      <c r="E190">
        <f>'MLS'!M29</f>
        <v/>
      </c>
      <c r="F190">
        <f>'MLS'!N29</f>
        <v/>
      </c>
      <c r="G190">
        <f>'MLS'!O29</f>
        <v/>
      </c>
      <c r="H190" t="n">
        <v>4</v>
      </c>
      <c r="I190" t="inlineStr">
        <is>
          <t>2026 Cup: Kalshi 0.5%</t>
        </is>
      </c>
      <c r="J190" t="inlineStr">
        <is>
          <t>2026: 30 pts (as of 10-08; season ends Nov 7)</t>
        </is>
      </c>
      <c r="K190" t="inlineStr">
        <is>
          <t>C</t>
        </is>
      </c>
      <c r="L190" t="inlineStr">
        <is>
          <t>2026 points (league standings, A) + Kalshi KXMLSCUP-26 price as strength proxy, shrunk 50% toward the field</t>
        </is>
      </c>
      <c r="M190" t="inlineStr">
        <is>
          <t>2026-10-08</t>
        </is>
      </c>
      <c r="N190" t="inlineStr">
        <is>
          <t>low confidence: far-out event</t>
        </is>
      </c>
      <c r="O190">
        <f>'MLS'!Y29</f>
        <v/>
      </c>
    </row>
    <row r="191">
      <c r="A191" t="n">
        <v>190</v>
      </c>
      <c r="B191" t="inlineStr">
        <is>
          <t>Golf</t>
        </is>
      </c>
      <c r="C191" t="inlineStr">
        <is>
          <t>Sam Burns</t>
        </is>
      </c>
      <c r="D191" t="inlineStr">
        <is>
          <t>— free</t>
        </is>
      </c>
      <c r="E191">
        <f>'Golf'!M13</f>
        <v/>
      </c>
      <c r="F191">
        <f>'Golf'!N13</f>
        <v/>
      </c>
      <c r="G191">
        <f>'Golf'!O13</f>
        <v/>
      </c>
      <c r="H191" t="n">
        <v>3</v>
      </c>
      <c r="J191" t="inlineStr">
        <is>
          <t>OWGR 9 (2026-10-08)</t>
        </is>
      </c>
      <c r="K191" t="inlineStr">
        <is>
          <t>C</t>
        </is>
      </c>
      <c r="L191" t="inlineStr">
        <is>
          <t>OWGR rank from league standings pull (A); major-win probabilities = model (rank-weighted share of 4 majors)</t>
        </is>
      </c>
      <c r="M191" t="inlineStr">
        <is>
          <t>2026-10-08</t>
        </is>
      </c>
      <c r="N191" t="inlineStr"/>
      <c r="O191">
        <f>'Golf'!Y13</f>
        <v/>
      </c>
    </row>
    <row r="192">
      <c r="A192" t="n">
        <v>191</v>
      </c>
      <c r="B192" t="inlineStr">
        <is>
          <t>Actress</t>
        </is>
      </c>
      <c r="C192" t="inlineStr">
        <is>
          <t>Zendaya</t>
        </is>
      </c>
      <c r="D192" s="16" t="inlineStr">
        <is>
          <t>Wu</t>
        </is>
      </c>
      <c r="E192">
        <f>'Actress'!M21</f>
        <v/>
      </c>
      <c r="F192">
        <f>'Actress'!N21</f>
        <v/>
      </c>
      <c r="G192">
        <f>'Actress'!O21</f>
        <v/>
      </c>
      <c r="H192" t="n">
        <v>4</v>
      </c>
      <c r="J192" t="inlineStr">
        <is>
          <t>Shrek 5 (Jun 30)</t>
        </is>
      </c>
      <c r="K192" t="inlineStr">
        <is>
          <t>C</t>
        </is>
      </c>
      <c r="L192" t="inlineStr">
        <is>
          <t>Wikipedia 'List of American films of 2027' casts (Actions-runner pull 2026-10-08) x comp-based box office/RT estimates; cast lists are billed leads only (cameos not captured)</t>
        </is>
      </c>
      <c r="M192" t="inlineStr">
        <is>
          <t>2026-10-08</t>
        </is>
      </c>
      <c r="N192" t="inlineStr">
        <is>
          <t>late filler</t>
        </is>
      </c>
      <c r="O192">
        <f>'Actress'!Y21</f>
        <v/>
      </c>
    </row>
    <row r="193">
      <c r="A193" t="n">
        <v>192</v>
      </c>
      <c r="B193" t="inlineStr">
        <is>
          <t>MLS</t>
        </is>
      </c>
      <c r="C193" t="inlineStr">
        <is>
          <t>Columbus Crew</t>
        </is>
      </c>
      <c r="D193" s="16" t="inlineStr">
        <is>
          <t>Fryar</t>
        </is>
      </c>
      <c r="E193">
        <f>'MLS'!M30</f>
        <v/>
      </c>
      <c r="F193">
        <f>'MLS'!N30</f>
        <v/>
      </c>
      <c r="G193">
        <f>'MLS'!O30</f>
        <v/>
      </c>
      <c r="H193" t="n">
        <v>4</v>
      </c>
      <c r="I193" t="inlineStr">
        <is>
          <t>2026 Cup: Kalshi 0.5%</t>
        </is>
      </c>
      <c r="J193" t="inlineStr">
        <is>
          <t>2026: 29 pts (as of 10-08; season ends Nov 7)</t>
        </is>
      </c>
      <c r="K193" t="inlineStr">
        <is>
          <t>C</t>
        </is>
      </c>
      <c r="L193" t="inlineStr">
        <is>
          <t>2026 points (league standings, A) + Kalshi KXMLSCUP-26 price as strength proxy, shrunk 50% toward the field</t>
        </is>
      </c>
      <c r="M193" t="inlineStr">
        <is>
          <t>2026-10-08</t>
        </is>
      </c>
      <c r="N193" t="inlineStr">
        <is>
          <t>low confidence: far-out event</t>
        </is>
      </c>
      <c r="O193">
        <f>'MLS'!Y30</f>
        <v/>
      </c>
    </row>
    <row r="194">
      <c r="A194" t="n">
        <v>193</v>
      </c>
      <c r="B194" t="inlineStr">
        <is>
          <t>MLS</t>
        </is>
      </c>
      <c r="C194" t="inlineStr">
        <is>
          <t>Toronto FC</t>
        </is>
      </c>
      <c r="D194" t="inlineStr">
        <is>
          <t>— free</t>
        </is>
      </c>
      <c r="E194">
        <f>'MLS'!M31</f>
        <v/>
      </c>
      <c r="F194">
        <f>'MLS'!N31</f>
        <v/>
      </c>
      <c r="G194">
        <f>'MLS'!O31</f>
        <v/>
      </c>
      <c r="H194" t="n">
        <v>4</v>
      </c>
      <c r="I194" t="inlineStr">
        <is>
          <t>2026 Cup: Kalshi 0.5%</t>
        </is>
      </c>
      <c r="J194" t="inlineStr">
        <is>
          <t>2026: 29 pts (as of 10-08; season ends Nov 7)</t>
        </is>
      </c>
      <c r="K194" t="inlineStr">
        <is>
          <t>C</t>
        </is>
      </c>
      <c r="L194" t="inlineStr">
        <is>
          <t>2026 points (league standings, A) + Kalshi KXMLSCUP-26 price as strength proxy, shrunk 50% toward the field</t>
        </is>
      </c>
      <c r="M194" t="inlineStr">
        <is>
          <t>2026-10-08</t>
        </is>
      </c>
      <c r="N194" t="inlineStr">
        <is>
          <t>low confidence: far-out event</t>
        </is>
      </c>
      <c r="O194">
        <f>'MLS'!Y31</f>
        <v/>
      </c>
    </row>
    <row r="195">
      <c r="A195" t="n">
        <v>194</v>
      </c>
      <c r="B195" t="inlineStr">
        <is>
          <t>Actress</t>
        </is>
      </c>
      <c r="C195" t="inlineStr">
        <is>
          <t>Amanda Seyfried</t>
        </is>
      </c>
      <c r="D195" s="16" t="inlineStr">
        <is>
          <t>Jens</t>
        </is>
      </c>
      <c r="E195">
        <f>'Actress'!M22</f>
        <v/>
      </c>
      <c r="F195">
        <f>'Actress'!N22</f>
        <v/>
      </c>
      <c r="G195">
        <f>'Actress'!O22</f>
        <v/>
      </c>
      <c r="H195" t="n">
        <v>4</v>
      </c>
      <c r="J195" t="inlineStr">
        <is>
          <t>no 2027 film found in Wikipedia's cast lists</t>
        </is>
      </c>
      <c r="K195" t="inlineStr">
        <is>
          <t>C</t>
        </is>
      </c>
      <c r="L195" t="inlineStr">
        <is>
          <t>Wikipedia 'List of American films of 2027' casts (Actions-runner pull 2026-10-08) x comp-based box office/RT estimates; cast lists are billed leads only (cameos not captured)</t>
        </is>
      </c>
      <c r="M195" t="inlineStr">
        <is>
          <t>2026-10-08</t>
        </is>
      </c>
      <c r="N195" t="inlineStr">
        <is>
          <t>Overpriced by the field on award buzz: skip</t>
        </is>
      </c>
      <c r="O195">
        <f>'Actress'!Y22</f>
        <v/>
      </c>
    </row>
    <row r="196">
      <c r="A196" t="n">
        <v>195</v>
      </c>
      <c r="B196" t="inlineStr">
        <is>
          <t>MLS</t>
        </is>
      </c>
      <c r="C196" t="inlineStr">
        <is>
          <t>Atlanta United FC</t>
        </is>
      </c>
      <c r="D196" t="inlineStr">
        <is>
          <t>— free</t>
        </is>
      </c>
      <c r="E196">
        <f>'MLS'!M32</f>
        <v/>
      </c>
      <c r="F196">
        <f>'MLS'!N32</f>
        <v/>
      </c>
      <c r="G196">
        <f>'MLS'!O32</f>
        <v/>
      </c>
      <c r="H196" t="n">
        <v>4</v>
      </c>
      <c r="I196" t="inlineStr">
        <is>
          <t>2026 Cup: Kalshi 0.5%</t>
        </is>
      </c>
      <c r="J196" t="inlineStr">
        <is>
          <t>2026: 27 pts (as of 10-08; season ends Nov 7)</t>
        </is>
      </c>
      <c r="K196" t="inlineStr">
        <is>
          <t>C</t>
        </is>
      </c>
      <c r="L196" t="inlineStr">
        <is>
          <t>2026 points (league standings, A) + Kalshi KXMLSCUP-26 price as strength proxy, shrunk 50% toward the field</t>
        </is>
      </c>
      <c r="M196" t="inlineStr">
        <is>
          <t>2026-10-08</t>
        </is>
      </c>
      <c r="N196" t="inlineStr">
        <is>
          <t>low confidence: far-out event</t>
        </is>
      </c>
      <c r="O196">
        <f>'MLS'!Y32</f>
        <v/>
      </c>
    </row>
    <row r="197">
      <c r="A197" t="n">
        <v>196</v>
      </c>
      <c r="B197" t="inlineStr">
        <is>
          <t>MLB</t>
        </is>
      </c>
      <c r="C197" t="inlineStr">
        <is>
          <t>Cleveland Guardians</t>
        </is>
      </c>
      <c r="D197" s="16" t="inlineStr">
        <is>
          <t>Fryar</t>
        </is>
      </c>
      <c r="E197">
        <f>'MLB'!M15</f>
        <v/>
      </c>
      <c r="F197">
        <f>'MLB'!N15</f>
        <v/>
      </c>
      <c r="G197">
        <f>'MLB'!O15</f>
        <v/>
      </c>
      <c r="H197" t="n">
        <v>3</v>
      </c>
      <c r="J197" t="inlineStr">
        <is>
          <t>2026: 85-77 (.5247)</t>
        </is>
      </c>
      <c r="K197" t="inlineStr">
        <is>
          <t>C</t>
        </is>
      </c>
      <c r="L197" t="inlineStr">
        <is>
          <t>2026 win% from league standings (A); title prob = model estimate — no 2027 World Series odds posted</t>
        </is>
      </c>
      <c r="M197" t="inlineStr">
        <is>
          <t>2026-10-08</t>
        </is>
      </c>
      <c r="N197" t="inlineStr">
        <is>
          <t>low confidence: far-out event</t>
        </is>
      </c>
      <c r="O197">
        <f>'MLB'!Y15</f>
        <v/>
      </c>
    </row>
    <row r="198">
      <c r="A198" t="n">
        <v>197</v>
      </c>
      <c r="B198" t="inlineStr">
        <is>
          <t>MLB</t>
        </is>
      </c>
      <c r="C198" t="inlineStr">
        <is>
          <t>Pittsburgh Pirates</t>
        </is>
      </c>
      <c r="D198" t="inlineStr">
        <is>
          <t>— free</t>
        </is>
      </c>
      <c r="E198">
        <f>'MLB'!M16</f>
        <v/>
      </c>
      <c r="F198">
        <f>'MLB'!N16</f>
        <v/>
      </c>
      <c r="G198">
        <f>'MLB'!O16</f>
        <v/>
      </c>
      <c r="H198" t="n">
        <v>3</v>
      </c>
      <c r="J198" t="inlineStr">
        <is>
          <t>2026: 82-80 (.5062)</t>
        </is>
      </c>
      <c r="K198" t="inlineStr">
        <is>
          <t>C</t>
        </is>
      </c>
      <c r="L198" t="inlineStr">
        <is>
          <t>2026 win% from league standings (A); title prob = model estimate — no 2027 World Series odds posted</t>
        </is>
      </c>
      <c r="M198" t="inlineStr">
        <is>
          <t>2026-10-08</t>
        </is>
      </c>
      <c r="N198" t="inlineStr">
        <is>
          <t>low confidence: far-out event</t>
        </is>
      </c>
      <c r="O198">
        <f>'MLB'!Y16</f>
        <v/>
      </c>
    </row>
    <row r="199">
      <c r="A199" t="n">
        <v>198</v>
      </c>
      <c r="B199" t="inlineStr">
        <is>
          <t>NFL</t>
        </is>
      </c>
      <c r="C199" t="inlineStr">
        <is>
          <t>Seattle Seahawks</t>
        </is>
      </c>
      <c r="D199" s="16" t="inlineStr">
        <is>
          <t>Tim</t>
        </is>
      </c>
      <c r="E199">
        <f>'NFL'!M16</f>
        <v/>
      </c>
      <c r="F199">
        <f>'NFL'!N16</f>
        <v/>
      </c>
      <c r="G199">
        <f>'NFL'!O16</f>
        <v/>
      </c>
      <c r="H199" t="n">
        <v>3</v>
      </c>
      <c r="I199" t="inlineStr">
        <is>
          <t>Kalshi 8.5%</t>
        </is>
      </c>
      <c r="J199" t="inlineStr">
        <is>
          <t>3-1, NFC West</t>
        </is>
      </c>
      <c r="K199" t="inlineStr">
        <is>
          <t>A</t>
        </is>
      </c>
      <c r="L199" t="inlineStr">
        <is>
          <t>KXSB-27 exchange mid-price, pulled 2026-10-08; p(final)=KXNFLAFCCHAMP/KXNFLNFCCHAMP-27 Kalshi mid | league_sim.py: full-schedule + real playoff bracket Monte Carlo, ratings fitted to Kalshi</t>
        </is>
      </c>
      <c r="M199" t="inlineStr">
        <is>
          <t>2026-10-08</t>
        </is>
      </c>
      <c r="N199" t="inlineStr"/>
      <c r="O199">
        <f>'NFL'!Y16</f>
        <v/>
      </c>
    </row>
    <row r="200">
      <c r="A200" t="n">
        <v>199</v>
      </c>
      <c r="B200" t="inlineStr">
        <is>
          <t>NBA</t>
        </is>
      </c>
      <c r="C200" t="inlineStr">
        <is>
          <t>Cleveland Cavaliers</t>
        </is>
      </c>
      <c r="D200" s="16" t="inlineStr">
        <is>
          <t>Jens</t>
        </is>
      </c>
      <c r="E200">
        <f>'NBA'!M18</f>
        <v/>
      </c>
      <c r="F200">
        <f>'NBA'!N18</f>
        <v/>
      </c>
      <c r="G200">
        <f>'NBA'!O18</f>
        <v/>
      </c>
      <c r="H200" t="n">
        <v>4</v>
      </c>
      <c r="I200" t="inlineStr">
        <is>
          <t>Kalshi 2.5%</t>
        </is>
      </c>
      <c r="J200" t="inlineStr">
        <is>
          <t>East; win total 47.5</t>
        </is>
      </c>
      <c r="K200" t="inlineStr">
        <is>
          <t>A</t>
        </is>
      </c>
      <c r="L200" t="inlineStr">
        <is>
          <t>KXNBA-27 exchange mid-price, pulled 2026-10-08; p(final)=KXNBAEAST/KXNBAWEST-27 Kalshi mid | league_sim.py: full-schedule + real playoff bracket Monte Carlo, ratings fitted to Kalshi</t>
        </is>
      </c>
      <c r="M200" t="inlineStr">
        <is>
          <t>2026-10-08</t>
        </is>
      </c>
      <c r="N200" t="inlineStr"/>
      <c r="O200">
        <f>'NBA'!Y18</f>
        <v/>
      </c>
    </row>
    <row r="201">
      <c r="A201" t="n">
        <v>200</v>
      </c>
      <c r="B201" t="inlineStr">
        <is>
          <t>NHL</t>
        </is>
      </c>
      <c r="C201" t="inlineStr">
        <is>
          <t>Boston Bruins</t>
        </is>
      </c>
      <c r="D201" s="16" t="inlineStr">
        <is>
          <t>Shep</t>
        </is>
      </c>
      <c r="E201">
        <f>'NHL'!M15</f>
        <v/>
      </c>
      <c r="F201">
        <f>'NHL'!N15</f>
        <v/>
      </c>
      <c r="G201">
        <f>'NHL'!O15</f>
        <v/>
      </c>
      <c r="H201" t="n">
        <v>3</v>
      </c>
      <c r="I201" t="inlineStr">
        <is>
          <t>Kalshi +9900</t>
        </is>
      </c>
      <c r="J201" t="inlineStr">
        <is>
          <t>East</t>
        </is>
      </c>
      <c r="K201" t="inlineStr">
        <is>
          <t>A</t>
        </is>
      </c>
      <c r="L201" t="inlineStr">
        <is>
          <t>Kalshi Cup market (~1 month old) normalised; points totals SportsBettingDime | league_sim.py: full-schedule + real playoff bracket Monte Carlo, ratings fitted to Kalshi</t>
        </is>
      </c>
      <c r="M201" t="inlineStr">
        <is>
          <t>2026-10-08</t>
        </is>
      </c>
      <c r="N201" t="inlineStr"/>
      <c r="O201">
        <f>'NHL'!Y15</f>
        <v/>
      </c>
    </row>
    <row r="202">
      <c r="A202" t="n">
        <v>201</v>
      </c>
      <c r="B202" t="inlineStr">
        <is>
          <t>MLB</t>
        </is>
      </c>
      <c r="C202" t="inlineStr">
        <is>
          <t>Toronto Blue Jays</t>
        </is>
      </c>
      <c r="D202" s="16" t="inlineStr">
        <is>
          <t>Korch</t>
        </is>
      </c>
      <c r="E202">
        <f>'MLB'!M17</f>
        <v/>
      </c>
      <c r="F202">
        <f>'MLB'!N17</f>
        <v/>
      </c>
      <c r="G202">
        <f>'MLB'!O17</f>
        <v/>
      </c>
      <c r="H202" t="n">
        <v>3</v>
      </c>
      <c r="J202" t="inlineStr">
        <is>
          <t>2026: 79-83 (.4877)</t>
        </is>
      </c>
      <c r="K202" t="inlineStr">
        <is>
          <t>C</t>
        </is>
      </c>
      <c r="L202" t="inlineStr">
        <is>
          <t>2026 win% from league standings (A); title prob = model estimate — no 2027 World Series odds posted</t>
        </is>
      </c>
      <c r="M202" t="inlineStr">
        <is>
          <t>2026-10-08</t>
        </is>
      </c>
      <c r="N202" t="inlineStr">
        <is>
          <t>low confidence: far-out event</t>
        </is>
      </c>
      <c r="O202">
        <f>'MLB'!Y17</f>
        <v/>
      </c>
    </row>
    <row r="203">
      <c r="A203" t="n">
        <v>202</v>
      </c>
      <c r="B203" t="inlineStr">
        <is>
          <t>MLS</t>
        </is>
      </c>
      <c r="C203" t="inlineStr">
        <is>
          <t>CF Montréal</t>
        </is>
      </c>
      <c r="D203" t="inlineStr">
        <is>
          <t>— free</t>
        </is>
      </c>
      <c r="E203">
        <f>'MLS'!M33</f>
        <v/>
      </c>
      <c r="F203">
        <f>'MLS'!N33</f>
        <v/>
      </c>
      <c r="G203">
        <f>'MLS'!O33</f>
        <v/>
      </c>
      <c r="H203" t="n">
        <v>4</v>
      </c>
      <c r="I203" t="inlineStr">
        <is>
          <t>2026 Cup: Kalshi 0.5%</t>
        </is>
      </c>
      <c r="J203" t="inlineStr">
        <is>
          <t>2026: 24 pts (as of 10-08; season ends Nov 7)</t>
        </is>
      </c>
      <c r="K203" t="inlineStr">
        <is>
          <t>C</t>
        </is>
      </c>
      <c r="L203" t="inlineStr">
        <is>
          <t>2026 points (league standings, A) + Kalshi KXMLSCUP-26 price as strength proxy, shrunk 50% toward the field</t>
        </is>
      </c>
      <c r="M203" t="inlineStr">
        <is>
          <t>2026-10-08</t>
        </is>
      </c>
      <c r="N203" t="inlineStr">
        <is>
          <t>low confidence: far-out event</t>
        </is>
      </c>
      <c r="O203">
        <f>'MLS'!Y33</f>
        <v/>
      </c>
    </row>
    <row r="204">
      <c r="A204" t="n">
        <v>203</v>
      </c>
      <c r="B204" t="inlineStr">
        <is>
          <t>MLB</t>
        </is>
      </c>
      <c r="C204" t="inlineStr">
        <is>
          <t>Baltimore Orioles</t>
        </is>
      </c>
      <c r="D204" t="inlineStr">
        <is>
          <t>— free</t>
        </is>
      </c>
      <c r="E204">
        <f>'MLB'!M18</f>
        <v/>
      </c>
      <c r="F204">
        <f>'MLB'!N18</f>
        <v/>
      </c>
      <c r="G204">
        <f>'MLB'!O18</f>
        <v/>
      </c>
      <c r="H204" t="n">
        <v>4</v>
      </c>
      <c r="J204" t="inlineStr">
        <is>
          <t>2026: 79-83 (.4907)</t>
        </is>
      </c>
      <c r="K204" t="inlineStr">
        <is>
          <t>C</t>
        </is>
      </c>
      <c r="L204" t="inlineStr">
        <is>
          <t>2026 win% from league standings (A); title prob = model estimate — no 2027 World Series odds posted</t>
        </is>
      </c>
      <c r="M204" t="inlineStr">
        <is>
          <t>2026-10-08</t>
        </is>
      </c>
      <c r="N204" t="inlineStr">
        <is>
          <t>low confidence: far-out event</t>
        </is>
      </c>
      <c r="O204">
        <f>'MLB'!Y18</f>
        <v/>
      </c>
    </row>
    <row r="205">
      <c r="A205" t="n">
        <v>204</v>
      </c>
      <c r="B205" t="inlineStr">
        <is>
          <t>MLB</t>
        </is>
      </c>
      <c r="C205" t="inlineStr">
        <is>
          <t>New York Mets</t>
        </is>
      </c>
      <c r="D205" s="16" t="inlineStr">
        <is>
          <t>Feder</t>
        </is>
      </c>
      <c r="E205">
        <f>'MLB'!M19</f>
        <v/>
      </c>
      <c r="F205">
        <f>'MLB'!N19</f>
        <v/>
      </c>
      <c r="G205">
        <f>'MLB'!O19</f>
        <v/>
      </c>
      <c r="H205" t="n">
        <v>4</v>
      </c>
      <c r="J205" t="inlineStr">
        <is>
          <t>2026: 74-88 (.4568)</t>
        </is>
      </c>
      <c r="K205" t="inlineStr">
        <is>
          <t>C</t>
        </is>
      </c>
      <c r="L205" t="inlineStr">
        <is>
          <t>2026 win% from league standings (A); title prob = model estimate — no 2027 World Series odds posted</t>
        </is>
      </c>
      <c r="M205" t="inlineStr">
        <is>
          <t>2026-10-08</t>
        </is>
      </c>
      <c r="N205" t="inlineStr">
        <is>
          <t>low confidence: far-out event</t>
        </is>
      </c>
      <c r="O205">
        <f>'MLB'!Y19</f>
        <v/>
      </c>
    </row>
    <row r="206">
      <c r="A206" t="n">
        <v>205</v>
      </c>
      <c r="B206" t="inlineStr">
        <is>
          <t>MLS</t>
        </is>
      </c>
      <c r="C206" t="inlineStr">
        <is>
          <t>Sporting Kansas City</t>
        </is>
      </c>
      <c r="D206" t="inlineStr">
        <is>
          <t>— free</t>
        </is>
      </c>
      <c r="E206">
        <f>'MLS'!M34</f>
        <v/>
      </c>
      <c r="F206">
        <f>'MLS'!N34</f>
        <v/>
      </c>
      <c r="G206">
        <f>'MLS'!O34</f>
        <v/>
      </c>
      <c r="H206" t="n">
        <v>4</v>
      </c>
      <c r="I206" t="inlineStr">
        <is>
          <t>2026 Cup: Kalshi 0.5%</t>
        </is>
      </c>
      <c r="J206" t="inlineStr">
        <is>
          <t>2026: 21 pts (as of 10-08; season ends Nov 7)</t>
        </is>
      </c>
      <c r="K206" t="inlineStr">
        <is>
          <t>C</t>
        </is>
      </c>
      <c r="L206" t="inlineStr">
        <is>
          <t>2026 points (league standings, A) + Kalshi KXMLSCUP-26 price as strength proxy, shrunk 50% toward the field</t>
        </is>
      </c>
      <c r="M206" t="inlineStr">
        <is>
          <t>2026-10-08</t>
        </is>
      </c>
      <c r="N206" t="inlineStr">
        <is>
          <t>low confidence: far-out event</t>
        </is>
      </c>
      <c r="O206">
        <f>'MLS'!Y34</f>
        <v/>
      </c>
    </row>
    <row r="207">
      <c r="A207" t="n">
        <v>206</v>
      </c>
      <c r="B207" t="inlineStr">
        <is>
          <t>MLB</t>
        </is>
      </c>
      <c r="C207" t="inlineStr">
        <is>
          <t>Houston Astros</t>
        </is>
      </c>
      <c r="D207" s="16" t="inlineStr">
        <is>
          <t>Shep</t>
        </is>
      </c>
      <c r="E207">
        <f>'MLB'!M20</f>
        <v/>
      </c>
      <c r="F207">
        <f>'MLB'!N20</f>
        <v/>
      </c>
      <c r="G207">
        <f>'MLB'!O20</f>
        <v/>
      </c>
      <c r="H207" t="n">
        <v>4</v>
      </c>
      <c r="J207" t="inlineStr">
        <is>
          <t>2026: 81-81 (.5000)</t>
        </is>
      </c>
      <c r="K207" t="inlineStr">
        <is>
          <t>C</t>
        </is>
      </c>
      <c r="L207" t="inlineStr">
        <is>
          <t>2026 win% from league standings (A); title prob = model estimate — no 2027 World Series odds posted</t>
        </is>
      </c>
      <c r="M207" t="inlineStr">
        <is>
          <t>2026-10-08</t>
        </is>
      </c>
      <c r="N207" t="inlineStr">
        <is>
          <t>low confidence: far-out event</t>
        </is>
      </c>
      <c r="O207">
        <f>'MLB'!Y20</f>
        <v/>
      </c>
    </row>
    <row r="208">
      <c r="A208" t="n">
        <v>207</v>
      </c>
      <c r="B208" t="inlineStr">
        <is>
          <t>MLB</t>
        </is>
      </c>
      <c r="C208" t="inlineStr">
        <is>
          <t>Chicago White Sox</t>
        </is>
      </c>
      <c r="D208" t="inlineStr">
        <is>
          <t>— free</t>
        </is>
      </c>
      <c r="E208">
        <f>'MLB'!M21</f>
        <v/>
      </c>
      <c r="F208">
        <f>'MLB'!N21</f>
        <v/>
      </c>
      <c r="G208">
        <f>'MLB'!O21</f>
        <v/>
      </c>
      <c r="H208" t="n">
        <v>4</v>
      </c>
      <c r="J208" t="inlineStr">
        <is>
          <t>2026: 84-78 (.5185)</t>
        </is>
      </c>
      <c r="K208" t="inlineStr">
        <is>
          <t>C</t>
        </is>
      </c>
      <c r="L208" t="inlineStr">
        <is>
          <t>2026 win% from league standings (A); title prob = model estimate — no 2027 World Series odds posted</t>
        </is>
      </c>
      <c r="M208" t="inlineStr">
        <is>
          <t>2026-10-08</t>
        </is>
      </c>
      <c r="N208" t="inlineStr">
        <is>
          <t>low confidence: far-out event</t>
        </is>
      </c>
      <c r="O208">
        <f>'MLB'!Y21</f>
        <v/>
      </c>
    </row>
    <row r="209">
      <c r="A209" t="n">
        <v>208</v>
      </c>
      <c r="B209" t="inlineStr">
        <is>
          <t>Tennis</t>
        </is>
      </c>
      <c r="C209" t="inlineStr">
        <is>
          <t>Daniil Medvedev</t>
        </is>
      </c>
      <c r="D209" s="16" t="inlineStr">
        <is>
          <t>Molmen</t>
        </is>
      </c>
      <c r="E209">
        <f>'Tennis'!M15</f>
        <v/>
      </c>
      <c r="F209">
        <f>'Tennis'!N15</f>
        <v/>
      </c>
      <c r="G209">
        <f>'Tennis'!O15</f>
        <v/>
      </c>
      <c r="H209" t="n">
        <v>3</v>
      </c>
      <c r="J209" t="inlineStr">
        <is>
          <t>ATP 6 (2026-10-08)</t>
        </is>
      </c>
      <c r="K209" t="inlineStr">
        <is>
          <t>C</t>
        </is>
      </c>
      <c r="L209" t="inlineStr">
        <is>
          <t>ATP rank from league standings pull (A) / WTA via Olympics.com Oct 5; AO odds VegasInsider/Johnnybet Oct 2026; probabilities = agent estimates</t>
        </is>
      </c>
      <c r="M209" t="inlineStr">
        <is>
          <t>2026-10-08</t>
        </is>
      </c>
      <c r="N209" t="inlineStr"/>
      <c r="O209">
        <f>'Tennis'!Y15</f>
        <v/>
      </c>
    </row>
    <row r="210">
      <c r="A210" t="n">
        <v>209</v>
      </c>
      <c r="B210" t="inlineStr">
        <is>
          <t>MLB</t>
        </is>
      </c>
      <c r="C210" t="inlineStr">
        <is>
          <t>Texas Rangers</t>
        </is>
      </c>
      <c r="D210" s="16" t="inlineStr">
        <is>
          <t>Molmen</t>
        </is>
      </c>
      <c r="E210">
        <f>'MLB'!M22</f>
        <v/>
      </c>
      <c r="F210">
        <f>'MLB'!N22</f>
        <v/>
      </c>
      <c r="G210">
        <f>'MLB'!O22</f>
        <v/>
      </c>
      <c r="H210" t="n">
        <v>4</v>
      </c>
      <c r="J210" t="inlineStr">
        <is>
          <t>2026: 80-82 (.4938)</t>
        </is>
      </c>
      <c r="K210" t="inlineStr">
        <is>
          <t>C</t>
        </is>
      </c>
      <c r="L210" t="inlineStr">
        <is>
          <t>2026 win% from league standings (A); title prob = model estimate — no 2027 World Series odds posted</t>
        </is>
      </c>
      <c r="M210" t="inlineStr">
        <is>
          <t>2026-10-08</t>
        </is>
      </c>
      <c r="N210" t="inlineStr">
        <is>
          <t>low confidence: far-out event</t>
        </is>
      </c>
      <c r="O210">
        <f>'MLB'!Y22</f>
        <v/>
      </c>
    </row>
    <row r="211">
      <c r="A211" t="n">
        <v>210</v>
      </c>
      <c r="B211" t="inlineStr">
        <is>
          <t>Country</t>
        </is>
      </c>
      <c r="C211" t="inlineStr">
        <is>
          <t>Saudi Arabia</t>
        </is>
      </c>
      <c r="D211" t="inlineStr">
        <is>
          <t>— free</t>
        </is>
      </c>
      <c r="E211">
        <f>'Country'!M12</f>
        <v/>
      </c>
      <c r="F211">
        <f>'Country'!N12</f>
        <v/>
      </c>
      <c r="G211">
        <f>'Country'!O12</f>
        <v/>
      </c>
      <c r="H211" t="n">
        <v>3</v>
      </c>
      <c r="I211" t="inlineStr">
        <is>
          <t>IMF Oct-2026 2027: 7.9%</t>
        </is>
      </c>
      <c r="J211" t="inlineStr">
        <is>
          <t>IMF Oct-2026: 2025 4.595, 2026 -3.309, 2027 7.932 | commodity-driven: wide forecast error</t>
        </is>
      </c>
      <c r="K211" t="inlineStr">
        <is>
          <t>A</t>
        </is>
      </c>
      <c r="L211" t="inlineStr">
        <is>
          <t>IMF World Economic Outlook, October 2026 (published 2026-10-13), api.imf.org SDMX dataflow IMF.RES/WEO NGDP_RPCH, pulled via Actions runner</t>
        </is>
      </c>
      <c r="M211" t="inlineStr">
        <is>
          <t>2026-10-13</t>
        </is>
      </c>
      <c r="N211" t="inlineStr"/>
      <c r="O211">
        <f>'Country'!Y12</f>
        <v/>
      </c>
    </row>
    <row r="212">
      <c r="A212" t="n">
        <v>211</v>
      </c>
      <c r="B212" t="inlineStr">
        <is>
          <t>Actor</t>
        </is>
      </c>
      <c r="C212" t="inlineStr">
        <is>
          <t>Matt Damon</t>
        </is>
      </c>
      <c r="D212" s="16" t="inlineStr">
        <is>
          <t>Molmen</t>
        </is>
      </c>
      <c r="E212">
        <f>'Actor'!M9</f>
        <v/>
      </c>
      <c r="F212">
        <f>'Actor'!N9</f>
        <v/>
      </c>
      <c r="G212">
        <f>'Actor'!O9</f>
        <v/>
      </c>
      <c r="H212" t="n">
        <v>2</v>
      </c>
      <c r="J212" t="inlineStr">
        <is>
          <t>Untitled Daniels film (Nov 19)</t>
        </is>
      </c>
      <c r="K212" t="inlineStr">
        <is>
          <t>C</t>
        </is>
      </c>
      <c r="L212" t="inlineStr">
        <is>
          <t>Wikipedia 'List of American films of 2027' casts (Actions-runner pull 2026-10-08) x comp-based box office/RT estimates; cast lists are billed leads only (cameos not captured)</t>
        </is>
      </c>
      <c r="M212" t="inlineStr">
        <is>
          <t>2026-10-08</t>
        </is>
      </c>
      <c r="N212" t="inlineStr">
        <is>
          <t>Good but the field reaches for it: let it come to you</t>
        </is>
      </c>
      <c r="O212">
        <f>'Actor'!Y9</f>
        <v/>
      </c>
    </row>
    <row r="213">
      <c r="A213" t="n">
        <v>212</v>
      </c>
      <c r="B213" t="inlineStr">
        <is>
          <t>Golf</t>
        </is>
      </c>
      <c r="C213" t="inlineStr">
        <is>
          <t>Xander Schauffele</t>
        </is>
      </c>
      <c r="D213" s="16" t="inlineStr">
        <is>
          <t>Tim</t>
        </is>
      </c>
      <c r="E213">
        <f>'Golf'!M14</f>
        <v/>
      </c>
      <c r="F213">
        <f>'Golf'!N14</f>
        <v/>
      </c>
      <c r="G213">
        <f>'Golf'!O14</f>
        <v/>
      </c>
      <c r="H213" t="n">
        <v>3</v>
      </c>
      <c r="J213" t="inlineStr">
        <is>
          <t>OWGR 10 (2026-10-08)</t>
        </is>
      </c>
      <c r="K213" t="inlineStr">
        <is>
          <t>C</t>
        </is>
      </c>
      <c r="L213" t="inlineStr">
        <is>
          <t>OWGR rank from league standings pull (A); major-win probabilities = model (rank-weighted share of 4 majors)</t>
        </is>
      </c>
      <c r="M213" t="inlineStr">
        <is>
          <t>2026-10-08</t>
        </is>
      </c>
      <c r="N213" t="inlineStr"/>
      <c r="O213">
        <f>'Golf'!Y14</f>
        <v/>
      </c>
    </row>
    <row r="214">
      <c r="A214" t="n">
        <v>213</v>
      </c>
      <c r="B214" t="inlineStr">
        <is>
          <t>MLB</t>
        </is>
      </c>
      <c r="C214" t="inlineStr">
        <is>
          <t>Seattle Mariners</t>
        </is>
      </c>
      <c r="D214" s="16" t="inlineStr">
        <is>
          <t>Jamzee</t>
        </is>
      </c>
      <c r="E214">
        <f>'MLB'!M23</f>
        <v/>
      </c>
      <c r="F214">
        <f>'MLB'!N23</f>
        <v/>
      </c>
      <c r="G214">
        <f>'MLB'!O23</f>
        <v/>
      </c>
      <c r="H214" t="n">
        <v>4</v>
      </c>
      <c r="J214" t="inlineStr">
        <is>
          <t>2026: 76-86 (.4691)</t>
        </is>
      </c>
      <c r="K214" t="inlineStr">
        <is>
          <t>C</t>
        </is>
      </c>
      <c r="L214" t="inlineStr">
        <is>
          <t>2026 win% from league standings (A); title prob = model estimate — no 2027 World Series odds posted</t>
        </is>
      </c>
      <c r="M214" t="inlineStr">
        <is>
          <t>2026-10-08</t>
        </is>
      </c>
      <c r="N214" t="inlineStr">
        <is>
          <t>low confidence: far-out event</t>
        </is>
      </c>
      <c r="O214">
        <f>'MLB'!Y23</f>
        <v/>
      </c>
    </row>
    <row r="215">
      <c r="A215" t="n">
        <v>214</v>
      </c>
      <c r="B215" t="inlineStr">
        <is>
          <t>Tennis</t>
        </is>
      </c>
      <c r="C215" t="inlineStr">
        <is>
          <t>Linda Noskova</t>
        </is>
      </c>
      <c r="D215" t="inlineStr">
        <is>
          <t>— free</t>
        </is>
      </c>
      <c r="E215">
        <f>'Tennis'!M16</f>
        <v/>
      </c>
      <c r="F215">
        <f>'Tennis'!N16</f>
        <v/>
      </c>
      <c r="G215">
        <f>'Tennis'!O16</f>
        <v/>
      </c>
      <c r="H215" t="n">
        <v>3</v>
      </c>
      <c r="J215" t="inlineStr">
        <is>
          <t>WTA 6 (2026-10-08)</t>
        </is>
      </c>
      <c r="K215" t="inlineStr">
        <is>
          <t>C</t>
        </is>
      </c>
      <c r="L215" t="inlineStr">
        <is>
          <t>ATP rank from league standings pull (A) / WTA via Olympics.com Oct 5; AO odds VegasInsider/Johnnybet Oct 2026; probabilities = agent estimates</t>
        </is>
      </c>
      <c r="M215" t="inlineStr">
        <is>
          <t>2026-10-08</t>
        </is>
      </c>
      <c r="N215" t="inlineStr"/>
      <c r="O215">
        <f>'Tennis'!Y16</f>
        <v/>
      </c>
    </row>
    <row r="216">
      <c r="A216" t="n">
        <v>215</v>
      </c>
      <c r="B216" t="inlineStr">
        <is>
          <t>NCAAB</t>
        </is>
      </c>
      <c r="C216" t="inlineStr">
        <is>
          <t>Kansas</t>
        </is>
      </c>
      <c r="D216" s="16" t="inlineStr">
        <is>
          <t>Shep</t>
        </is>
      </c>
      <c r="E216">
        <f>'NCAAB'!M13</f>
        <v/>
      </c>
      <c r="F216">
        <f>'NCAAB'!N13</f>
        <v/>
      </c>
      <c r="G216">
        <f>'NCAAB'!O13</f>
        <v/>
      </c>
      <c r="H216" t="n">
        <v>3</v>
      </c>
      <c r="I216" t="inlineStr">
        <is>
          <t>+4000</t>
        </is>
      </c>
      <c r="J216" t="inlineStr"/>
      <c r="K216" t="inlineStr">
        <is>
          <t>B</t>
        </is>
      </c>
      <c r="L216" t="inlineStr">
        <is>
          <t>CBS Sports title odds 2026-08-04</t>
        </is>
      </c>
      <c r="M216" t="inlineStr">
        <is>
          <t>2026-10-08</t>
        </is>
      </c>
      <c r="N216" t="inlineStr">
        <is>
          <t>low confidence: far-out event</t>
        </is>
      </c>
      <c r="O216">
        <f>'NCAAB'!Y13</f>
        <v/>
      </c>
    </row>
    <row r="217">
      <c r="A217" t="n">
        <v>216</v>
      </c>
      <c r="B217" t="inlineStr">
        <is>
          <t>Musician</t>
        </is>
      </c>
      <c r="C217" t="inlineStr">
        <is>
          <t>Morgan Wallen</t>
        </is>
      </c>
      <c r="D217" t="inlineStr">
        <is>
          <t>— free</t>
        </is>
      </c>
      <c r="E217">
        <f>'Musician'!M15</f>
        <v/>
      </c>
      <c r="F217">
        <f>'Musician'!N15</f>
        <v/>
      </c>
      <c r="G217">
        <f>'Musician'!O15</f>
        <v/>
      </c>
      <c r="H217" t="n">
        <v>3</v>
      </c>
      <c r="I217" t="inlineStr">
        <is>
          <t>Grammy EV 0.8</t>
        </is>
      </c>
      <c r="J217" t="inlineStr">
        <is>
          <t>2026 raw 27; charting now: I Can't Love You Anymore (#20); Been By Now (#4); Last Thing You Need (#15); carry-over 4.9 + new hits 8.8 (lambda 1.10, P(~0) 20%)</t>
        </is>
      </c>
      <c r="K217" t="inlineStr">
        <is>
          <t>C</t>
        </is>
      </c>
      <c r="L217" t="inlineStr">
        <is>
          <t>2027 Hot 100 baseline = my estimate; Grammy: estimate (C)</t>
        </is>
      </c>
      <c r="M217" t="inlineStr">
        <is>
          <t>2026-10-08</t>
        </is>
      </c>
      <c r="N217" t="inlineStr">
        <is>
          <t>late filler</t>
        </is>
      </c>
      <c r="O217">
        <f>'Musician'!Y15</f>
        <v/>
      </c>
    </row>
    <row r="218">
      <c r="A218" t="n">
        <v>217</v>
      </c>
      <c r="B218" t="inlineStr">
        <is>
          <t>NCAAF</t>
        </is>
      </c>
      <c r="C218" t="inlineStr">
        <is>
          <t>BYU</t>
        </is>
      </c>
      <c r="D218" s="16" t="inlineStr">
        <is>
          <t>Tim</t>
        </is>
      </c>
      <c r="E218">
        <f>'NCAAF'!M12</f>
        <v/>
      </c>
      <c r="F218">
        <f>'NCAAF'!N12</f>
        <v/>
      </c>
      <c r="G218">
        <f>'NCAAF'!O12</f>
        <v/>
      </c>
      <c r="H218" t="n">
        <v>3</v>
      </c>
      <c r="I218" t="inlineStr">
        <is>
          <t>Kalshi 3.5%</t>
        </is>
      </c>
      <c r="J218" t="inlineStr">
        <is>
          <t>AP #8, 4-0, Big 12</t>
        </is>
      </c>
      <c r="K218" t="inlineStr">
        <is>
          <t>A</t>
        </is>
      </c>
      <c r="L218" t="inlineStr">
        <is>
          <t>KXNCAAF-27 exchange mid-price, pulled 2026-10-22</t>
        </is>
      </c>
      <c r="M218" t="inlineStr">
        <is>
          <t>2026-10-22</t>
        </is>
      </c>
      <c r="N218" t="inlineStr"/>
      <c r="O218">
        <f>'NCAAF'!Y12</f>
        <v/>
      </c>
    </row>
    <row r="219">
      <c r="A219" t="n">
        <v>218</v>
      </c>
      <c r="B219" t="inlineStr">
        <is>
          <t>MLB</t>
        </is>
      </c>
      <c r="C219" t="inlineStr">
        <is>
          <t>Detroit Tigers</t>
        </is>
      </c>
      <c r="D219" t="inlineStr">
        <is>
          <t>— free</t>
        </is>
      </c>
      <c r="E219">
        <f>'MLB'!M24</f>
        <v/>
      </c>
      <c r="F219">
        <f>'MLB'!N24</f>
        <v/>
      </c>
      <c r="G219">
        <f>'MLB'!O24</f>
        <v/>
      </c>
      <c r="H219" t="n">
        <v>4</v>
      </c>
      <c r="J219" t="inlineStr">
        <is>
          <t>2026: 76-86 (.4691)</t>
        </is>
      </c>
      <c r="K219" t="inlineStr">
        <is>
          <t>C</t>
        </is>
      </c>
      <c r="L219" t="inlineStr">
        <is>
          <t>2026 win% from league standings (A); title prob = model estimate — no 2027 World Series odds posted</t>
        </is>
      </c>
      <c r="M219" t="inlineStr">
        <is>
          <t>2026-10-08</t>
        </is>
      </c>
      <c r="N219" t="inlineStr">
        <is>
          <t>low confidence: far-out event</t>
        </is>
      </c>
      <c r="O219">
        <f>'MLB'!Y24</f>
        <v/>
      </c>
    </row>
    <row r="220">
      <c r="A220" t="n">
        <v>219</v>
      </c>
      <c r="B220" t="inlineStr">
        <is>
          <t>Musician</t>
        </is>
      </c>
      <c r="C220" t="inlineStr">
        <is>
          <t>Drake</t>
        </is>
      </c>
      <c r="D220" s="16" t="inlineStr">
        <is>
          <t>Shep</t>
        </is>
      </c>
      <c r="E220">
        <f>'Musician'!M16</f>
        <v/>
      </c>
      <c r="F220">
        <f>'Musician'!N16</f>
        <v/>
      </c>
      <c r="G220">
        <f>'Musician'!O16</f>
        <v/>
      </c>
      <c r="H220" t="n">
        <v>3</v>
      </c>
      <c r="I220" t="inlineStr">
        <is>
          <t>Grammy EV 1.4</t>
        </is>
      </c>
      <c r="J220" t="inlineStr">
        <is>
          <t>2026 raw 23; charting now: Janice STFU (#21); Solar Eclipse (#19); Quebec (#25); carry-over 1.9 + new hits 8.7 (lambda 1.10, P(~0) 27%)</t>
        </is>
      </c>
      <c r="K220" t="inlineStr">
        <is>
          <t>C</t>
        </is>
      </c>
      <c r="L220" t="inlineStr">
        <is>
          <t>2027 Hot 100 baseline = my estimate; Grammy: estimate (C)</t>
        </is>
      </c>
      <c r="M220" t="inlineStr">
        <is>
          <t>2026-10-08</t>
        </is>
      </c>
      <c r="N220" t="inlineStr">
        <is>
          <t>late filler</t>
        </is>
      </c>
      <c r="O220">
        <f>'Musician'!Y16</f>
        <v/>
      </c>
    </row>
    <row r="221">
      <c r="A221" t="n">
        <v>220</v>
      </c>
      <c r="B221" t="inlineStr">
        <is>
          <t>Country</t>
        </is>
      </c>
      <c r="C221" t="inlineStr">
        <is>
          <t>Guinea</t>
        </is>
      </c>
      <c r="D221" s="16" t="inlineStr">
        <is>
          <t>Todd</t>
        </is>
      </c>
      <c r="E221">
        <f>'Country'!M13</f>
        <v/>
      </c>
      <c r="F221">
        <f>'Country'!N13</f>
        <v/>
      </c>
      <c r="G221">
        <f>'Country'!O13</f>
        <v/>
      </c>
      <c r="H221" t="n">
        <v>3</v>
      </c>
      <c r="I221" t="inlineStr">
        <is>
          <t>IMF Oct-2026 2027: 7.8%</t>
        </is>
      </c>
      <c r="J221" t="inlineStr">
        <is>
          <t>IMF Oct-2026: 2025 6.865, 2026 7.185, 2027 7.755 | commodity-driven: wide forecast error</t>
        </is>
      </c>
      <c r="K221" t="inlineStr">
        <is>
          <t>A</t>
        </is>
      </c>
      <c r="L221" t="inlineStr">
        <is>
          <t>IMF World Economic Outlook, October 2026 (published 2026-10-13), api.imf.org SDMX dataflow IMF.RES/WEO NGDP_RPCH, pulled via Actions runner</t>
        </is>
      </c>
      <c r="M221" t="inlineStr">
        <is>
          <t>2026-10-13</t>
        </is>
      </c>
      <c r="N221" t="inlineStr"/>
      <c r="O221">
        <f>'Country'!Y13</f>
        <v/>
      </c>
    </row>
    <row r="222">
      <c r="A222" t="n">
        <v>221</v>
      </c>
      <c r="B222" t="inlineStr">
        <is>
          <t>Country</t>
        </is>
      </c>
      <c r="C222" t="inlineStr">
        <is>
          <t>Ethiopia</t>
        </is>
      </c>
      <c r="D222" t="inlineStr">
        <is>
          <t>— free</t>
        </is>
      </c>
      <c r="E222">
        <f>'Country'!M14</f>
        <v/>
      </c>
      <c r="F222">
        <f>'Country'!N14</f>
        <v/>
      </c>
      <c r="G222">
        <f>'Country'!O14</f>
        <v/>
      </c>
      <c r="H222" t="n">
        <v>3</v>
      </c>
      <c r="I222" t="inlineStr">
        <is>
          <t>IMF Oct-2026 2027: 7.8%</t>
        </is>
      </c>
      <c r="J222" t="inlineStr">
        <is>
          <t>IMF Oct-2026: 2025 9.151, 2026 9.204, 2027 7.767</t>
        </is>
      </c>
      <c r="K222" t="inlineStr">
        <is>
          <t>A</t>
        </is>
      </c>
      <c r="L222" t="inlineStr">
        <is>
          <t>IMF World Economic Outlook, October 2026 (published 2026-10-13), api.imf.org SDMX dataflow IMF.RES/WEO NGDP_RPCH, pulled via Actions runner</t>
        </is>
      </c>
      <c r="M222" t="inlineStr">
        <is>
          <t>2026-10-13</t>
        </is>
      </c>
      <c r="N222" t="inlineStr"/>
      <c r="O222">
        <f>'Country'!Y14</f>
        <v/>
      </c>
    </row>
    <row r="223">
      <c r="A223" t="n">
        <v>222</v>
      </c>
      <c r="B223" t="inlineStr">
        <is>
          <t>NCAAF</t>
        </is>
      </c>
      <c r="C223" t="inlineStr">
        <is>
          <t>Ole Miss</t>
        </is>
      </c>
      <c r="D223" s="16" t="inlineStr">
        <is>
          <t>Todd</t>
        </is>
      </c>
      <c r="E223">
        <f>'NCAAF'!M13</f>
        <v/>
      </c>
      <c r="F223">
        <f>'NCAAF'!N13</f>
        <v/>
      </c>
      <c r="G223">
        <f>'NCAAF'!O13</f>
        <v/>
      </c>
      <c r="H223" t="n">
        <v>3</v>
      </c>
      <c r="I223" t="inlineStr">
        <is>
          <t>Kalshi 4.5%</t>
        </is>
      </c>
      <c r="J223" t="inlineStr">
        <is>
          <t>AP #9, 3-1, SEC</t>
        </is>
      </c>
      <c r="K223" t="inlineStr">
        <is>
          <t>A</t>
        </is>
      </c>
      <c r="L223" t="inlineStr">
        <is>
          <t>KXNCAAF-27 exchange mid-price, pulled 2026-10-22</t>
        </is>
      </c>
      <c r="M223" t="inlineStr">
        <is>
          <t>2026-10-22</t>
        </is>
      </c>
      <c r="N223" t="inlineStr"/>
      <c r="O223">
        <f>'NCAAF'!Y13</f>
        <v/>
      </c>
    </row>
    <row r="224">
      <c r="A224" t="n">
        <v>223</v>
      </c>
      <c r="B224" t="inlineStr">
        <is>
          <t>Actress</t>
        </is>
      </c>
      <c r="C224" t="inlineStr">
        <is>
          <t>Cameron Diaz</t>
        </is>
      </c>
      <c r="D224" t="inlineStr">
        <is>
          <t>— free</t>
        </is>
      </c>
      <c r="E224">
        <f>'Actress'!M23</f>
        <v/>
      </c>
      <c r="F224">
        <f>'Actress'!N23</f>
        <v/>
      </c>
      <c r="G224">
        <f>'Actress'!O23</f>
        <v/>
      </c>
      <c r="H224" t="n">
        <v>4</v>
      </c>
      <c r="J224" t="inlineStr">
        <is>
          <t>Shrek 5 (Jun 30)</t>
        </is>
      </c>
      <c r="K224" t="inlineStr">
        <is>
          <t>C</t>
        </is>
      </c>
      <c r="L224" t="inlineStr">
        <is>
          <t>Wikipedia 'List of American films of 2027' casts (Actions-runner pull 2026-10-08) x comp-based box office/RT estimates; cast lists are billed leads only (cameos not captured)</t>
        </is>
      </c>
      <c r="M224" t="inlineStr">
        <is>
          <t>2026-10-08</t>
        </is>
      </c>
      <c r="N224" t="inlineStr">
        <is>
          <t>late filler</t>
        </is>
      </c>
      <c r="O224">
        <f>'Actress'!Y23</f>
        <v/>
      </c>
    </row>
    <row r="225">
      <c r="A225" t="n">
        <v>224</v>
      </c>
      <c r="B225" t="inlineStr">
        <is>
          <t>NBA</t>
        </is>
      </c>
      <c r="C225" t="inlineStr">
        <is>
          <t>Portland Trail Blazers</t>
        </is>
      </c>
      <c r="D225" t="inlineStr">
        <is>
          <t>— free</t>
        </is>
      </c>
      <c r="E225">
        <f>'NBA'!M19</f>
        <v/>
      </c>
      <c r="F225">
        <f>'NBA'!N19</f>
        <v/>
      </c>
      <c r="G225">
        <f>'NBA'!O19</f>
        <v/>
      </c>
      <c r="H225" t="n">
        <v>4</v>
      </c>
      <c r="J225" t="inlineStr">
        <is>
          <t>West; win total 42.5</t>
        </is>
      </c>
      <c r="K225" t="inlineStr">
        <is>
          <t>A</t>
        </is>
      </c>
      <c r="L225" t="inlineStr">
        <is>
          <t>BetMGM win total; title price estimated; p(final)=KXNBAEAST/KXNBAWEST-27 Kalshi mid | league_sim.py: full-schedule + real playoff bracket Monte Carlo, ratings fitted to Kalshi</t>
        </is>
      </c>
      <c r="M225" t="inlineStr">
        <is>
          <t>2026-10-08</t>
        </is>
      </c>
      <c r="N225" t="inlineStr"/>
      <c r="O225">
        <f>'NBA'!Y19</f>
        <v/>
      </c>
    </row>
    <row r="226">
      <c r="A226" t="n">
        <v>225</v>
      </c>
      <c r="B226" t="inlineStr">
        <is>
          <t>Country</t>
        </is>
      </c>
      <c r="C226" t="inlineStr">
        <is>
          <t>United Arab Emirates</t>
        </is>
      </c>
      <c r="D226" t="inlineStr">
        <is>
          <t>— free</t>
        </is>
      </c>
      <c r="E226">
        <f>'Country'!M15</f>
        <v/>
      </c>
      <c r="F226">
        <f>'Country'!N15</f>
        <v/>
      </c>
      <c r="G226">
        <f>'Country'!O15</f>
        <v/>
      </c>
      <c r="H226" t="n">
        <v>3</v>
      </c>
      <c r="I226" t="inlineStr">
        <is>
          <t>IMF Oct-2026 2027: 7.7%</t>
        </is>
      </c>
      <c r="J226" t="inlineStr">
        <is>
          <t>IMF Oct-2026: 2025 6.234, 2026 -3.904, 2027 7.656 | commodity-driven: wide forecast error</t>
        </is>
      </c>
      <c r="K226" t="inlineStr">
        <is>
          <t>A</t>
        </is>
      </c>
      <c r="L226" t="inlineStr">
        <is>
          <t>IMF World Economic Outlook, October 2026 (published 2026-10-13), api.imf.org SDMX dataflow IMF.RES/WEO NGDP_RPCH, pulled via Actions runner</t>
        </is>
      </c>
      <c r="M226" t="inlineStr">
        <is>
          <t>2026-10-13</t>
        </is>
      </c>
      <c r="N226" t="inlineStr"/>
      <c r="O226">
        <f>'Country'!Y15</f>
        <v/>
      </c>
    </row>
    <row r="227">
      <c r="A227" t="n">
        <v>226</v>
      </c>
      <c r="B227" t="inlineStr">
        <is>
          <t>NFL</t>
        </is>
      </c>
      <c r="C227" t="inlineStr">
        <is>
          <t>Green Bay Packers</t>
        </is>
      </c>
      <c r="D227" s="16" t="inlineStr">
        <is>
          <t>Fryar</t>
        </is>
      </c>
      <c r="E227">
        <f>'NFL'!M17</f>
        <v/>
      </c>
      <c r="F227">
        <f>'NFL'!N17</f>
        <v/>
      </c>
      <c r="G227">
        <f>'NFL'!O17</f>
        <v/>
      </c>
      <c r="H227" t="n">
        <v>3</v>
      </c>
      <c r="I227" t="inlineStr">
        <is>
          <t>+3500</t>
        </is>
      </c>
      <c r="J227" t="inlineStr">
        <is>
          <t>2-2, NFC North</t>
        </is>
      </c>
      <c r="K227" t="inlineStr">
        <is>
          <t>A</t>
        </is>
      </c>
      <c r="L227" t="inlineStr">
        <is>
          <t>estimate | league_sim.py: full-schedule + real playoff bracket Monte Carlo, ratings fitted to Kalshi</t>
        </is>
      </c>
      <c r="M227" t="inlineStr">
        <is>
          <t>2026-10-08</t>
        </is>
      </c>
      <c r="N227" t="inlineStr"/>
      <c r="O227">
        <f>'NFL'!Y17</f>
        <v/>
      </c>
    </row>
    <row r="228">
      <c r="A228" t="n">
        <v>227</v>
      </c>
      <c r="B228" t="inlineStr">
        <is>
          <t>Country</t>
        </is>
      </c>
      <c r="C228" t="inlineStr">
        <is>
          <t>Venezuela</t>
        </is>
      </c>
      <c r="D228" t="inlineStr">
        <is>
          <t>— free</t>
        </is>
      </c>
      <c r="E228">
        <f>'Country'!M16</f>
        <v/>
      </c>
      <c r="F228">
        <f>'Country'!N16</f>
        <v/>
      </c>
      <c r="G228">
        <f>'Country'!O16</f>
        <v/>
      </c>
      <c r="H228" t="n">
        <v>3</v>
      </c>
      <c r="I228" t="inlineStr">
        <is>
          <t>IMF Oct-2026 2027: 7.0%</t>
        </is>
      </c>
      <c r="J228" t="inlineStr">
        <is>
          <t>IMF Oct-2026: 2025 9.013, 2026 5.013, 2027 7.047 | war/rebound path: very wide forecast error</t>
        </is>
      </c>
      <c r="K228" t="inlineStr">
        <is>
          <t>A</t>
        </is>
      </c>
      <c r="L228" t="inlineStr">
        <is>
          <t>IMF World Economic Outlook, October 2026 (published 2026-10-13), api.imf.org SDMX dataflow IMF.RES/WEO NGDP_RPCH, pulled via Actions runner</t>
        </is>
      </c>
      <c r="M228" t="inlineStr">
        <is>
          <t>2026-10-13</t>
        </is>
      </c>
      <c r="N228" t="inlineStr"/>
      <c r="O228">
        <f>'Country'!Y16</f>
        <v/>
      </c>
    </row>
    <row r="229">
      <c r="A229" t="n">
        <v>228</v>
      </c>
      <c r="B229" t="inlineStr">
        <is>
          <t>Golf</t>
        </is>
      </c>
      <c r="C229" t="inlineStr">
        <is>
          <t>Collin Morikawa</t>
        </is>
      </c>
      <c r="D229" s="16" t="inlineStr">
        <is>
          <t>Buckley</t>
        </is>
      </c>
      <c r="E229">
        <f>'Golf'!M15</f>
        <v/>
      </c>
      <c r="F229">
        <f>'Golf'!N15</f>
        <v/>
      </c>
      <c r="G229">
        <f>'Golf'!O15</f>
        <v/>
      </c>
      <c r="H229" t="n">
        <v>3</v>
      </c>
      <c r="J229" t="inlineStr">
        <is>
          <t>OWGR 11 (2026-10-08)</t>
        </is>
      </c>
      <c r="K229" t="inlineStr">
        <is>
          <t>C</t>
        </is>
      </c>
      <c r="L229" t="inlineStr">
        <is>
          <t>OWGR rank from league standings pull (A); major-win probabilities = model (rank-weighted share of 4 majors)</t>
        </is>
      </c>
      <c r="M229" t="inlineStr">
        <is>
          <t>2026-10-08</t>
        </is>
      </c>
      <c r="N229" t="inlineStr"/>
      <c r="O229">
        <f>'Golf'!Y15</f>
        <v/>
      </c>
    </row>
    <row r="230">
      <c r="A230" t="n">
        <v>229</v>
      </c>
      <c r="B230" t="inlineStr">
        <is>
          <t>MLB</t>
        </is>
      </c>
      <c r="C230" t="inlineStr">
        <is>
          <t>Miami Marlins</t>
        </is>
      </c>
      <c r="D230" t="inlineStr">
        <is>
          <t>— free</t>
        </is>
      </c>
      <c r="E230">
        <f>'MLB'!M25</f>
        <v/>
      </c>
      <c r="F230">
        <f>'MLB'!N25</f>
        <v/>
      </c>
      <c r="G230">
        <f>'MLB'!O25</f>
        <v/>
      </c>
      <c r="H230" t="n">
        <v>4</v>
      </c>
      <c r="J230" t="inlineStr">
        <is>
          <t>2026: 80-82 (.4938)</t>
        </is>
      </c>
      <c r="K230" t="inlineStr">
        <is>
          <t>C</t>
        </is>
      </c>
      <c r="L230" t="inlineStr">
        <is>
          <t>2026 win% from league standings (A); title prob = model estimate — no 2027 World Series odds posted</t>
        </is>
      </c>
      <c r="M230" t="inlineStr">
        <is>
          <t>2026-10-08</t>
        </is>
      </c>
      <c r="N230" t="inlineStr">
        <is>
          <t>low confidence: far-out event</t>
        </is>
      </c>
      <c r="O230">
        <f>'MLB'!Y25</f>
        <v/>
      </c>
    </row>
    <row r="231">
      <c r="A231" t="n">
        <v>230</v>
      </c>
      <c r="B231" t="inlineStr">
        <is>
          <t>NHL</t>
        </is>
      </c>
      <c r="C231" t="inlineStr">
        <is>
          <t>Ottawa Senators</t>
        </is>
      </c>
      <c r="D231" t="inlineStr">
        <is>
          <t>— free</t>
        </is>
      </c>
      <c r="E231">
        <f>'NHL'!M16</f>
        <v/>
      </c>
      <c r="F231">
        <f>'NHL'!N16</f>
        <v/>
      </c>
      <c r="G231">
        <f>'NHL'!O16</f>
        <v/>
      </c>
      <c r="H231" t="n">
        <v>3</v>
      </c>
      <c r="I231" t="inlineStr">
        <is>
          <t>Kalshi +3900</t>
        </is>
      </c>
      <c r="J231" t="inlineStr">
        <is>
          <t>East</t>
        </is>
      </c>
      <c r="K231" t="inlineStr">
        <is>
          <t>A</t>
        </is>
      </c>
      <c r="L231" t="inlineStr">
        <is>
          <t>Kalshi Cup market (~1 month old) normalised; points totals SportsBettingDime | league_sim.py: full-schedule + real playoff bracket Monte Carlo, ratings fitted to Kalshi</t>
        </is>
      </c>
      <c r="M231" t="inlineStr">
        <is>
          <t>2026-10-08</t>
        </is>
      </c>
      <c r="N231" t="inlineStr"/>
      <c r="O231">
        <f>'NHL'!Y16</f>
        <v/>
      </c>
    </row>
    <row r="232">
      <c r="A232" t="n">
        <v>231</v>
      </c>
      <c r="B232" t="inlineStr">
        <is>
          <t>Actress</t>
        </is>
      </c>
      <c r="C232" t="inlineStr">
        <is>
          <t>Yvonne Strahovski</t>
        </is>
      </c>
      <c r="D232" t="inlineStr">
        <is>
          <t>— free</t>
        </is>
      </c>
      <c r="E232">
        <f>'Actress'!M24</f>
        <v/>
      </c>
      <c r="F232">
        <f>'Actress'!N24</f>
        <v/>
      </c>
      <c r="G232">
        <f>'Actress'!O24</f>
        <v/>
      </c>
      <c r="H232" t="n">
        <v>4</v>
      </c>
      <c r="J232" t="inlineStr">
        <is>
          <t>The Legend of Zelda (Apr 30)</t>
        </is>
      </c>
      <c r="K232" t="inlineStr">
        <is>
          <t>C</t>
        </is>
      </c>
      <c r="L232" t="inlineStr">
        <is>
          <t>Wikipedia 'List of American films of 2027' casts (Actions-runner pull 2026-10-08) x comp-based box office/RT estimates; cast lists are billed leads only (cameos not captured)</t>
        </is>
      </c>
      <c r="M232" t="inlineStr">
        <is>
          <t>2026-10-08</t>
        </is>
      </c>
      <c r="N232" t="inlineStr">
        <is>
          <t>late filler</t>
        </is>
      </c>
      <c r="O232">
        <f>'Actress'!Y24</f>
        <v/>
      </c>
    </row>
    <row r="233">
      <c r="A233" t="n">
        <v>232</v>
      </c>
      <c r="B233" t="inlineStr">
        <is>
          <t>Tennis</t>
        </is>
      </c>
      <c r="C233" t="inlineStr">
        <is>
          <t>Novak Djokovic</t>
        </is>
      </c>
      <c r="D233" s="16" t="inlineStr">
        <is>
          <t>Shep</t>
        </is>
      </c>
      <c r="E233">
        <f>'Tennis'!M19</f>
        <v/>
      </c>
      <c r="F233">
        <f>'Tennis'!N19</f>
        <v/>
      </c>
      <c r="G233">
        <f>'Tennis'!O19</f>
        <v/>
      </c>
      <c r="H233" t="n">
        <v>4</v>
      </c>
      <c r="I233" t="inlineStr">
        <is>
          <t>+1600 AO 2027</t>
        </is>
      </c>
      <c r="J233" t="inlineStr">
        <is>
          <t>ATP 8 (2026-10-08)</t>
        </is>
      </c>
      <c r="K233" t="inlineStr">
        <is>
          <t>B</t>
        </is>
      </c>
      <c r="L233" t="inlineStr">
        <is>
          <t>ATP rank from league standings pull (A) / WTA via Olympics.com Oct 5; AO odds VegasInsider/Johnnybet Oct 2026; probabilities = agent estimates</t>
        </is>
      </c>
      <c r="M233" t="inlineStr">
        <is>
          <t>2026-10-08</t>
        </is>
      </c>
      <c r="N233" t="inlineStr"/>
      <c r="O233">
        <f>'Tennis'!Y19</f>
        <v/>
      </c>
    </row>
    <row r="234">
      <c r="A234" t="n">
        <v>233</v>
      </c>
      <c r="B234" t="inlineStr">
        <is>
          <t>Tennis</t>
        </is>
      </c>
      <c r="C234" t="inlineStr">
        <is>
          <t>Flavio Cobolli</t>
        </is>
      </c>
      <c r="D234" t="inlineStr">
        <is>
          <t>— free</t>
        </is>
      </c>
      <c r="E234">
        <f>'Tennis'!M17</f>
        <v/>
      </c>
      <c r="F234">
        <f>'Tennis'!N17</f>
        <v/>
      </c>
      <c r="G234">
        <f>'Tennis'!O17</f>
        <v/>
      </c>
      <c r="H234" t="n">
        <v>3</v>
      </c>
      <c r="J234" t="inlineStr">
        <is>
          <t>ATP 7 (2026-10-08)</t>
        </is>
      </c>
      <c r="K234" t="inlineStr">
        <is>
          <t>C</t>
        </is>
      </c>
      <c r="L234" t="inlineStr">
        <is>
          <t>ATP rank from league standings pull (A) / WTA via Olympics.com Oct 5; AO odds VegasInsider/Johnnybet Oct 2026; probabilities = agent estimates</t>
        </is>
      </c>
      <c r="M234" t="inlineStr">
        <is>
          <t>2026-10-08</t>
        </is>
      </c>
      <c r="N234" t="inlineStr"/>
      <c r="O234">
        <f>'Tennis'!Y17</f>
        <v/>
      </c>
    </row>
    <row r="235">
      <c r="A235" t="n">
        <v>234</v>
      </c>
      <c r="B235" t="inlineStr">
        <is>
          <t>Actress</t>
        </is>
      </c>
      <c r="C235" t="inlineStr">
        <is>
          <t>Lydia Peckham</t>
        </is>
      </c>
      <c r="D235" t="inlineStr">
        <is>
          <t>— free</t>
        </is>
      </c>
      <c r="E235">
        <f>'Actress'!M25</f>
        <v/>
      </c>
      <c r="F235">
        <f>'Actress'!N25</f>
        <v/>
      </c>
      <c r="G235">
        <f>'Actress'!O25</f>
        <v/>
      </c>
      <c r="H235" t="n">
        <v>4</v>
      </c>
      <c r="J235" t="inlineStr">
        <is>
          <t>The Legend of Zelda (Apr 30)</t>
        </is>
      </c>
      <c r="K235" t="inlineStr">
        <is>
          <t>C</t>
        </is>
      </c>
      <c r="L235" t="inlineStr">
        <is>
          <t>Wikipedia 'List of American films of 2027' casts (Actions-runner pull 2026-10-08) x comp-based box office/RT estimates; cast lists are billed leads only (cameos not captured)</t>
        </is>
      </c>
      <c r="M235" t="inlineStr">
        <is>
          <t>2026-10-08</t>
        </is>
      </c>
      <c r="N235" t="inlineStr">
        <is>
          <t>late filler</t>
        </is>
      </c>
      <c r="O235">
        <f>'Actress'!Y25</f>
        <v/>
      </c>
    </row>
    <row r="236">
      <c r="A236" t="n">
        <v>235</v>
      </c>
      <c r="B236" t="inlineStr">
        <is>
          <t>MLB</t>
        </is>
      </c>
      <c r="C236" t="inlineStr">
        <is>
          <t>Cincinnati Reds</t>
        </is>
      </c>
      <c r="D236" t="inlineStr">
        <is>
          <t>— free</t>
        </is>
      </c>
      <c r="E236">
        <f>'MLB'!M26</f>
        <v/>
      </c>
      <c r="F236">
        <f>'MLB'!N26</f>
        <v/>
      </c>
      <c r="G236">
        <f>'MLB'!O26</f>
        <v/>
      </c>
      <c r="H236" t="n">
        <v>4</v>
      </c>
      <c r="J236" t="inlineStr">
        <is>
          <t>2026: 75-87 (.4630)</t>
        </is>
      </c>
      <c r="K236" t="inlineStr">
        <is>
          <t>C</t>
        </is>
      </c>
      <c r="L236" t="inlineStr">
        <is>
          <t>2026 win% from league standings (A); title prob = model estimate — no 2027 World Series odds posted</t>
        </is>
      </c>
      <c r="M236" t="inlineStr">
        <is>
          <t>2026-10-08</t>
        </is>
      </c>
      <c r="N236" t="inlineStr">
        <is>
          <t>low confidence: far-out event</t>
        </is>
      </c>
      <c r="O236">
        <f>'MLB'!Y26</f>
        <v/>
      </c>
    </row>
    <row r="237">
      <c r="A237" t="n">
        <v>236</v>
      </c>
      <c r="B237" t="inlineStr">
        <is>
          <t>Actress</t>
        </is>
      </c>
      <c r="C237" t="inlineStr">
        <is>
          <t>Dichen Lachman</t>
        </is>
      </c>
      <c r="D237" t="inlineStr">
        <is>
          <t>— free</t>
        </is>
      </c>
      <c r="E237">
        <f>'Actress'!M26</f>
        <v/>
      </c>
      <c r="F237">
        <f>'Actress'!N26</f>
        <v/>
      </c>
      <c r="G237">
        <f>'Actress'!O26</f>
        <v/>
      </c>
      <c r="H237" t="n">
        <v>4</v>
      </c>
      <c r="J237" t="inlineStr">
        <is>
          <t>The Legend of Zelda (Apr 30)</t>
        </is>
      </c>
      <c r="K237" t="inlineStr">
        <is>
          <t>C</t>
        </is>
      </c>
      <c r="L237" t="inlineStr">
        <is>
          <t>Wikipedia 'List of American films of 2027' casts (Actions-runner pull 2026-10-08) x comp-based box office/RT estimates; cast lists are billed leads only (cameos not captured)</t>
        </is>
      </c>
      <c r="M237" t="inlineStr">
        <is>
          <t>2026-10-08</t>
        </is>
      </c>
      <c r="N237" t="inlineStr">
        <is>
          <t>late filler</t>
        </is>
      </c>
      <c r="O237">
        <f>'Actress'!Y26</f>
        <v/>
      </c>
    </row>
    <row r="238">
      <c r="A238" t="n">
        <v>237</v>
      </c>
      <c r="B238" t="inlineStr">
        <is>
          <t>Actress</t>
        </is>
      </c>
      <c r="C238" t="inlineStr">
        <is>
          <t>Bo Bragason</t>
        </is>
      </c>
      <c r="D238" t="inlineStr">
        <is>
          <t>— free</t>
        </is>
      </c>
      <c r="E238">
        <f>'Actress'!M27</f>
        <v/>
      </c>
      <c r="F238">
        <f>'Actress'!N27</f>
        <v/>
      </c>
      <c r="G238">
        <f>'Actress'!O27</f>
        <v/>
      </c>
      <c r="H238" t="n">
        <v>4</v>
      </c>
      <c r="J238" t="inlineStr">
        <is>
          <t>The Legend of Zelda (Apr 30)</t>
        </is>
      </c>
      <c r="K238" t="inlineStr">
        <is>
          <t>C</t>
        </is>
      </c>
      <c r="L238" t="inlineStr">
        <is>
          <t>Wikipedia 'List of American films of 2027' casts (Actions-runner pull 2026-10-08) x comp-based box office/RT estimates; cast lists are billed leads only (cameos not captured)</t>
        </is>
      </c>
      <c r="M238" t="inlineStr">
        <is>
          <t>2026-10-08</t>
        </is>
      </c>
      <c r="N238" t="inlineStr">
        <is>
          <t>late filler</t>
        </is>
      </c>
      <c r="O238">
        <f>'Actress'!Y27</f>
        <v/>
      </c>
    </row>
    <row r="239">
      <c r="A239" t="n">
        <v>238</v>
      </c>
      <c r="B239" t="inlineStr">
        <is>
          <t>Country</t>
        </is>
      </c>
      <c r="C239" t="inlineStr">
        <is>
          <t>Vietnam</t>
        </is>
      </c>
      <c r="D239" t="inlineStr">
        <is>
          <t>— free</t>
        </is>
      </c>
      <c r="E239">
        <f>'Country'!M17</f>
        <v/>
      </c>
      <c r="F239">
        <f>'Country'!N17</f>
        <v/>
      </c>
      <c r="G239">
        <f>'Country'!O17</f>
        <v/>
      </c>
      <c r="H239" t="n">
        <v>3</v>
      </c>
      <c r="I239" t="inlineStr">
        <is>
          <t>IMF Oct-2026 2027: 7.5%</t>
        </is>
      </c>
      <c r="J239" t="inlineStr">
        <is>
          <t>IMF Oct-2026: 2025 8.019, 2026 8.4, 2027 7.5</t>
        </is>
      </c>
      <c r="K239" t="inlineStr">
        <is>
          <t>A</t>
        </is>
      </c>
      <c r="L239" t="inlineStr">
        <is>
          <t>IMF World Economic Outlook, October 2026 (published 2026-10-13), api.imf.org SDMX dataflow IMF.RES/WEO NGDP_RPCH, pulled via Actions runner</t>
        </is>
      </c>
      <c r="M239" t="inlineStr">
        <is>
          <t>2026-10-13</t>
        </is>
      </c>
      <c r="N239" t="inlineStr"/>
      <c r="O239">
        <f>'Country'!Y17</f>
        <v/>
      </c>
    </row>
    <row r="240">
      <c r="A240" t="n">
        <v>239</v>
      </c>
      <c r="B240" t="inlineStr">
        <is>
          <t>MLB</t>
        </is>
      </c>
      <c r="C240" t="inlineStr">
        <is>
          <t>Minnesota Twins</t>
        </is>
      </c>
      <c r="D240" t="inlineStr">
        <is>
          <t>— free</t>
        </is>
      </c>
      <c r="E240">
        <f>'MLB'!M27</f>
        <v/>
      </c>
      <c r="F240">
        <f>'MLB'!N27</f>
        <v/>
      </c>
      <c r="G240">
        <f>'MLB'!O27</f>
        <v/>
      </c>
      <c r="H240" t="n">
        <v>4</v>
      </c>
      <c r="J240" t="inlineStr">
        <is>
          <t>2026: 77-85 (.4753)</t>
        </is>
      </c>
      <c r="K240" t="inlineStr">
        <is>
          <t>C</t>
        </is>
      </c>
      <c r="L240" t="inlineStr">
        <is>
          <t>2026 win% from league standings (A); title prob = model estimate — no 2027 World Series odds posted</t>
        </is>
      </c>
      <c r="M240" t="inlineStr">
        <is>
          <t>2026-10-08</t>
        </is>
      </c>
      <c r="N240" t="inlineStr">
        <is>
          <t>low confidence: far-out event</t>
        </is>
      </c>
      <c r="O240">
        <f>'MLB'!Y27</f>
        <v/>
      </c>
    </row>
    <row r="241">
      <c r="A241" t="n">
        <v>240</v>
      </c>
      <c r="B241" t="inlineStr">
        <is>
          <t>MLB</t>
        </is>
      </c>
      <c r="C241" t="inlineStr">
        <is>
          <t>Washington Nationals</t>
        </is>
      </c>
      <c r="D241" t="inlineStr">
        <is>
          <t>— free</t>
        </is>
      </c>
      <c r="E241">
        <f>'MLB'!M28</f>
        <v/>
      </c>
      <c r="F241">
        <f>'MLB'!N28</f>
        <v/>
      </c>
      <c r="G241">
        <f>'MLB'!O28</f>
        <v/>
      </c>
      <c r="H241" t="n">
        <v>4</v>
      </c>
      <c r="J241" t="inlineStr">
        <is>
          <t>2026: 77-85 (.4753)</t>
        </is>
      </c>
      <c r="K241" t="inlineStr">
        <is>
          <t>C</t>
        </is>
      </c>
      <c r="L241" t="inlineStr">
        <is>
          <t>2026 win% from league standings (A); title prob = model estimate — no 2027 World Series odds posted</t>
        </is>
      </c>
      <c r="M241" t="inlineStr">
        <is>
          <t>2026-10-08</t>
        </is>
      </c>
      <c r="N241" t="inlineStr">
        <is>
          <t>low confidence: far-out event</t>
        </is>
      </c>
      <c r="O241">
        <f>'MLB'!Y28</f>
        <v/>
      </c>
    </row>
    <row r="242">
      <c r="A242" t="n">
        <v>241</v>
      </c>
      <c r="B242" t="inlineStr">
        <is>
          <t>MLB</t>
        </is>
      </c>
      <c r="C242" t="inlineStr">
        <is>
          <t>St. Louis Cardinals</t>
        </is>
      </c>
      <c r="D242" t="inlineStr">
        <is>
          <t>— free</t>
        </is>
      </c>
      <c r="E242">
        <f>'MLB'!M29</f>
        <v/>
      </c>
      <c r="F242">
        <f>'MLB'!N29</f>
        <v/>
      </c>
      <c r="G242">
        <f>'MLB'!O29</f>
        <v/>
      </c>
      <c r="H242" t="n">
        <v>4</v>
      </c>
      <c r="J242" t="inlineStr">
        <is>
          <t>2026: 77-85 (.4753)</t>
        </is>
      </c>
      <c r="K242" t="inlineStr">
        <is>
          <t>C</t>
        </is>
      </c>
      <c r="L242" t="inlineStr">
        <is>
          <t>2026 win% from league standings (A); title prob = model estimate — no 2027 World Series odds posted</t>
        </is>
      </c>
      <c r="M242" t="inlineStr">
        <is>
          <t>2026-10-08</t>
        </is>
      </c>
      <c r="N242" t="inlineStr">
        <is>
          <t>low confidence: far-out event</t>
        </is>
      </c>
      <c r="O242">
        <f>'MLB'!Y29</f>
        <v/>
      </c>
    </row>
    <row r="243">
      <c r="A243" t="n">
        <v>242</v>
      </c>
      <c r="B243" t="inlineStr">
        <is>
          <t>Actress</t>
        </is>
      </c>
      <c r="C243" t="inlineStr">
        <is>
          <t>Nico Parker</t>
        </is>
      </c>
      <c r="D243" t="inlineStr">
        <is>
          <t>— free</t>
        </is>
      </c>
      <c r="E243">
        <f>'Actress'!M28</f>
        <v/>
      </c>
      <c r="F243">
        <f>'Actress'!N28</f>
        <v/>
      </c>
      <c r="G243">
        <f>'Actress'!O28</f>
        <v/>
      </c>
      <c r="H243" t="n">
        <v>4</v>
      </c>
      <c r="J243" t="inlineStr">
        <is>
          <t>How to Train Your Dragon 2 (Jun 11)</t>
        </is>
      </c>
      <c r="K243" t="inlineStr">
        <is>
          <t>C</t>
        </is>
      </c>
      <c r="L243" t="inlineStr">
        <is>
          <t>Wikipedia 'List of American films of 2027' casts (Actions-runner pull 2026-10-08) x comp-based box office/RT estimates; cast lists are billed leads only (cameos not captured)</t>
        </is>
      </c>
      <c r="M243" t="inlineStr">
        <is>
          <t>2026-10-08</t>
        </is>
      </c>
      <c r="N243" t="inlineStr">
        <is>
          <t>late filler</t>
        </is>
      </c>
      <c r="O243">
        <f>'Actress'!Y28</f>
        <v/>
      </c>
    </row>
    <row r="244">
      <c r="A244" t="n">
        <v>243</v>
      </c>
      <c r="B244" t="inlineStr">
        <is>
          <t>Tennis</t>
        </is>
      </c>
      <c r="C244" t="inlineStr">
        <is>
          <t>Iga Swiatek</t>
        </is>
      </c>
      <c r="D244" s="16" t="inlineStr">
        <is>
          <t>Feder</t>
        </is>
      </c>
      <c r="E244">
        <f>'Tennis'!M20</f>
        <v/>
      </c>
      <c r="F244">
        <f>'Tennis'!N20</f>
        <v/>
      </c>
      <c r="G244">
        <f>'Tennis'!O20</f>
        <v/>
      </c>
      <c r="H244" t="n">
        <v>4</v>
      </c>
      <c r="I244" t="inlineStr">
        <is>
          <t>+500 AO 2027</t>
        </is>
      </c>
      <c r="J244" t="inlineStr">
        <is>
          <t>WTA 9 (2026-10-08)</t>
        </is>
      </c>
      <c r="K244" t="inlineStr">
        <is>
          <t>B</t>
        </is>
      </c>
      <c r="L244" t="inlineStr">
        <is>
          <t>ATP rank from league standings pull (A) / WTA via Olympics.com Oct 5; AO odds VegasInsider/Johnnybet Oct 2026; probabilities = agent estimates</t>
        </is>
      </c>
      <c r="M244" t="inlineStr">
        <is>
          <t>2026-10-08</t>
        </is>
      </c>
      <c r="N244" t="inlineStr"/>
      <c r="O244">
        <f>'Tennis'!Y20</f>
        <v/>
      </c>
    </row>
    <row r="245">
      <c r="A245" t="n">
        <v>244</v>
      </c>
      <c r="B245" t="inlineStr">
        <is>
          <t>Actor</t>
        </is>
      </c>
      <c r="C245" t="inlineStr">
        <is>
          <t>Andrew Scott</t>
        </is>
      </c>
      <c r="D245" t="inlineStr">
        <is>
          <t>— free</t>
        </is>
      </c>
      <c r="E245">
        <f>'Actor'!M10</f>
        <v/>
      </c>
      <c r="F245">
        <f>'Actor'!N10</f>
        <v/>
      </c>
      <c r="G245">
        <f>'Actor'!O10</f>
        <v/>
      </c>
      <c r="H245" t="n">
        <v>2</v>
      </c>
      <c r="J245" t="inlineStr">
        <is>
          <t>Margie Claus (Nov 12); A Place in Hell (Apr 23)</t>
        </is>
      </c>
      <c r="K245" t="inlineStr">
        <is>
          <t>C</t>
        </is>
      </c>
      <c r="L245" t="inlineStr">
        <is>
          <t>Wikipedia 'List of American films of 2027' casts (Actions-runner pull 2026-10-08) x comp-based box office/RT estimates; cast lists are billed leads only (cameos not captured)</t>
        </is>
      </c>
      <c r="M245" t="inlineStr">
        <is>
          <t>2026-10-08</t>
        </is>
      </c>
      <c r="N245" t="inlineStr">
        <is>
          <t>Good but the field reaches for it: let it come to you</t>
        </is>
      </c>
      <c r="O245">
        <f>'Actor'!Y10</f>
        <v/>
      </c>
    </row>
    <row r="246">
      <c r="A246" t="n">
        <v>245</v>
      </c>
      <c r="B246" t="inlineStr">
        <is>
          <t>NCAAF</t>
        </is>
      </c>
      <c r="C246" t="inlineStr">
        <is>
          <t>LSU</t>
        </is>
      </c>
      <c r="D246" t="inlineStr">
        <is>
          <t>— free</t>
        </is>
      </c>
      <c r="E246">
        <f>'NCAAF'!M14</f>
        <v/>
      </c>
      <c r="F246">
        <f>'NCAAF'!N14</f>
        <v/>
      </c>
      <c r="G246">
        <f>'NCAAF'!O14</f>
        <v/>
      </c>
      <c r="H246" t="n">
        <v>3</v>
      </c>
      <c r="I246" t="inlineStr">
        <is>
          <t>Kalshi 4.5%</t>
        </is>
      </c>
      <c r="J246" t="inlineStr">
        <is>
          <t>AP #10, 4-1, SEC</t>
        </is>
      </c>
      <c r="K246" t="inlineStr">
        <is>
          <t>A</t>
        </is>
      </c>
      <c r="L246" t="inlineStr">
        <is>
          <t>KXNCAAF-27 exchange mid-price, pulled 2026-10-22</t>
        </is>
      </c>
      <c r="M246" t="inlineStr">
        <is>
          <t>2026-10-22</t>
        </is>
      </c>
      <c r="N246" t="inlineStr"/>
      <c r="O246">
        <f>'NCAAF'!Y14</f>
        <v/>
      </c>
    </row>
    <row r="247">
      <c r="A247" t="n">
        <v>246</v>
      </c>
      <c r="B247" t="inlineStr">
        <is>
          <t>Actress</t>
        </is>
      </c>
      <c r="C247" t="inlineStr">
        <is>
          <t>Cate Blanchett</t>
        </is>
      </c>
      <c r="D247" t="inlineStr">
        <is>
          <t>— free</t>
        </is>
      </c>
      <c r="E247">
        <f>'Actress'!M29</f>
        <v/>
      </c>
      <c r="F247">
        <f>'Actress'!N29</f>
        <v/>
      </c>
      <c r="G247">
        <f>'Actress'!O29</f>
        <v/>
      </c>
      <c r="H247" t="n">
        <v>4</v>
      </c>
      <c r="J247" t="inlineStr">
        <is>
          <t>How to Train Your Dragon 2 (Jun 11)</t>
        </is>
      </c>
      <c r="K247" t="inlineStr">
        <is>
          <t>C</t>
        </is>
      </c>
      <c r="L247" t="inlineStr">
        <is>
          <t>Wikipedia 'List of American films of 2027' casts (Actions-runner pull 2026-10-08) x comp-based box office/RT estimates; cast lists are billed leads only (cameos not captured)</t>
        </is>
      </c>
      <c r="M247" t="inlineStr">
        <is>
          <t>2026-10-08</t>
        </is>
      </c>
      <c r="N247" t="inlineStr">
        <is>
          <t>late filler</t>
        </is>
      </c>
      <c r="O247">
        <f>'Actress'!Y29</f>
        <v/>
      </c>
    </row>
    <row r="248">
      <c r="A248" t="n">
        <v>247</v>
      </c>
      <c r="B248" t="inlineStr">
        <is>
          <t>NBA</t>
        </is>
      </c>
      <c r="C248" t="inlineStr">
        <is>
          <t>Atlanta Hawks</t>
        </is>
      </c>
      <c r="D248" t="inlineStr">
        <is>
          <t>— free</t>
        </is>
      </c>
      <c r="E248">
        <f>'NBA'!M20</f>
        <v/>
      </c>
      <c r="F248">
        <f>'NBA'!N20</f>
        <v/>
      </c>
      <c r="G248">
        <f>'NBA'!O20</f>
        <v/>
      </c>
      <c r="H248" t="n">
        <v>4</v>
      </c>
      <c r="J248" t="inlineStr">
        <is>
          <t>East; win total 43.5</t>
        </is>
      </c>
      <c r="K248" t="inlineStr">
        <is>
          <t>A</t>
        </is>
      </c>
      <c r="L248" t="inlineStr">
        <is>
          <t>BetMGM win total; title price estimated | league_sim.py: full-schedule + real playoff bracket Monte Carlo, ratings fitted to Kalshi</t>
        </is>
      </c>
      <c r="M248" t="inlineStr">
        <is>
          <t>2026-10-08</t>
        </is>
      </c>
      <c r="N248" t="inlineStr"/>
      <c r="O248">
        <f>'NBA'!Y20</f>
        <v/>
      </c>
    </row>
    <row r="249">
      <c r="A249" t="n">
        <v>248</v>
      </c>
      <c r="B249" t="inlineStr">
        <is>
          <t>Actress</t>
        </is>
      </c>
      <c r="C249" t="inlineStr">
        <is>
          <t>Sandra Hüller</t>
        </is>
      </c>
      <c r="D249" t="inlineStr">
        <is>
          <t>— free</t>
        </is>
      </c>
      <c r="E249">
        <f>'Actress'!M30</f>
        <v/>
      </c>
      <c r="F249">
        <f>'Actress'!N30</f>
        <v/>
      </c>
      <c r="G249">
        <f>'Actress'!O30</f>
        <v/>
      </c>
      <c r="H249" t="n">
        <v>4</v>
      </c>
      <c r="J249" t="inlineStr">
        <is>
          <t>no 2027 film found in Wikipedia's cast lists</t>
        </is>
      </c>
      <c r="K249" t="inlineStr">
        <is>
          <t>C</t>
        </is>
      </c>
      <c r="L249" t="inlineStr">
        <is>
          <t>Wikipedia 'List of American films of 2027' casts (Actions-runner pull 2026-10-08) x comp-based box office/RT estimates; cast lists are billed leads only (cameos not captured)</t>
        </is>
      </c>
      <c r="M249" t="inlineStr">
        <is>
          <t>2026-10-08</t>
        </is>
      </c>
      <c r="N249" t="inlineStr">
        <is>
          <t>Overpriced by the field on award buzz: skip</t>
        </is>
      </c>
      <c r="O249">
        <f>'Actress'!Y30</f>
        <v/>
      </c>
    </row>
    <row r="250">
      <c r="A250" t="n">
        <v>249</v>
      </c>
      <c r="B250" t="inlineStr">
        <is>
          <t>Country</t>
        </is>
      </c>
      <c r="C250" t="inlineStr">
        <is>
          <t>South Sudan</t>
        </is>
      </c>
      <c r="D250" s="16" t="inlineStr">
        <is>
          <t>Mitchell</t>
        </is>
      </c>
      <c r="E250">
        <f>'Country'!M18</f>
        <v/>
      </c>
      <c r="F250">
        <f>'Country'!N18</f>
        <v/>
      </c>
      <c r="G250">
        <f>'Country'!O18</f>
        <v/>
      </c>
      <c r="H250" t="n">
        <v>4</v>
      </c>
      <c r="I250" t="inlineStr">
        <is>
          <t>IMF Oct-2026 2027: 3.9%</t>
        </is>
      </c>
      <c r="J250" t="inlineStr">
        <is>
          <t>IMF Oct-2026: 2025 41.436, 2026 10.489, 2027 3.866 | war/rebound path: very wide forecast error</t>
        </is>
      </c>
      <c r="K250" t="inlineStr">
        <is>
          <t>A</t>
        </is>
      </c>
      <c r="L250" t="inlineStr">
        <is>
          <t>IMF World Economic Outlook, October 2026 (published 2026-10-13), api.imf.org SDMX dataflow IMF.RES/WEO NGDP_RPCH, pulled via Actions runner</t>
        </is>
      </c>
      <c r="M250" t="inlineStr">
        <is>
          <t>2026-10-13</t>
        </is>
      </c>
      <c r="N250" t="inlineStr"/>
      <c r="O250">
        <f>'Country'!Y18</f>
        <v/>
      </c>
    </row>
    <row r="251">
      <c r="A251" t="n">
        <v>250</v>
      </c>
      <c r="B251" t="inlineStr">
        <is>
          <t>Actor</t>
        </is>
      </c>
      <c r="C251" t="inlineStr">
        <is>
          <t>Josh Gad</t>
        </is>
      </c>
      <c r="D251" t="inlineStr">
        <is>
          <t>— free</t>
        </is>
      </c>
      <c r="E251">
        <f>'Actor'!M11</f>
        <v/>
      </c>
      <c r="F251">
        <f>'Actor'!N11</f>
        <v/>
      </c>
      <c r="G251">
        <f>'Actor'!O11</f>
        <v/>
      </c>
      <c r="H251" t="n">
        <v>2</v>
      </c>
      <c r="J251" t="inlineStr">
        <is>
          <t>Frozen 3 (Nov 24); Untitled Ocean's Eleven prequel (Jun 25); Spaceballs: The New One (Apr 23)</t>
        </is>
      </c>
      <c r="K251" t="inlineStr">
        <is>
          <t>C</t>
        </is>
      </c>
      <c r="L251" t="inlineStr">
        <is>
          <t>Wikipedia 'List of American films of 2027' casts (Actions-runner pull 2026-10-08) x comp-based box office/RT estimates; cast lists are billed leads only (cameos not captured)</t>
        </is>
      </c>
      <c r="M251" t="inlineStr">
        <is>
          <t>2026-10-08</t>
        </is>
      </c>
      <c r="N251" t="inlineStr">
        <is>
          <t>TARGET LATE: value the field undervalues</t>
        </is>
      </c>
      <c r="O251">
        <f>'Actor'!Y11</f>
        <v/>
      </c>
    </row>
    <row r="252">
      <c r="A252" t="n">
        <v>251</v>
      </c>
      <c r="B252" t="inlineStr">
        <is>
          <t>Golf</t>
        </is>
      </c>
      <c r="C252" t="inlineStr">
        <is>
          <t>J.J. Spaun</t>
        </is>
      </c>
      <c r="D252" s="16" t="inlineStr">
        <is>
          <t>Mitchell</t>
        </is>
      </c>
      <c r="E252">
        <f>'Golf'!M16</f>
        <v/>
      </c>
      <c r="F252">
        <f>'Golf'!N16</f>
        <v/>
      </c>
      <c r="G252">
        <f>'Golf'!O16</f>
        <v/>
      </c>
      <c r="H252" t="n">
        <v>3</v>
      </c>
      <c r="J252" t="inlineStr">
        <is>
          <t>OWGR 12 (2026-10-08)</t>
        </is>
      </c>
      <c r="K252" t="inlineStr">
        <is>
          <t>C</t>
        </is>
      </c>
      <c r="L252" t="inlineStr">
        <is>
          <t>OWGR rank from league standings pull (A); major-win probabilities = model (rank-weighted share of 4 majors)</t>
        </is>
      </c>
      <c r="M252" t="inlineStr">
        <is>
          <t>2026-10-08</t>
        </is>
      </c>
      <c r="N252" t="inlineStr"/>
      <c r="O252">
        <f>'Golf'!Y16</f>
        <v/>
      </c>
    </row>
    <row r="253">
      <c r="A253" t="n">
        <v>252</v>
      </c>
      <c r="B253" t="inlineStr">
        <is>
          <t>Actor</t>
        </is>
      </c>
      <c r="C253" t="inlineStr">
        <is>
          <t>Brian Tyree Henry</t>
        </is>
      </c>
      <c r="D253" t="inlineStr">
        <is>
          <t>— free</t>
        </is>
      </c>
      <c r="E253">
        <f>'Actor'!M12</f>
        <v/>
      </c>
      <c r="F253">
        <f>'Actor'!N12</f>
        <v/>
      </c>
      <c r="G253">
        <f>'Actor'!O12</f>
        <v/>
      </c>
      <c r="H253" t="n">
        <v>3</v>
      </c>
      <c r="J253" t="inlineStr">
        <is>
          <t>Spider-Man: Beyond the Spider-Verse (Jun 18); Panic Carefully (Apr 9)</t>
        </is>
      </c>
      <c r="K253" t="inlineStr">
        <is>
          <t>C</t>
        </is>
      </c>
      <c r="L253" t="inlineStr">
        <is>
          <t>Wikipedia 'List of American films of 2027' casts (Actions-runner pull 2026-10-08) x comp-based box office/RT estimates; cast lists are billed leads only (cameos not captured)</t>
        </is>
      </c>
      <c r="M253" t="inlineStr">
        <is>
          <t>2026-10-08</t>
        </is>
      </c>
      <c r="N253" t="inlineStr">
        <is>
          <t>late filler</t>
        </is>
      </c>
      <c r="O253">
        <f>'Actor'!Y12</f>
        <v/>
      </c>
    </row>
    <row r="254">
      <c r="A254" t="n">
        <v>253</v>
      </c>
      <c r="B254" t="inlineStr">
        <is>
          <t>NHL</t>
        </is>
      </c>
      <c r="C254" t="inlineStr">
        <is>
          <t>New Jersey Devils</t>
        </is>
      </c>
      <c r="D254" s="16" t="inlineStr">
        <is>
          <t>Wu</t>
        </is>
      </c>
      <c r="E254">
        <f>'NHL'!M17</f>
        <v/>
      </c>
      <c r="F254">
        <f>'NHL'!N17</f>
        <v/>
      </c>
      <c r="G254">
        <f>'NHL'!O17</f>
        <v/>
      </c>
      <c r="H254" t="n">
        <v>3</v>
      </c>
      <c r="I254" t="inlineStr">
        <is>
          <t>Kalshi 3.5%</t>
        </is>
      </c>
      <c r="J254" t="inlineStr">
        <is>
          <t>East</t>
        </is>
      </c>
      <c r="K254" t="inlineStr">
        <is>
          <t>A</t>
        </is>
      </c>
      <c r="L254" t="inlineStr">
        <is>
          <t>KXNHL-27 exchange mid-price, pulled 2026-10-08; p(final)=KXNHLEAST/KXNHLWEST-27 Kalshi mid | league_sim.py: full-schedule + real playoff bracket Monte Carlo, ratings fitted to Kalshi</t>
        </is>
      </c>
      <c r="M254" t="inlineStr">
        <is>
          <t>2026-10-08</t>
        </is>
      </c>
      <c r="N254" t="inlineStr"/>
      <c r="O254">
        <f>'NHL'!Y17</f>
        <v/>
      </c>
    </row>
    <row r="255">
      <c r="A255" t="n">
        <v>254</v>
      </c>
      <c r="B255" t="inlineStr">
        <is>
          <t>NHL</t>
        </is>
      </c>
      <c r="C255" t="inlineStr">
        <is>
          <t>Montreal Canadiens</t>
        </is>
      </c>
      <c r="D255" t="inlineStr">
        <is>
          <t>— free</t>
        </is>
      </c>
      <c r="E255">
        <f>'NHL'!M18</f>
        <v/>
      </c>
      <c r="F255">
        <f>'NHL'!N18</f>
        <v/>
      </c>
      <c r="G255">
        <f>'NHL'!O18</f>
        <v/>
      </c>
      <c r="H255" t="n">
        <v>4</v>
      </c>
      <c r="I255" t="inlineStr">
        <is>
          <t>Kalshi 4.5%</t>
        </is>
      </c>
      <c r="J255" t="inlineStr">
        <is>
          <t>East</t>
        </is>
      </c>
      <c r="K255" t="inlineStr">
        <is>
          <t>A</t>
        </is>
      </c>
      <c r="L255" t="inlineStr">
        <is>
          <t>KXNHL-27 exchange mid-price, pulled 2026-10-08; p(final)=KXNHLEAST/KXNHLWEST-27 Kalshi mid | league_sim.py: full-schedule + real playoff bracket Monte Carlo, ratings fitted to Kalshi</t>
        </is>
      </c>
      <c r="M255" t="inlineStr">
        <is>
          <t>2026-10-08</t>
        </is>
      </c>
      <c r="N255" t="inlineStr"/>
      <c r="O255">
        <f>'NHL'!Y18</f>
        <v/>
      </c>
    </row>
    <row r="256">
      <c r="A256" t="n">
        <v>255</v>
      </c>
      <c r="B256" t="inlineStr">
        <is>
          <t>Tennis</t>
        </is>
      </c>
      <c r="C256" t="inlineStr">
        <is>
          <t>Elina Svitolina</t>
        </is>
      </c>
      <c r="D256" t="inlineStr">
        <is>
          <t>— free</t>
        </is>
      </c>
      <c r="E256">
        <f>'Tennis'!M18</f>
        <v/>
      </c>
      <c r="F256">
        <f>'Tennis'!N18</f>
        <v/>
      </c>
      <c r="G256">
        <f>'Tennis'!O18</f>
        <v/>
      </c>
      <c r="H256" t="n">
        <v>4</v>
      </c>
      <c r="J256" t="inlineStr">
        <is>
          <t>WTA 7 (2026-10-08)</t>
        </is>
      </c>
      <c r="K256" t="inlineStr">
        <is>
          <t>C</t>
        </is>
      </c>
      <c r="L256" t="inlineStr">
        <is>
          <t>ATP rank from league standings pull (A) / WTA via Olympics.com Oct 5; AO odds VegasInsider/Johnnybet Oct 2026; probabilities = agent estimates</t>
        </is>
      </c>
      <c r="M256" t="inlineStr">
        <is>
          <t>2026-10-08</t>
        </is>
      </c>
      <c r="N256" t="inlineStr"/>
      <c r="O256">
        <f>'Tennis'!Y18</f>
        <v/>
      </c>
    </row>
    <row r="257">
      <c r="A257" t="n">
        <v>256</v>
      </c>
      <c r="B257" t="inlineStr">
        <is>
          <t>NCAAB</t>
        </is>
      </c>
      <c r="C257" t="inlineStr">
        <is>
          <t>Kentucky</t>
        </is>
      </c>
      <c r="D257" s="16" t="inlineStr">
        <is>
          <t>Feder</t>
        </is>
      </c>
      <c r="E257">
        <f>'NCAAB'!M14</f>
        <v/>
      </c>
      <c r="F257">
        <f>'NCAAB'!N14</f>
        <v/>
      </c>
      <c r="G257">
        <f>'NCAAB'!O14</f>
        <v/>
      </c>
      <c r="H257" t="n">
        <v>3</v>
      </c>
      <c r="J257" t="inlineStr"/>
      <c r="K257" t="inlineStr">
        <is>
          <t>C</t>
        </is>
      </c>
      <c r="L257" t="inlineStr">
        <is>
          <t>estimate</t>
        </is>
      </c>
      <c r="M257" t="inlineStr">
        <is>
          <t>2026-10-08</t>
        </is>
      </c>
      <c r="N257" t="inlineStr">
        <is>
          <t>low confidence: far-out event</t>
        </is>
      </c>
      <c r="O257">
        <f>'NCAAB'!Y14</f>
        <v/>
      </c>
    </row>
    <row r="258">
      <c r="A258" t="n">
        <v>257</v>
      </c>
      <c r="B258" t="inlineStr">
        <is>
          <t>Country</t>
        </is>
      </c>
      <c r="C258" t="inlineStr">
        <is>
          <t>Rwanda</t>
        </is>
      </c>
      <c r="D258" t="inlineStr">
        <is>
          <t>— free</t>
        </is>
      </c>
      <c r="E258">
        <f>'Country'!M19</f>
        <v/>
      </c>
      <c r="F258">
        <f>'Country'!N19</f>
        <v/>
      </c>
      <c r="G258">
        <f>'Country'!O19</f>
        <v/>
      </c>
      <c r="H258" t="n">
        <v>4</v>
      </c>
      <c r="I258" t="inlineStr">
        <is>
          <t>IMF Oct-2026 2027: 7.2%</t>
        </is>
      </c>
      <c r="J258" t="inlineStr">
        <is>
          <t>IMF Oct-2026: 2025 9.373, 2026 7.4, 2027 7.234</t>
        </is>
      </c>
      <c r="K258" t="inlineStr">
        <is>
          <t>A</t>
        </is>
      </c>
      <c r="L258" t="inlineStr">
        <is>
          <t>IMF World Economic Outlook, October 2026 (published 2026-10-13), api.imf.org SDMX dataflow IMF.RES/WEO NGDP_RPCH, pulled via Actions runner</t>
        </is>
      </c>
      <c r="M258" t="inlineStr">
        <is>
          <t>2026-10-13</t>
        </is>
      </c>
      <c r="N258" t="inlineStr"/>
      <c r="O258">
        <f>'Country'!Y19</f>
        <v/>
      </c>
    </row>
    <row r="259">
      <c r="A259" t="n">
        <v>258</v>
      </c>
      <c r="B259" t="inlineStr">
        <is>
          <t>Musician</t>
        </is>
      </c>
      <c r="C259" t="inlineStr">
        <is>
          <t>Bad Bunny</t>
        </is>
      </c>
      <c r="D259" s="16" t="inlineStr">
        <is>
          <t>Mitchell</t>
        </is>
      </c>
      <c r="E259">
        <f>'Musician'!M17</f>
        <v/>
      </c>
      <c r="F259">
        <f>'Musician'!N17</f>
        <v/>
      </c>
      <c r="G259">
        <f>'Musician'!O17</f>
        <v/>
      </c>
      <c r="H259" t="n">
        <v>3</v>
      </c>
      <c r="I259" t="inlineStr">
        <is>
          <t>Grammy EV 1.1</t>
        </is>
      </c>
      <c r="J259" t="inlineStr">
        <is>
          <t>2026 raw 11; charting now: none charting; carry-over 0.0 + new hits 8.8 (lambda 1.10, P(~0) 34%)</t>
        </is>
      </c>
      <c r="K259" t="inlineStr">
        <is>
          <t>C</t>
        </is>
      </c>
      <c r="L259" t="inlineStr">
        <is>
          <t>2027 Hot 100 baseline = my estimate; Grammy: estimate (C)</t>
        </is>
      </c>
      <c r="M259" t="inlineStr">
        <is>
          <t>2026-10-08</t>
        </is>
      </c>
      <c r="N259" t="inlineStr">
        <is>
          <t>late filler</t>
        </is>
      </c>
      <c r="O259">
        <f>'Musician'!Y17</f>
        <v/>
      </c>
    </row>
    <row r="260">
      <c r="A260" t="n">
        <v>259</v>
      </c>
      <c r="B260" t="inlineStr">
        <is>
          <t>Actor</t>
        </is>
      </c>
      <c r="C260" t="inlineStr">
        <is>
          <t>Matt Berry</t>
        </is>
      </c>
      <c r="D260" t="inlineStr">
        <is>
          <t>— free</t>
        </is>
      </c>
      <c r="E260">
        <f>'Actor'!M13</f>
        <v/>
      </c>
      <c r="F260">
        <f>'Actor'!N13</f>
        <v/>
      </c>
      <c r="G260">
        <f>'Actor'!O13</f>
        <v/>
      </c>
      <c r="H260" t="n">
        <v>3</v>
      </c>
      <c r="J260" t="inlineStr">
        <is>
          <t>Sonic the Hedgehog 4 (Mar 19); A Minecraft Movie Squared (Jul 23)</t>
        </is>
      </c>
      <c r="K260" t="inlineStr">
        <is>
          <t>C</t>
        </is>
      </c>
      <c r="L260" t="inlineStr">
        <is>
          <t>Wikipedia 'List of American films of 2027' casts (Actions-runner pull 2026-10-08) x comp-based box office/RT estimates; cast lists are billed leads only (cameos not captured)</t>
        </is>
      </c>
      <c r="M260" t="inlineStr">
        <is>
          <t>2026-10-08</t>
        </is>
      </c>
      <c r="N260" t="inlineStr">
        <is>
          <t>late filler</t>
        </is>
      </c>
      <c r="O260">
        <f>'Actor'!Y13</f>
        <v/>
      </c>
    </row>
    <row r="261">
      <c r="A261" t="n">
        <v>260</v>
      </c>
      <c r="B261" t="inlineStr">
        <is>
          <t>Actress</t>
        </is>
      </c>
      <c r="C261" t="inlineStr">
        <is>
          <t>Olivia Wilde</t>
        </is>
      </c>
      <c r="D261" t="inlineStr">
        <is>
          <t>— free</t>
        </is>
      </c>
      <c r="E261">
        <f>'Actress'!M31</f>
        <v/>
      </c>
      <c r="F261">
        <f>'Actress'!N31</f>
        <v/>
      </c>
      <c r="G261">
        <f>'Actress'!O31</f>
        <v/>
      </c>
      <c r="H261" t="n">
        <v>4</v>
      </c>
      <c r="J261" t="inlineStr">
        <is>
          <t>no 2027 film found in Wikipedia's cast lists</t>
        </is>
      </c>
      <c r="K261" t="inlineStr">
        <is>
          <t>C</t>
        </is>
      </c>
      <c r="L261" t="inlineStr">
        <is>
          <t>Wikipedia 'List of American films of 2027' casts (Actions-runner pull 2026-10-08) x comp-based box office/RT estimates; cast lists are billed leads only (cameos not captured)</t>
        </is>
      </c>
      <c r="M261" t="inlineStr">
        <is>
          <t>2026-10-08</t>
        </is>
      </c>
      <c r="N261" t="inlineStr">
        <is>
          <t>Overpriced by the field on award buzz: skip</t>
        </is>
      </c>
      <c r="O261">
        <f>'Actress'!Y31</f>
        <v/>
      </c>
    </row>
    <row r="262">
      <c r="A262" t="n">
        <v>261</v>
      </c>
      <c r="B262" t="inlineStr">
        <is>
          <t>Actress</t>
        </is>
      </c>
      <c r="C262" t="inlineStr">
        <is>
          <t>Kirsten Dunst</t>
        </is>
      </c>
      <c r="D262" t="inlineStr">
        <is>
          <t>— free</t>
        </is>
      </c>
      <c r="E262">
        <f>'Actress'!M32</f>
        <v/>
      </c>
      <c r="F262">
        <f>'Actress'!N32</f>
        <v/>
      </c>
      <c r="G262">
        <f>'Actress'!O32</f>
        <v/>
      </c>
      <c r="H262" t="n">
        <v>4</v>
      </c>
      <c r="J262" t="inlineStr">
        <is>
          <t>A Minecraft Movie Squared (Jul 23); The Housemaid's Secret (Dec 17)</t>
        </is>
      </c>
      <c r="K262" t="inlineStr">
        <is>
          <t>C</t>
        </is>
      </c>
      <c r="L262" t="inlineStr">
        <is>
          <t>Wikipedia 'List of American films of 2027' casts (Actions-runner pull 2026-10-08) x comp-based box office/RT estimates; cast lists are billed leads only (cameos not captured)</t>
        </is>
      </c>
      <c r="M262" t="inlineStr">
        <is>
          <t>2026-10-08</t>
        </is>
      </c>
      <c r="N262" t="inlineStr">
        <is>
          <t>late filler</t>
        </is>
      </c>
      <c r="O262">
        <f>'Actress'!Y32</f>
        <v/>
      </c>
    </row>
    <row r="263">
      <c r="A263" t="n">
        <v>262</v>
      </c>
      <c r="B263" t="inlineStr">
        <is>
          <t>Musician</t>
        </is>
      </c>
      <c r="C263" t="inlineStr">
        <is>
          <t>Phoebe Bridgers</t>
        </is>
      </c>
      <c r="D263" t="inlineStr">
        <is>
          <t>— free</t>
        </is>
      </c>
      <c r="E263">
        <f>'Musician'!M18</f>
        <v/>
      </c>
      <c r="F263">
        <f>'Musician'!N18</f>
        <v/>
      </c>
      <c r="G263">
        <f>'Musician'!O18</f>
        <v/>
      </c>
      <c r="H263" t="n">
        <v>4</v>
      </c>
      <c r="I263" t="inlineStr">
        <is>
          <t>Grammy EV 3.7 (raw 3.7, P(cap) 1%)</t>
        </is>
      </c>
      <c r="J263" t="inlineStr">
        <is>
          <t>2026 raw 0; charting now: none charting; carry-over 0.0 + new hits 1.2 (lambda 0.15, P(~0) 86%)</t>
        </is>
      </c>
      <c r="K263" t="inlineStr">
        <is>
          <t>C</t>
        </is>
      </c>
      <c r="L263" t="inlineStr">
        <is>
          <t>2027 Hot 100 baseline = my estimate; Grammy: Kalshi KXGRAM*-69 prices (A) + estimates for other categories (C)</t>
        </is>
      </c>
      <c r="M263" t="inlineStr">
        <is>
          <t>2026-10-08</t>
        </is>
      </c>
      <c r="N263" t="inlineStr">
        <is>
          <t>late filler</t>
        </is>
      </c>
      <c r="O263">
        <f>'Musician'!Y18</f>
        <v/>
      </c>
    </row>
    <row r="264">
      <c r="A264" t="n">
        <v>263</v>
      </c>
      <c r="B264" t="inlineStr">
        <is>
          <t>MLB</t>
        </is>
      </c>
      <c r="C264" t="inlineStr">
        <is>
          <t>Kansas City Royals</t>
        </is>
      </c>
      <c r="D264" t="inlineStr">
        <is>
          <t>— free</t>
        </is>
      </c>
      <c r="E264">
        <f>'MLB'!M30</f>
        <v/>
      </c>
      <c r="F264">
        <f>'MLB'!N30</f>
        <v/>
      </c>
      <c r="G264">
        <f>'MLB'!O30</f>
        <v/>
      </c>
      <c r="H264" t="n">
        <v>4</v>
      </c>
      <c r="J264" t="inlineStr">
        <is>
          <t>2026: 69-93 (.4259)</t>
        </is>
      </c>
      <c r="K264" t="inlineStr">
        <is>
          <t>C</t>
        </is>
      </c>
      <c r="L264" t="inlineStr">
        <is>
          <t>2026 win% from league standings (A); title prob = model estimate — no 2027 World Series odds posted</t>
        </is>
      </c>
      <c r="M264" t="inlineStr">
        <is>
          <t>2026-10-08</t>
        </is>
      </c>
      <c r="N264" t="inlineStr">
        <is>
          <t>low confidence: far-out event</t>
        </is>
      </c>
      <c r="O264">
        <f>'MLB'!Y30</f>
        <v/>
      </c>
    </row>
    <row r="265">
      <c r="A265" t="n">
        <v>264</v>
      </c>
      <c r="B265" t="inlineStr">
        <is>
          <t>NFL</t>
        </is>
      </c>
      <c r="C265" t="inlineStr">
        <is>
          <t>Los Angeles Rams</t>
        </is>
      </c>
      <c r="D265" s="16" t="inlineStr">
        <is>
          <t>Mitchell</t>
        </is>
      </c>
      <c r="E265">
        <f>'NFL'!M18</f>
        <v/>
      </c>
      <c r="F265">
        <f>'NFL'!N18</f>
        <v/>
      </c>
      <c r="G265">
        <f>'NFL'!O18</f>
        <v/>
      </c>
      <c r="H265" t="n">
        <v>4</v>
      </c>
      <c r="I265" t="inlineStr">
        <is>
          <t>Kalshi 11.5%</t>
        </is>
      </c>
      <c r="J265" t="inlineStr">
        <is>
          <t>2-2, NFC West</t>
        </is>
      </c>
      <c r="K265" t="inlineStr">
        <is>
          <t>A</t>
        </is>
      </c>
      <c r="L265" t="inlineStr">
        <is>
          <t>KXSB-27 exchange mid-price, pulled 2026-10-08; p(final)=KXNFLAFCCHAMP/KXNFLNFCCHAMP-27 Kalshi mid | league_sim.py: full-schedule + real playoff bracket Monte Carlo, ratings fitted to Kalshi</t>
        </is>
      </c>
      <c r="M265" t="inlineStr">
        <is>
          <t>2026-10-08</t>
        </is>
      </c>
      <c r="N265" t="inlineStr"/>
      <c r="O265">
        <f>'NFL'!Y18</f>
        <v/>
      </c>
    </row>
    <row r="266">
      <c r="A266" t="n">
        <v>265</v>
      </c>
      <c r="B266" t="inlineStr">
        <is>
          <t>Actress</t>
        </is>
      </c>
      <c r="C266" t="inlineStr">
        <is>
          <t>Colleen O'Shaughnessey</t>
        </is>
      </c>
      <c r="D266" t="inlineStr">
        <is>
          <t>— free</t>
        </is>
      </c>
      <c r="E266">
        <f>'Actress'!M33</f>
        <v/>
      </c>
      <c r="F266">
        <f>'Actress'!N33</f>
        <v/>
      </c>
      <c r="G266">
        <f>'Actress'!O33</f>
        <v/>
      </c>
      <c r="H266" t="n">
        <v>4</v>
      </c>
      <c r="J266" t="inlineStr">
        <is>
          <t>Sonic the Hedgehog 4 (Mar 19)</t>
        </is>
      </c>
      <c r="K266" t="inlineStr">
        <is>
          <t>C</t>
        </is>
      </c>
      <c r="L266" t="inlineStr">
        <is>
          <t>Wikipedia 'List of American films of 2027' casts (Actions-runner pull 2026-10-08) x comp-based box office/RT estimates; cast lists are billed leads only (cameos not captured)</t>
        </is>
      </c>
      <c r="M266" t="inlineStr">
        <is>
          <t>2026-10-08</t>
        </is>
      </c>
      <c r="N266" t="inlineStr">
        <is>
          <t>late filler</t>
        </is>
      </c>
      <c r="O266">
        <f>'Actress'!Y33</f>
        <v/>
      </c>
    </row>
    <row r="267">
      <c r="A267" t="n">
        <v>266</v>
      </c>
      <c r="B267" t="inlineStr">
        <is>
          <t>Actress</t>
        </is>
      </c>
      <c r="C267" t="inlineStr">
        <is>
          <t>Tika Sumpter</t>
        </is>
      </c>
      <c r="D267" t="inlineStr">
        <is>
          <t>— free</t>
        </is>
      </c>
      <c r="E267">
        <f>'Actress'!M34</f>
        <v/>
      </c>
      <c r="F267">
        <f>'Actress'!N34</f>
        <v/>
      </c>
      <c r="G267">
        <f>'Actress'!O34</f>
        <v/>
      </c>
      <c r="H267" t="n">
        <v>4</v>
      </c>
      <c r="J267" t="inlineStr">
        <is>
          <t>Sonic the Hedgehog 4 (Mar 19)</t>
        </is>
      </c>
      <c r="K267" t="inlineStr">
        <is>
          <t>C</t>
        </is>
      </c>
      <c r="L267" t="inlineStr">
        <is>
          <t>Wikipedia 'List of American films of 2027' casts (Actions-runner pull 2026-10-08) x comp-based box office/RT estimates; cast lists are billed leads only (cameos not captured)</t>
        </is>
      </c>
      <c r="M267" t="inlineStr">
        <is>
          <t>2026-10-08</t>
        </is>
      </c>
      <c r="N267" t="inlineStr">
        <is>
          <t>late filler</t>
        </is>
      </c>
      <c r="O267">
        <f>'Actress'!Y34</f>
        <v/>
      </c>
    </row>
    <row r="268">
      <c r="A268" t="n">
        <v>267</v>
      </c>
      <c r="B268" t="inlineStr">
        <is>
          <t>NHL</t>
        </is>
      </c>
      <c r="C268" t="inlineStr">
        <is>
          <t>San Jose Sharks</t>
        </is>
      </c>
      <c r="D268" t="inlineStr">
        <is>
          <t>— free</t>
        </is>
      </c>
      <c r="E268">
        <f>'NHL'!M19</f>
        <v/>
      </c>
      <c r="F268">
        <f>'NHL'!N19</f>
        <v/>
      </c>
      <c r="G268">
        <f>'NHL'!O19</f>
        <v/>
      </c>
      <c r="H268" t="n">
        <v>4</v>
      </c>
      <c r="I268" t="inlineStr">
        <is>
          <t>Kalshi 4.5%</t>
        </is>
      </c>
      <c r="J268" t="inlineStr">
        <is>
          <t>West</t>
        </is>
      </c>
      <c r="K268" t="inlineStr">
        <is>
          <t>A</t>
        </is>
      </c>
      <c r="L268" t="inlineStr">
        <is>
          <t>KXNHL-27 exchange mid-price, pulled 2026-10-08; p(final)=KXNHLEAST/KXNHLWEST-27 Kalshi mid | league_sim.py: full-schedule + real playoff bracket Monte Carlo, ratings fitted to Kalshi</t>
        </is>
      </c>
      <c r="M268" t="inlineStr">
        <is>
          <t>2026-10-08</t>
        </is>
      </c>
      <c r="N268" t="inlineStr"/>
      <c r="O268">
        <f>'NHL'!Y19</f>
        <v/>
      </c>
    </row>
    <row r="269">
      <c r="A269" t="n">
        <v>268</v>
      </c>
      <c r="B269" t="inlineStr">
        <is>
          <t>Country</t>
        </is>
      </c>
      <c r="C269" t="inlineStr">
        <is>
          <t>Kyrgyzstan</t>
        </is>
      </c>
      <c r="D269" t="inlineStr">
        <is>
          <t>— free</t>
        </is>
      </c>
      <c r="E269">
        <f>'Country'!M20</f>
        <v/>
      </c>
      <c r="F269">
        <f>'Country'!N20</f>
        <v/>
      </c>
      <c r="G269">
        <f>'Country'!O20</f>
        <v/>
      </c>
      <c r="H269" t="n">
        <v>4</v>
      </c>
      <c r="I269" t="inlineStr">
        <is>
          <t>IMF Oct-2026 2027: 7.0%</t>
        </is>
      </c>
      <c r="J269" t="inlineStr">
        <is>
          <t>IMF Oct-2026: 2025 11.096, 2026 8.96, 2027 7.04</t>
        </is>
      </c>
      <c r="K269" t="inlineStr">
        <is>
          <t>A</t>
        </is>
      </c>
      <c r="L269" t="inlineStr">
        <is>
          <t>IMF World Economic Outlook, October 2026 (published 2026-10-13), api.imf.org SDMX dataflow IMF.RES/WEO NGDP_RPCH, pulled via Actions runner</t>
        </is>
      </c>
      <c r="M269" t="inlineStr">
        <is>
          <t>2026-10-13</t>
        </is>
      </c>
      <c r="N269" t="inlineStr"/>
      <c r="O269">
        <f>'Country'!Y20</f>
        <v/>
      </c>
    </row>
    <row r="270">
      <c r="A270" t="n">
        <v>269</v>
      </c>
      <c r="B270" t="inlineStr">
        <is>
          <t>Country</t>
        </is>
      </c>
      <c r="C270" t="inlineStr">
        <is>
          <t>India</t>
        </is>
      </c>
      <c r="D270" t="inlineStr">
        <is>
          <t>— free</t>
        </is>
      </c>
      <c r="E270">
        <f>'Country'!M21</f>
        <v/>
      </c>
      <c r="F270">
        <f>'Country'!N21</f>
        <v/>
      </c>
      <c r="G270">
        <f>'Country'!O21</f>
        <v/>
      </c>
      <c r="H270" t="n">
        <v>4</v>
      </c>
      <c r="I270" t="inlineStr">
        <is>
          <t>IMF Oct-2026 2027: 7.0%</t>
        </is>
      </c>
      <c r="J270" t="inlineStr">
        <is>
          <t>IMF Oct-2026: 2025 7.819, 2026 7.012, 2027 7.015</t>
        </is>
      </c>
      <c r="K270" t="inlineStr">
        <is>
          <t>A</t>
        </is>
      </c>
      <c r="L270" t="inlineStr">
        <is>
          <t>IMF World Economic Outlook, October 2026 (published 2026-10-13), api.imf.org SDMX dataflow IMF.RES/WEO NGDP_RPCH, pulled via Actions runner</t>
        </is>
      </c>
      <c r="M270" t="inlineStr">
        <is>
          <t>2026-10-13</t>
        </is>
      </c>
      <c r="N270" t="inlineStr"/>
      <c r="O270">
        <f>'Country'!Y21</f>
        <v/>
      </c>
    </row>
    <row r="271">
      <c r="A271" t="n">
        <v>270</v>
      </c>
      <c r="B271" t="inlineStr">
        <is>
          <t>NBA</t>
        </is>
      </c>
      <c r="C271" t="inlineStr">
        <is>
          <t>Phoenix Suns</t>
        </is>
      </c>
      <c r="D271" t="inlineStr">
        <is>
          <t>— free</t>
        </is>
      </c>
      <c r="E271">
        <f>'NBA'!M21</f>
        <v/>
      </c>
      <c r="F271">
        <f>'NBA'!N21</f>
        <v/>
      </c>
      <c r="G271">
        <f>'NBA'!O21</f>
        <v/>
      </c>
      <c r="H271" t="n">
        <v>4</v>
      </c>
      <c r="J271" t="inlineStr">
        <is>
          <t>West; win total 40.5</t>
        </is>
      </c>
      <c r="K271" t="inlineStr">
        <is>
          <t>A</t>
        </is>
      </c>
      <c r="L271" t="inlineStr">
        <is>
          <t>BetMGM win total; title price estimated | league_sim.py: full-schedule + real playoff bracket Monte Carlo, ratings fitted to Kalshi</t>
        </is>
      </c>
      <c r="M271" t="inlineStr">
        <is>
          <t>2026-10-08</t>
        </is>
      </c>
      <c r="N271" t="inlineStr"/>
      <c r="O271">
        <f>'NBA'!Y21</f>
        <v/>
      </c>
    </row>
    <row r="272">
      <c r="A272" t="n">
        <v>271</v>
      </c>
      <c r="B272" t="inlineStr">
        <is>
          <t>NCAAB</t>
        </is>
      </c>
      <c r="C272" t="inlineStr">
        <is>
          <t>Purdue</t>
        </is>
      </c>
      <c r="D272" s="16" t="inlineStr">
        <is>
          <t>Korch</t>
        </is>
      </c>
      <c r="E272">
        <f>'NCAAB'!M15</f>
        <v/>
      </c>
      <c r="F272">
        <f>'NCAAB'!N15</f>
        <v/>
      </c>
      <c r="G272">
        <f>'NCAAB'!O15</f>
        <v/>
      </c>
      <c r="H272" t="n">
        <v>3</v>
      </c>
      <c r="I272" t="inlineStr">
        <is>
          <t>+6500</t>
        </is>
      </c>
      <c r="J272" t="inlineStr"/>
      <c r="K272" t="inlineStr">
        <is>
          <t>B</t>
        </is>
      </c>
      <c r="L272" t="inlineStr">
        <is>
          <t>CBS Sports title odds 2026-08-04</t>
        </is>
      </c>
      <c r="M272" t="inlineStr">
        <is>
          <t>2026-10-08</t>
        </is>
      </c>
      <c r="N272" t="inlineStr">
        <is>
          <t>low confidence: far-out event</t>
        </is>
      </c>
      <c r="O272">
        <f>'NCAAB'!Y15</f>
        <v/>
      </c>
    </row>
    <row r="273">
      <c r="A273" t="n">
        <v>272</v>
      </c>
      <c r="B273" t="inlineStr">
        <is>
          <t>Golf</t>
        </is>
      </c>
      <c r="C273" t="inlineStr">
        <is>
          <t>Viktor Hovland</t>
        </is>
      </c>
      <c r="D273" s="16" t="inlineStr">
        <is>
          <t>Fryar</t>
        </is>
      </c>
      <c r="E273">
        <f>'Golf'!M17</f>
        <v/>
      </c>
      <c r="F273">
        <f>'Golf'!N17</f>
        <v/>
      </c>
      <c r="G273">
        <f>'Golf'!O17</f>
        <v/>
      </c>
      <c r="H273" t="n">
        <v>3</v>
      </c>
      <c r="J273" t="inlineStr">
        <is>
          <t>OWGR 13 (2026-10-08)</t>
        </is>
      </c>
      <c r="K273" t="inlineStr">
        <is>
          <t>C</t>
        </is>
      </c>
      <c r="L273" t="inlineStr">
        <is>
          <t>OWGR rank from league standings pull (A); major-win probabilities = model (rank-weighted share of 4 majors)</t>
        </is>
      </c>
      <c r="M273" t="inlineStr">
        <is>
          <t>2026-10-08</t>
        </is>
      </c>
      <c r="N273" t="inlineStr"/>
      <c r="O273">
        <f>'Golf'!Y17</f>
        <v/>
      </c>
    </row>
    <row r="274">
      <c r="A274" t="n">
        <v>273</v>
      </c>
      <c r="B274" t="inlineStr">
        <is>
          <t>Actor</t>
        </is>
      </c>
      <c r="C274" t="inlineStr">
        <is>
          <t>Jake Johnson</t>
        </is>
      </c>
      <c r="D274" t="inlineStr">
        <is>
          <t>— free</t>
        </is>
      </c>
      <c r="E274">
        <f>'Actor'!M14</f>
        <v/>
      </c>
      <c r="F274">
        <f>'Actor'!N14</f>
        <v/>
      </c>
      <c r="G274">
        <f>'Actor'!O14</f>
        <v/>
      </c>
      <c r="H274" t="n">
        <v>3</v>
      </c>
      <c r="J274" t="inlineStr">
        <is>
          <t>Spider-Man: Beyond the Spider-Verse (Jun 18)</t>
        </is>
      </c>
      <c r="K274" t="inlineStr">
        <is>
          <t>C</t>
        </is>
      </c>
      <c r="L274" t="inlineStr">
        <is>
          <t>Wikipedia 'List of American films of 2027' casts (Actions-runner pull 2026-10-08) x comp-based box office/RT estimates; cast lists are billed leads only (cameos not captured)</t>
        </is>
      </c>
      <c r="M274" t="inlineStr">
        <is>
          <t>2026-10-08</t>
        </is>
      </c>
      <c r="N274" t="inlineStr">
        <is>
          <t>late filler</t>
        </is>
      </c>
      <c r="O274">
        <f>'Actor'!Y14</f>
        <v/>
      </c>
    </row>
    <row r="275">
      <c r="A275" t="n">
        <v>274</v>
      </c>
      <c r="B275" t="inlineStr">
        <is>
          <t>Tennis</t>
        </is>
      </c>
      <c r="C275" t="inlineStr">
        <is>
          <t>Karolina Muchova</t>
        </is>
      </c>
      <c r="D275" t="inlineStr">
        <is>
          <t>— free</t>
        </is>
      </c>
      <c r="E275">
        <f>'Tennis'!M21</f>
        <v/>
      </c>
      <c r="F275">
        <f>'Tennis'!N21</f>
        <v/>
      </c>
      <c r="G275">
        <f>'Tennis'!O21</f>
        <v/>
      </c>
      <c r="H275" t="n">
        <v>4</v>
      </c>
      <c r="J275" t="inlineStr">
        <is>
          <t>WTA 8 (2026-10-08)</t>
        </is>
      </c>
      <c r="K275" t="inlineStr">
        <is>
          <t>C</t>
        </is>
      </c>
      <c r="L275" t="inlineStr">
        <is>
          <t>ATP rank from league standings pull (A) / WTA via Olympics.com Oct 5; AO odds VegasInsider/Johnnybet Oct 2026; probabilities = agent estimates</t>
        </is>
      </c>
      <c r="M275" t="inlineStr">
        <is>
          <t>2026-10-08</t>
        </is>
      </c>
      <c r="N275" t="inlineStr"/>
      <c r="O275">
        <f>'Tennis'!Y21</f>
        <v/>
      </c>
    </row>
    <row r="276">
      <c r="A276" t="n">
        <v>275</v>
      </c>
      <c r="B276" t="inlineStr">
        <is>
          <t>Actor</t>
        </is>
      </c>
      <c r="C276" t="inlineStr">
        <is>
          <t>Shameik Moore</t>
        </is>
      </c>
      <c r="D276" t="inlineStr">
        <is>
          <t>— free</t>
        </is>
      </c>
      <c r="E276">
        <f>'Actor'!M15</f>
        <v/>
      </c>
      <c r="F276">
        <f>'Actor'!N15</f>
        <v/>
      </c>
      <c r="G276">
        <f>'Actor'!O15</f>
        <v/>
      </c>
      <c r="H276" t="n">
        <v>3</v>
      </c>
      <c r="J276" t="inlineStr">
        <is>
          <t>Spider-Man: Beyond the Spider-Verse (Jun 18)</t>
        </is>
      </c>
      <c r="K276" t="inlineStr">
        <is>
          <t>C</t>
        </is>
      </c>
      <c r="L276" t="inlineStr">
        <is>
          <t>Wikipedia 'List of American films of 2027' casts (Actions-runner pull 2026-10-08) x comp-based box office/RT estimates; cast lists are billed leads only (cameos not captured)</t>
        </is>
      </c>
      <c r="M276" t="inlineStr">
        <is>
          <t>2026-10-08</t>
        </is>
      </c>
      <c r="N276" t="inlineStr">
        <is>
          <t>late filler</t>
        </is>
      </c>
      <c r="O276">
        <f>'Actor'!Y15</f>
        <v/>
      </c>
    </row>
    <row r="277">
      <c r="A277" t="n">
        <v>276</v>
      </c>
      <c r="B277" t="inlineStr">
        <is>
          <t>NBA</t>
        </is>
      </c>
      <c r="C277" t="inlineStr">
        <is>
          <t>Orlando Magic</t>
        </is>
      </c>
      <c r="D277" s="16" t="inlineStr">
        <is>
          <t>Jamzee</t>
        </is>
      </c>
      <c r="E277">
        <f>'NBA'!M22</f>
        <v/>
      </c>
      <c r="F277">
        <f>'NBA'!N22</f>
        <v/>
      </c>
      <c r="G277">
        <f>'NBA'!O22</f>
        <v/>
      </c>
      <c r="H277" t="n">
        <v>4</v>
      </c>
      <c r="I277" t="inlineStr">
        <is>
          <t>Kalshi 1.5%</t>
        </is>
      </c>
      <c r="J277" t="inlineStr">
        <is>
          <t>East; win total 43.5</t>
        </is>
      </c>
      <c r="K277" t="inlineStr">
        <is>
          <t>A</t>
        </is>
      </c>
      <c r="L277" t="inlineStr">
        <is>
          <t>KXNBA-27 exchange mid-price, pulled 2026-10-08; p(final)=KXNBAEAST/KXNBAWEST-27 Kalshi mid | league_sim.py: full-schedule + real playoff bracket Monte Carlo, ratings fitted to Kalshi</t>
        </is>
      </c>
      <c r="M277" t="inlineStr">
        <is>
          <t>2026-10-08</t>
        </is>
      </c>
      <c r="N277" t="inlineStr"/>
      <c r="O277">
        <f>'NBA'!Y22</f>
        <v/>
      </c>
    </row>
    <row r="278">
      <c r="A278" t="n">
        <v>277</v>
      </c>
      <c r="B278" t="inlineStr">
        <is>
          <t>MLB</t>
        </is>
      </c>
      <c r="C278" t="inlineStr">
        <is>
          <t>Athletics</t>
        </is>
      </c>
      <c r="D278" t="inlineStr">
        <is>
          <t>— free</t>
        </is>
      </c>
      <c r="E278">
        <f>'MLB'!M31</f>
        <v/>
      </c>
      <c r="F278">
        <f>'MLB'!N31</f>
        <v/>
      </c>
      <c r="G278">
        <f>'MLB'!O31</f>
        <v/>
      </c>
      <c r="H278" t="n">
        <v>4</v>
      </c>
      <c r="J278" t="inlineStr">
        <is>
          <t>2026: 64-98 (.3951)</t>
        </is>
      </c>
      <c r="K278" t="inlineStr">
        <is>
          <t>C</t>
        </is>
      </c>
      <c r="L278" t="inlineStr">
        <is>
          <t>2026 win% from league standings (A); title prob = model estimate — no 2027 World Series odds posted</t>
        </is>
      </c>
      <c r="M278" t="inlineStr">
        <is>
          <t>2026-10-08</t>
        </is>
      </c>
      <c r="N278" t="inlineStr">
        <is>
          <t>low confidence: far-out event</t>
        </is>
      </c>
      <c r="O278">
        <f>'MLB'!Y31</f>
        <v/>
      </c>
    </row>
    <row r="279">
      <c r="A279" t="n">
        <v>278</v>
      </c>
      <c r="B279" t="inlineStr">
        <is>
          <t>Country</t>
        </is>
      </c>
      <c r="C279" t="inlineStr">
        <is>
          <t>Niger</t>
        </is>
      </c>
      <c r="D279" t="inlineStr">
        <is>
          <t>— free</t>
        </is>
      </c>
      <c r="E279">
        <f>'Country'!M22</f>
        <v/>
      </c>
      <c r="F279">
        <f>'Country'!N22</f>
        <v/>
      </c>
      <c r="G279">
        <f>'Country'!O22</f>
        <v/>
      </c>
      <c r="H279" t="n">
        <v>4</v>
      </c>
      <c r="I279" t="inlineStr">
        <is>
          <t>IMF Oct-2026 2027: 6.5%</t>
        </is>
      </c>
      <c r="J279" t="inlineStr">
        <is>
          <t>IMF Oct-2026: 2025 6.893, 2026 6.999, 2027 6.547 | commodity-driven: wide forecast error</t>
        </is>
      </c>
      <c r="K279" t="inlineStr">
        <is>
          <t>A</t>
        </is>
      </c>
      <c r="L279" t="inlineStr">
        <is>
          <t>IMF World Economic Outlook, October 2026 (published 2026-10-13), api.imf.org SDMX dataflow IMF.RES/WEO NGDP_RPCH, pulled via Actions runner</t>
        </is>
      </c>
      <c r="M279" t="inlineStr">
        <is>
          <t>2026-10-13</t>
        </is>
      </c>
      <c r="N279" t="inlineStr"/>
      <c r="O279">
        <f>'Country'!Y22</f>
        <v/>
      </c>
    </row>
    <row r="280">
      <c r="A280" t="n">
        <v>279</v>
      </c>
      <c r="B280" t="inlineStr">
        <is>
          <t>Country</t>
        </is>
      </c>
      <c r="C280" t="inlineStr">
        <is>
          <t>Bhutan</t>
        </is>
      </c>
      <c r="D280" t="inlineStr">
        <is>
          <t>— free</t>
        </is>
      </c>
      <c r="E280">
        <f>'Country'!M23</f>
        <v/>
      </c>
      <c r="F280">
        <f>'Country'!N23</f>
        <v/>
      </c>
      <c r="G280">
        <f>'Country'!O23</f>
        <v/>
      </c>
      <c r="H280" t="n">
        <v>4</v>
      </c>
      <c r="I280" t="inlineStr">
        <is>
          <t>IMF Oct-2026 2027: 6.9%</t>
        </is>
      </c>
      <c r="J280" t="inlineStr">
        <is>
          <t>IMF Oct-2026: 2025 8.221, 2026 6.976, 2027 6.9</t>
        </is>
      </c>
      <c r="K280" t="inlineStr">
        <is>
          <t>A</t>
        </is>
      </c>
      <c r="L280" t="inlineStr">
        <is>
          <t>IMF World Economic Outlook, October 2026 (published 2026-10-13), api.imf.org SDMX dataflow IMF.RES/WEO NGDP_RPCH, pulled via Actions runner</t>
        </is>
      </c>
      <c r="M280" t="inlineStr">
        <is>
          <t>2026-10-13</t>
        </is>
      </c>
      <c r="N280" t="inlineStr"/>
      <c r="O280">
        <f>'Country'!Y23</f>
        <v/>
      </c>
    </row>
    <row r="281">
      <c r="A281" t="n">
        <v>280</v>
      </c>
      <c r="B281" t="inlineStr">
        <is>
          <t>Actor</t>
        </is>
      </c>
      <c r="C281" t="inlineStr">
        <is>
          <t>Jason Schwartzman</t>
        </is>
      </c>
      <c r="D281" t="inlineStr">
        <is>
          <t>— free</t>
        </is>
      </c>
      <c r="E281">
        <f>'Actor'!M16</f>
        <v/>
      </c>
      <c r="F281">
        <f>'Actor'!N16</f>
        <v/>
      </c>
      <c r="G281">
        <f>'Actor'!O16</f>
        <v/>
      </c>
      <c r="H281" t="n">
        <v>3</v>
      </c>
      <c r="J281" t="inlineStr">
        <is>
          <t>Spider-Man: Beyond the Spider-Verse (Jun 18)</t>
        </is>
      </c>
      <c r="K281" t="inlineStr">
        <is>
          <t>C</t>
        </is>
      </c>
      <c r="L281" t="inlineStr">
        <is>
          <t>Wikipedia 'List of American films of 2027' casts (Actions-runner pull 2026-10-08) x comp-based box office/RT estimates; cast lists are billed leads only (cameos not captured)</t>
        </is>
      </c>
      <c r="M281" t="inlineStr">
        <is>
          <t>2026-10-08</t>
        </is>
      </c>
      <c r="N281" t="inlineStr">
        <is>
          <t>late filler</t>
        </is>
      </c>
      <c r="O281">
        <f>'Actor'!Y16</f>
        <v/>
      </c>
    </row>
    <row r="282">
      <c r="A282" t="n">
        <v>281</v>
      </c>
      <c r="B282" t="inlineStr">
        <is>
          <t>MLB</t>
        </is>
      </c>
      <c r="C282" t="inlineStr">
        <is>
          <t>San Francisco Giants</t>
        </is>
      </c>
      <c r="D282" t="inlineStr">
        <is>
          <t>— free</t>
        </is>
      </c>
      <c r="E282">
        <f>'MLB'!M32</f>
        <v/>
      </c>
      <c r="F282">
        <f>'MLB'!N32</f>
        <v/>
      </c>
      <c r="G282">
        <f>'MLB'!O32</f>
        <v/>
      </c>
      <c r="H282" t="n">
        <v>4</v>
      </c>
      <c r="J282" t="inlineStr">
        <is>
          <t>2026: 65-97 (.4012)</t>
        </is>
      </c>
      <c r="K282" t="inlineStr">
        <is>
          <t>C</t>
        </is>
      </c>
      <c r="L282" t="inlineStr">
        <is>
          <t>2026 win% from league standings (A); title prob = model estimate — no 2027 World Series odds posted</t>
        </is>
      </c>
      <c r="M282" t="inlineStr">
        <is>
          <t>2026-10-08</t>
        </is>
      </c>
      <c r="N282" t="inlineStr">
        <is>
          <t>low confidence: far-out event</t>
        </is>
      </c>
      <c r="O282">
        <f>'MLB'!Y32</f>
        <v/>
      </c>
    </row>
    <row r="283">
      <c r="A283" t="n">
        <v>282</v>
      </c>
      <c r="B283" t="inlineStr">
        <is>
          <t>Actor</t>
        </is>
      </c>
      <c r="C283" t="inlineStr">
        <is>
          <t>John Mulaney</t>
        </is>
      </c>
      <c r="D283" t="inlineStr">
        <is>
          <t>— free</t>
        </is>
      </c>
      <c r="E283">
        <f>'Actor'!M17</f>
        <v/>
      </c>
      <c r="F283">
        <f>'Actor'!N17</f>
        <v/>
      </c>
      <c r="G283">
        <f>'Actor'!O17</f>
        <v/>
      </c>
      <c r="H283" t="n">
        <v>3</v>
      </c>
      <c r="J283" t="inlineStr">
        <is>
          <t>Spider-Man: Beyond the Spider-Verse (Jun 18)</t>
        </is>
      </c>
      <c r="K283" t="inlineStr">
        <is>
          <t>C</t>
        </is>
      </c>
      <c r="L283" t="inlineStr">
        <is>
          <t>Wikipedia 'List of American films of 2027' casts (Actions-runner pull 2026-10-08) x comp-based box office/RT estimates; cast lists are billed leads only (cameos not captured)</t>
        </is>
      </c>
      <c r="M283" t="inlineStr">
        <is>
          <t>2026-10-08</t>
        </is>
      </c>
      <c r="N283" t="inlineStr">
        <is>
          <t>late filler</t>
        </is>
      </c>
      <c r="O283">
        <f>'Actor'!Y17</f>
        <v/>
      </c>
    </row>
    <row r="284">
      <c r="A284" t="n">
        <v>283</v>
      </c>
      <c r="B284" t="inlineStr">
        <is>
          <t>Actor</t>
        </is>
      </c>
      <c r="C284" t="inlineStr">
        <is>
          <t>Karan Soni</t>
        </is>
      </c>
      <c r="D284" t="inlineStr">
        <is>
          <t>— free</t>
        </is>
      </c>
      <c r="E284">
        <f>'Actor'!M18</f>
        <v/>
      </c>
      <c r="F284">
        <f>'Actor'!N18</f>
        <v/>
      </c>
      <c r="G284">
        <f>'Actor'!O18</f>
        <v/>
      </c>
      <c r="H284" t="n">
        <v>4</v>
      </c>
      <c r="J284" t="inlineStr">
        <is>
          <t>Spider-Man: Beyond the Spider-Verse (Jun 18)</t>
        </is>
      </c>
      <c r="K284" t="inlineStr">
        <is>
          <t>C</t>
        </is>
      </c>
      <c r="L284" t="inlineStr">
        <is>
          <t>Wikipedia 'List of American films of 2027' casts (Actions-runner pull 2026-10-08) x comp-based box office/RT estimates; cast lists are billed leads only (cameos not captured)</t>
        </is>
      </c>
      <c r="M284" t="inlineStr">
        <is>
          <t>2026-10-08</t>
        </is>
      </c>
      <c r="N284" t="inlineStr">
        <is>
          <t>late filler</t>
        </is>
      </c>
      <c r="O284">
        <f>'Actor'!Y18</f>
        <v/>
      </c>
    </row>
    <row r="285">
      <c r="A285" t="n">
        <v>284</v>
      </c>
      <c r="B285" t="inlineStr">
        <is>
          <t>Actor</t>
        </is>
      </c>
      <c r="C285" t="inlineStr">
        <is>
          <t>Daniel Kaluuya</t>
        </is>
      </c>
      <c r="D285" t="inlineStr">
        <is>
          <t>— free</t>
        </is>
      </c>
      <c r="E285">
        <f>'Actor'!M19</f>
        <v/>
      </c>
      <c r="F285">
        <f>'Actor'!N19</f>
        <v/>
      </c>
      <c r="G285">
        <f>'Actor'!O19</f>
        <v/>
      </c>
      <c r="H285" t="n">
        <v>4</v>
      </c>
      <c r="J285" t="inlineStr">
        <is>
          <t>Spider-Man: Beyond the Spider-Verse (Jun 18)</t>
        </is>
      </c>
      <c r="K285" t="inlineStr">
        <is>
          <t>C</t>
        </is>
      </c>
      <c r="L285" t="inlineStr">
        <is>
          <t>Wikipedia 'List of American films of 2027' casts (Actions-runner pull 2026-10-08) x comp-based box office/RT estimates; cast lists are billed leads only (cameos not captured)</t>
        </is>
      </c>
      <c r="M285" t="inlineStr">
        <is>
          <t>2026-10-08</t>
        </is>
      </c>
      <c r="N285" t="inlineStr">
        <is>
          <t>late filler</t>
        </is>
      </c>
      <c r="O285">
        <f>'Actor'!Y19</f>
        <v/>
      </c>
    </row>
    <row r="286">
      <c r="A286" t="n">
        <v>285</v>
      </c>
      <c r="B286" t="inlineStr">
        <is>
          <t>Actor</t>
        </is>
      </c>
      <c r="C286" t="inlineStr">
        <is>
          <t>Nicolas Cage</t>
        </is>
      </c>
      <c r="D286" t="inlineStr">
        <is>
          <t>— free</t>
        </is>
      </c>
      <c r="E286">
        <f>'Actor'!M20</f>
        <v/>
      </c>
      <c r="F286">
        <f>'Actor'!N20</f>
        <v/>
      </c>
      <c r="G286">
        <f>'Actor'!O20</f>
        <v/>
      </c>
      <c r="H286" t="n">
        <v>4</v>
      </c>
      <c r="J286" t="inlineStr">
        <is>
          <t>Spider-Man: Beyond the Spider-Verse (Jun 18)</t>
        </is>
      </c>
      <c r="K286" t="inlineStr">
        <is>
          <t>C</t>
        </is>
      </c>
      <c r="L286" t="inlineStr">
        <is>
          <t>Wikipedia 'List of American films of 2027' casts (Actions-runner pull 2026-10-08) x comp-based box office/RT estimates; cast lists are billed leads only (cameos not captured)</t>
        </is>
      </c>
      <c r="M286" t="inlineStr">
        <is>
          <t>2026-10-08</t>
        </is>
      </c>
      <c r="N286" t="inlineStr">
        <is>
          <t>late filler</t>
        </is>
      </c>
      <c r="O286">
        <f>'Actor'!Y20</f>
        <v/>
      </c>
    </row>
    <row r="287">
      <c r="A287" t="n">
        <v>286</v>
      </c>
      <c r="B287" t="inlineStr">
        <is>
          <t>Actor</t>
        </is>
      </c>
      <c r="C287" t="inlineStr">
        <is>
          <t>Oscar Isaac</t>
        </is>
      </c>
      <c r="D287" t="inlineStr">
        <is>
          <t>— free</t>
        </is>
      </c>
      <c r="E287">
        <f>'Actor'!M21</f>
        <v/>
      </c>
      <c r="F287">
        <f>'Actor'!N21</f>
        <v/>
      </c>
      <c r="G287">
        <f>'Actor'!O21</f>
        <v/>
      </c>
      <c r="H287" t="n">
        <v>4</v>
      </c>
      <c r="J287" t="inlineStr">
        <is>
          <t>Spider-Man: Beyond the Spider-Verse (Jun 18)</t>
        </is>
      </c>
      <c r="K287" t="inlineStr">
        <is>
          <t>C</t>
        </is>
      </c>
      <c r="L287" t="inlineStr">
        <is>
          <t>Wikipedia 'List of American films of 2027' casts (Actions-runner pull 2026-10-08) x comp-based box office/RT estimates; cast lists are billed leads only (cameos not captured)</t>
        </is>
      </c>
      <c r="M287" t="inlineStr">
        <is>
          <t>2026-10-08</t>
        </is>
      </c>
      <c r="N287" t="inlineStr">
        <is>
          <t>late filler</t>
        </is>
      </c>
      <c r="O287">
        <f>'Actor'!Y21</f>
        <v/>
      </c>
    </row>
    <row r="288">
      <c r="A288" t="n">
        <v>287</v>
      </c>
      <c r="B288" t="inlineStr">
        <is>
          <t>Actor</t>
        </is>
      </c>
      <c r="C288" t="inlineStr">
        <is>
          <t>Mahershala Ali</t>
        </is>
      </c>
      <c r="D288" t="inlineStr">
        <is>
          <t>— free</t>
        </is>
      </c>
      <c r="E288">
        <f>'Actor'!M22</f>
        <v/>
      </c>
      <c r="F288">
        <f>'Actor'!N22</f>
        <v/>
      </c>
      <c r="G288">
        <f>'Actor'!O22</f>
        <v/>
      </c>
      <c r="H288" t="n">
        <v>4</v>
      </c>
      <c r="J288" t="inlineStr">
        <is>
          <t>Spider-Man: Beyond the Spider-Verse (Jun 18)</t>
        </is>
      </c>
      <c r="K288" t="inlineStr">
        <is>
          <t>C</t>
        </is>
      </c>
      <c r="L288" t="inlineStr">
        <is>
          <t>Wikipedia 'List of American films of 2027' casts (Actions-runner pull 2026-10-08) x comp-based box office/RT estimates; cast lists are billed leads only (cameos not captured)</t>
        </is>
      </c>
      <c r="M288" t="inlineStr">
        <is>
          <t>2026-10-08</t>
        </is>
      </c>
      <c r="N288" t="inlineStr">
        <is>
          <t>late filler</t>
        </is>
      </c>
      <c r="O288">
        <f>'Actor'!Y22</f>
        <v/>
      </c>
    </row>
    <row r="289">
      <c r="A289" t="n">
        <v>288</v>
      </c>
      <c r="B289" t="inlineStr">
        <is>
          <t>Country</t>
        </is>
      </c>
      <c r="C289" t="inlineStr">
        <is>
          <t>Benin</t>
        </is>
      </c>
      <c r="D289" t="inlineStr">
        <is>
          <t>— free</t>
        </is>
      </c>
      <c r="E289">
        <f>'Country'!M24</f>
        <v/>
      </c>
      <c r="F289">
        <f>'Country'!N24</f>
        <v/>
      </c>
      <c r="G289">
        <f>'Country'!O24</f>
        <v/>
      </c>
      <c r="H289" t="n">
        <v>4</v>
      </c>
      <c r="I289" t="inlineStr">
        <is>
          <t>IMF Oct-2026 2027: 6.8%</t>
        </is>
      </c>
      <c r="J289" t="inlineStr">
        <is>
          <t>IMF Oct-2026: 2025 8.074, 2026 6.997, 2027 6.801</t>
        </is>
      </c>
      <c r="K289" t="inlineStr">
        <is>
          <t>A</t>
        </is>
      </c>
      <c r="L289" t="inlineStr">
        <is>
          <t>IMF World Economic Outlook, October 2026 (published 2026-10-13), api.imf.org SDMX dataflow IMF.RES/WEO NGDP_RPCH, pulled via Actions runner</t>
        </is>
      </c>
      <c r="M289" t="inlineStr">
        <is>
          <t>2026-10-13</t>
        </is>
      </c>
      <c r="N289" t="inlineStr"/>
      <c r="O289">
        <f>'Country'!Y24</f>
        <v/>
      </c>
    </row>
    <row r="290">
      <c r="A290" t="n">
        <v>289</v>
      </c>
      <c r="B290" t="inlineStr">
        <is>
          <t>Country</t>
        </is>
      </c>
      <c r="C290" t="inlineStr">
        <is>
          <t>Tajikistan</t>
        </is>
      </c>
      <c r="D290" t="inlineStr">
        <is>
          <t>— free</t>
        </is>
      </c>
      <c r="E290">
        <f>'Country'!M25</f>
        <v/>
      </c>
      <c r="F290">
        <f>'Country'!N25</f>
        <v/>
      </c>
      <c r="G290">
        <f>'Country'!O25</f>
        <v/>
      </c>
      <c r="H290" t="n">
        <v>4</v>
      </c>
      <c r="I290" t="inlineStr">
        <is>
          <t>IMF Oct-2026 2027: 6.8%</t>
        </is>
      </c>
      <c r="J290" t="inlineStr">
        <is>
          <t>IMF Oct-2026: 2025 8.4, 2026 7.3, 2027 6.8</t>
        </is>
      </c>
      <c r="K290" t="inlineStr">
        <is>
          <t>A</t>
        </is>
      </c>
      <c r="L290" t="inlineStr">
        <is>
          <t>IMF World Economic Outlook, October 2026 (published 2026-10-13), api.imf.org SDMX dataflow IMF.RES/WEO NGDP_RPCH, pulled via Actions runner</t>
        </is>
      </c>
      <c r="M290" t="inlineStr">
        <is>
          <t>2026-10-13</t>
        </is>
      </c>
      <c r="N290" t="inlineStr"/>
      <c r="O290">
        <f>'Country'!Y25</f>
        <v/>
      </c>
    </row>
    <row r="291">
      <c r="A291" t="n">
        <v>290</v>
      </c>
      <c r="B291" t="inlineStr">
        <is>
          <t>MLB</t>
        </is>
      </c>
      <c r="C291" t="inlineStr">
        <is>
          <t>Los Angeles Angels</t>
        </is>
      </c>
      <c r="D291" t="inlineStr">
        <is>
          <t>— free</t>
        </is>
      </c>
      <c r="E291">
        <f>'MLB'!M33</f>
        <v/>
      </c>
      <c r="F291">
        <f>'MLB'!N33</f>
        <v/>
      </c>
      <c r="G291">
        <f>'MLB'!O33</f>
        <v/>
      </c>
      <c r="H291" t="n">
        <v>4</v>
      </c>
      <c r="J291" t="inlineStr">
        <is>
          <t>2026: 62-100 (.3827)</t>
        </is>
      </c>
      <c r="K291" t="inlineStr">
        <is>
          <t>C</t>
        </is>
      </c>
      <c r="L291" t="inlineStr">
        <is>
          <t>2026 win% from league standings (A); title prob = model estimate — no 2027 World Series odds posted</t>
        </is>
      </c>
      <c r="M291" t="inlineStr">
        <is>
          <t>2026-10-08</t>
        </is>
      </c>
      <c r="N291" t="inlineStr">
        <is>
          <t>low confidence: far-out event</t>
        </is>
      </c>
      <c r="O291">
        <f>'MLB'!Y33</f>
        <v/>
      </c>
    </row>
    <row r="292">
      <c r="A292" t="n">
        <v>291</v>
      </c>
      <c r="B292" t="inlineStr">
        <is>
          <t>Actress</t>
        </is>
      </c>
      <c r="C292" t="inlineStr">
        <is>
          <t>Penélope Cruz</t>
        </is>
      </c>
      <c r="D292" t="inlineStr">
        <is>
          <t>— free</t>
        </is>
      </c>
      <c r="E292">
        <f>'Actress'!M35</f>
        <v/>
      </c>
      <c r="F292">
        <f>'Actress'!N35</f>
        <v/>
      </c>
      <c r="G292">
        <f>'Actress'!O35</f>
        <v/>
      </c>
      <c r="H292" t="n">
        <v>4</v>
      </c>
      <c r="J292" t="inlineStr">
        <is>
          <t>Paris Paramount (Dec 25); Day Drinker (Mar 26)</t>
        </is>
      </c>
      <c r="K292" t="inlineStr">
        <is>
          <t>C</t>
        </is>
      </c>
      <c r="L292" t="inlineStr">
        <is>
          <t>Wikipedia 'List of American films of 2027' casts (Actions-runner pull 2026-10-08) x comp-based box office/RT estimates; cast lists are billed leads only (cameos not captured)</t>
        </is>
      </c>
      <c r="M292" t="inlineStr">
        <is>
          <t>2026-10-08</t>
        </is>
      </c>
      <c r="N292" t="inlineStr">
        <is>
          <t>late filler</t>
        </is>
      </c>
      <c r="O292">
        <f>'Actress'!Y35</f>
        <v/>
      </c>
    </row>
    <row r="293">
      <c r="A293" t="n">
        <v>292</v>
      </c>
      <c r="B293" t="inlineStr">
        <is>
          <t>Actor</t>
        </is>
      </c>
      <c r="C293" t="inlineStr">
        <is>
          <t>Daniel Ings</t>
        </is>
      </c>
      <c r="D293" t="inlineStr">
        <is>
          <t>— free</t>
        </is>
      </c>
      <c r="E293">
        <f>'Actor'!M23</f>
        <v/>
      </c>
      <c r="F293">
        <f>'Actor'!N23</f>
        <v/>
      </c>
      <c r="G293">
        <f>'Actor'!O23</f>
        <v/>
      </c>
      <c r="H293" t="n">
        <v>4</v>
      </c>
      <c r="J293" t="inlineStr">
        <is>
          <t>Starfighter (May 28); Jason Statham Stole My Bike (Aug 6)</t>
        </is>
      </c>
      <c r="K293" t="inlineStr">
        <is>
          <t>C</t>
        </is>
      </c>
      <c r="L293" t="inlineStr">
        <is>
          <t>Wikipedia 'List of American films of 2027' casts (Actions-runner pull 2026-10-08) x comp-based box office/RT estimates; cast lists are billed leads only (cameos not captured)</t>
        </is>
      </c>
      <c r="M293" t="inlineStr">
        <is>
          <t>2026-10-08</t>
        </is>
      </c>
      <c r="N293" t="inlineStr">
        <is>
          <t>late filler</t>
        </is>
      </c>
      <c r="O293">
        <f>'Actor'!Y23</f>
        <v/>
      </c>
    </row>
    <row r="294">
      <c r="A294" t="n">
        <v>293</v>
      </c>
      <c r="B294" t="inlineStr">
        <is>
          <t>Golf</t>
        </is>
      </c>
      <c r="C294" t="inlineStr">
        <is>
          <t>Si Woo Kim</t>
        </is>
      </c>
      <c r="D294" t="inlineStr">
        <is>
          <t>— free</t>
        </is>
      </c>
      <c r="E294">
        <f>'Golf'!M18</f>
        <v/>
      </c>
      <c r="F294">
        <f>'Golf'!N18</f>
        <v/>
      </c>
      <c r="G294">
        <f>'Golf'!O18</f>
        <v/>
      </c>
      <c r="H294" t="n">
        <v>4</v>
      </c>
      <c r="J294" t="inlineStr">
        <is>
          <t>OWGR 14 (2026-10-08)</t>
        </is>
      </c>
      <c r="K294" t="inlineStr">
        <is>
          <t>C</t>
        </is>
      </c>
      <c r="L294" t="inlineStr">
        <is>
          <t>OWGR rank from league standings pull (A); major-win probabilities = model (rank-weighted share of 4 majors)</t>
        </is>
      </c>
      <c r="M294" t="inlineStr">
        <is>
          <t>2026-10-08</t>
        </is>
      </c>
      <c r="N294" t="inlineStr"/>
      <c r="O294">
        <f>'Golf'!Y18</f>
        <v/>
      </c>
    </row>
    <row r="295">
      <c r="A295" t="n">
        <v>294</v>
      </c>
      <c r="B295" t="inlineStr">
        <is>
          <t>Tennis</t>
        </is>
      </c>
      <c r="C295" t="inlineStr">
        <is>
          <t>Alex de Minaur</t>
        </is>
      </c>
      <c r="D295" t="inlineStr">
        <is>
          <t>— free</t>
        </is>
      </c>
      <c r="E295">
        <f>'Tennis'!M22</f>
        <v/>
      </c>
      <c r="F295">
        <f>'Tennis'!N22</f>
        <v/>
      </c>
      <c r="G295">
        <f>'Tennis'!O22</f>
        <v/>
      </c>
      <c r="H295" t="n">
        <v>4</v>
      </c>
      <c r="J295" t="inlineStr">
        <is>
          <t>ATP 9 (2026-10-08)</t>
        </is>
      </c>
      <c r="K295" t="inlineStr">
        <is>
          <t>C</t>
        </is>
      </c>
      <c r="L295" t="inlineStr">
        <is>
          <t>ATP rank from league standings pull (A) / WTA via Olympics.com Oct 5; AO odds VegasInsider/Johnnybet Oct 2026; probabilities = agent estimates</t>
        </is>
      </c>
      <c r="M295" t="inlineStr">
        <is>
          <t>2026-10-08</t>
        </is>
      </c>
      <c r="N295" t="inlineStr"/>
      <c r="O295">
        <f>'Tennis'!Y22</f>
        <v/>
      </c>
    </row>
    <row r="296">
      <c r="A296" t="n">
        <v>295</v>
      </c>
      <c r="B296" t="inlineStr">
        <is>
          <t>Actress</t>
        </is>
      </c>
      <c r="C296" t="inlineStr">
        <is>
          <t>Samantha Morton</t>
        </is>
      </c>
      <c r="D296" t="inlineStr">
        <is>
          <t>— free</t>
        </is>
      </c>
      <c r="E296">
        <f>'Actress'!M36</f>
        <v/>
      </c>
      <c r="F296">
        <f>'Actress'!N36</f>
        <v/>
      </c>
      <c r="G296">
        <f>'Actress'!O36</f>
        <v/>
      </c>
      <c r="H296" t="n">
        <v>4</v>
      </c>
      <c r="J296" t="inlineStr">
        <is>
          <t>no 2027 film found in Wikipedia's cast lists</t>
        </is>
      </c>
      <c r="K296" t="inlineStr">
        <is>
          <t>C</t>
        </is>
      </c>
      <c r="L296" t="inlineStr">
        <is>
          <t>Wikipedia 'List of American films of 2027' casts (Actions-runner pull 2026-10-08) x comp-based box office/RT estimates; cast lists are billed leads only (cameos not captured)</t>
        </is>
      </c>
      <c r="M296" t="inlineStr">
        <is>
          <t>2026-10-08</t>
        </is>
      </c>
      <c r="N296" t="inlineStr">
        <is>
          <t>late filler</t>
        </is>
      </c>
      <c r="O296">
        <f>'Actress'!Y36</f>
        <v/>
      </c>
    </row>
    <row r="297">
      <c r="A297" t="n">
        <v>296</v>
      </c>
      <c r="B297" t="inlineStr">
        <is>
          <t>Actress</t>
        </is>
      </c>
      <c r="C297" t="inlineStr">
        <is>
          <t>Danielle Brooks</t>
        </is>
      </c>
      <c r="D297" t="inlineStr">
        <is>
          <t>— free</t>
        </is>
      </c>
      <c r="E297">
        <f>'Actress'!M37</f>
        <v/>
      </c>
      <c r="F297">
        <f>'Actress'!N37</f>
        <v/>
      </c>
      <c r="G297">
        <f>'Actress'!O37</f>
        <v/>
      </c>
      <c r="H297" t="n">
        <v>4</v>
      </c>
      <c r="J297" t="inlineStr">
        <is>
          <t>A Minecraft Movie Squared (Jul 23)</t>
        </is>
      </c>
      <c r="K297" t="inlineStr">
        <is>
          <t>C</t>
        </is>
      </c>
      <c r="L297" t="inlineStr">
        <is>
          <t>Wikipedia 'List of American films of 2027' casts (Actions-runner pull 2026-10-08) x comp-based box office/RT estimates; cast lists are billed leads only (cameos not captured)</t>
        </is>
      </c>
      <c r="M297" t="inlineStr">
        <is>
          <t>2026-10-08</t>
        </is>
      </c>
      <c r="N297" t="inlineStr">
        <is>
          <t>late filler</t>
        </is>
      </c>
      <c r="O297">
        <f>'Actress'!Y37</f>
        <v/>
      </c>
    </row>
    <row r="298">
      <c r="A298" t="n">
        <v>297</v>
      </c>
      <c r="B298" t="inlineStr">
        <is>
          <t>Country</t>
        </is>
      </c>
      <c r="C298" t="inlineStr">
        <is>
          <t>Uzbekistan</t>
        </is>
      </c>
      <c r="D298" t="inlineStr">
        <is>
          <t>— free</t>
        </is>
      </c>
      <c r="E298">
        <f>'Country'!M26</f>
        <v/>
      </c>
      <c r="F298">
        <f>'Country'!N26</f>
        <v/>
      </c>
      <c r="G298">
        <f>'Country'!O26</f>
        <v/>
      </c>
      <c r="H298" t="n">
        <v>4</v>
      </c>
      <c r="I298" t="inlineStr">
        <is>
          <t>IMF Oct-2026 2027: 6.5%</t>
        </is>
      </c>
      <c r="J298" t="inlineStr">
        <is>
          <t>IMF Oct-2026: 2025 7.7, 2026 7.817, 2027 6.526</t>
        </is>
      </c>
      <c r="K298" t="inlineStr">
        <is>
          <t>A</t>
        </is>
      </c>
      <c r="L298" t="inlineStr">
        <is>
          <t>IMF World Economic Outlook, October 2026 (published 2026-10-13), api.imf.org SDMX dataflow IMF.RES/WEO NGDP_RPCH, pulled via Actions runner</t>
        </is>
      </c>
      <c r="M298" t="inlineStr">
        <is>
          <t>2026-10-13</t>
        </is>
      </c>
      <c r="N298" t="inlineStr"/>
      <c r="O298">
        <f>'Country'!Y26</f>
        <v/>
      </c>
    </row>
    <row r="299">
      <c r="A299" t="n">
        <v>298</v>
      </c>
      <c r="B299" t="inlineStr">
        <is>
          <t>Actress</t>
        </is>
      </c>
      <c r="C299" t="inlineStr">
        <is>
          <t>Jennifer Coolidge</t>
        </is>
      </c>
      <c r="D299" t="inlineStr">
        <is>
          <t>— free</t>
        </is>
      </c>
      <c r="E299">
        <f>'Actress'!M38</f>
        <v/>
      </c>
      <c r="F299">
        <f>'Actress'!N38</f>
        <v/>
      </c>
      <c r="G299">
        <f>'Actress'!O38</f>
        <v/>
      </c>
      <c r="H299" t="n">
        <v>4</v>
      </c>
      <c r="J299" t="inlineStr">
        <is>
          <t>A Minecraft Movie Squared (Jul 23)</t>
        </is>
      </c>
      <c r="K299" t="inlineStr">
        <is>
          <t>C</t>
        </is>
      </c>
      <c r="L299" t="inlineStr">
        <is>
          <t>Wikipedia 'List of American films of 2027' casts (Actions-runner pull 2026-10-08) x comp-based box office/RT estimates; cast lists are billed leads only (cameos not captured)</t>
        </is>
      </c>
      <c r="M299" t="inlineStr">
        <is>
          <t>2026-10-08</t>
        </is>
      </c>
      <c r="N299" t="inlineStr">
        <is>
          <t>late filler</t>
        </is>
      </c>
      <c r="O299">
        <f>'Actress'!Y38</f>
        <v/>
      </c>
    </row>
    <row r="300">
      <c r="A300" t="n">
        <v>299</v>
      </c>
      <c r="B300" t="inlineStr">
        <is>
          <t>Actor</t>
        </is>
      </c>
      <c r="C300" t="inlineStr">
        <is>
          <t>Flynn Gray</t>
        </is>
      </c>
      <c r="D300" t="inlineStr">
        <is>
          <t>— free</t>
        </is>
      </c>
      <c r="E300">
        <f>'Actor'!M24</f>
        <v/>
      </c>
      <c r="F300">
        <f>'Actor'!N24</f>
        <v/>
      </c>
      <c r="G300">
        <f>'Actor'!O24</f>
        <v/>
      </c>
      <c r="H300" t="n">
        <v>4</v>
      </c>
      <c r="J300" t="inlineStr">
        <is>
          <t>Starfighter (May 28)</t>
        </is>
      </c>
      <c r="K300" t="inlineStr">
        <is>
          <t>C</t>
        </is>
      </c>
      <c r="L300" t="inlineStr">
        <is>
          <t>Wikipedia 'List of American films of 2027' casts (Actions-runner pull 2026-10-08) x comp-based box office/RT estimates; cast lists are billed leads only (cameos not captured)</t>
        </is>
      </c>
      <c r="M300" t="inlineStr">
        <is>
          <t>2026-10-08</t>
        </is>
      </c>
      <c r="N300" t="inlineStr">
        <is>
          <t>late filler</t>
        </is>
      </c>
      <c r="O300">
        <f>'Actor'!Y24</f>
        <v/>
      </c>
    </row>
    <row r="301">
      <c r="A301" t="n">
        <v>300</v>
      </c>
      <c r="B301" t="inlineStr">
        <is>
          <t>Musician</t>
        </is>
      </c>
      <c r="C301" t="inlineStr">
        <is>
          <t>Justin Bieber</t>
        </is>
      </c>
      <c r="D301" s="16" t="inlineStr">
        <is>
          <t>Fryar</t>
        </is>
      </c>
      <c r="E301">
        <f>'Musician'!M19</f>
        <v/>
      </c>
      <c r="F301">
        <f>'Musician'!N19</f>
        <v/>
      </c>
      <c r="G301">
        <f>'Musician'!O19</f>
        <v/>
      </c>
      <c r="H301" t="n">
        <v>4</v>
      </c>
      <c r="I301" t="inlineStr">
        <is>
          <t>Grammy EV 0.3</t>
        </is>
      </c>
      <c r="J301" t="inlineStr">
        <is>
          <t>2026 raw 2; charting now: none charting; carry-over 0.0 + new hits 9.0 (lambda 1.10, P(~0) 34%)</t>
        </is>
      </c>
      <c r="K301" t="inlineStr">
        <is>
          <t>C</t>
        </is>
      </c>
      <c r="L301" t="inlineStr">
        <is>
          <t>2027 Hot 100 baseline = my estimate; Grammy: estimate (C)</t>
        </is>
      </c>
      <c r="M301" t="inlineStr">
        <is>
          <t>2026-10-08</t>
        </is>
      </c>
      <c r="N301" t="inlineStr">
        <is>
          <t>late filler</t>
        </is>
      </c>
      <c r="O301">
        <f>'Musician'!Y19</f>
        <v/>
      </c>
    </row>
    <row r="302">
      <c r="A302" t="n">
        <v>301</v>
      </c>
      <c r="B302" t="inlineStr">
        <is>
          <t>MLB</t>
        </is>
      </c>
      <c r="C302" t="inlineStr">
        <is>
          <t>Colorado Rockies</t>
        </is>
      </c>
      <c r="D302" t="inlineStr">
        <is>
          <t>— free</t>
        </is>
      </c>
      <c r="E302">
        <f>'MLB'!M34</f>
        <v/>
      </c>
      <c r="F302">
        <f>'MLB'!N34</f>
        <v/>
      </c>
      <c r="G302">
        <f>'MLB'!O34</f>
        <v/>
      </c>
      <c r="H302" t="n">
        <v>4</v>
      </c>
      <c r="J302" t="inlineStr">
        <is>
          <t>2026: 58-104 (.3580)</t>
        </is>
      </c>
      <c r="K302" t="inlineStr">
        <is>
          <t>C</t>
        </is>
      </c>
      <c r="L302" t="inlineStr">
        <is>
          <t>2026 win% from league standings (A); title prob = model estimate — no 2027 World Series odds posted</t>
        </is>
      </c>
      <c r="M302" t="inlineStr">
        <is>
          <t>2026-10-08</t>
        </is>
      </c>
      <c r="N302" t="inlineStr">
        <is>
          <t>low confidence: far-out event</t>
        </is>
      </c>
      <c r="O302">
        <f>'MLB'!Y34</f>
        <v/>
      </c>
    </row>
    <row r="303">
      <c r="A303" t="n">
        <v>302</v>
      </c>
      <c r="B303" t="inlineStr">
        <is>
          <t>Actor</t>
        </is>
      </c>
      <c r="C303" t="inlineStr">
        <is>
          <t>Matt Smith</t>
        </is>
      </c>
      <c r="D303" t="inlineStr">
        <is>
          <t>— free</t>
        </is>
      </c>
      <c r="E303">
        <f>'Actor'!M25</f>
        <v/>
      </c>
      <c r="F303">
        <f>'Actor'!N25</f>
        <v/>
      </c>
      <c r="G303">
        <f>'Actor'!O25</f>
        <v/>
      </c>
      <c r="H303" t="n">
        <v>4</v>
      </c>
      <c r="J303" t="inlineStr">
        <is>
          <t>Starfighter (May 28)</t>
        </is>
      </c>
      <c r="K303" t="inlineStr">
        <is>
          <t>C</t>
        </is>
      </c>
      <c r="L303" t="inlineStr">
        <is>
          <t>Wikipedia 'List of American films of 2027' casts (Actions-runner pull 2026-10-08) x comp-based box office/RT estimates; cast lists are billed leads only (cameos not captured)</t>
        </is>
      </c>
      <c r="M303" t="inlineStr">
        <is>
          <t>2026-10-08</t>
        </is>
      </c>
      <c r="N303" t="inlineStr">
        <is>
          <t>late filler</t>
        </is>
      </c>
      <c r="O303">
        <f>'Actor'!Y25</f>
        <v/>
      </c>
    </row>
    <row r="304">
      <c r="A304" t="n">
        <v>303</v>
      </c>
      <c r="B304" t="inlineStr">
        <is>
          <t>Musician</t>
        </is>
      </c>
      <c r="C304" t="inlineStr">
        <is>
          <t>Sienna Spiro</t>
        </is>
      </c>
      <c r="D304" t="inlineStr">
        <is>
          <t>— free</t>
        </is>
      </c>
      <c r="E304">
        <f>'Musician'!M20</f>
        <v/>
      </c>
      <c r="F304">
        <f>'Musician'!N20</f>
        <v/>
      </c>
      <c r="G304">
        <f>'Musician'!O20</f>
        <v/>
      </c>
      <c r="H304" t="n">
        <v>4</v>
      </c>
      <c r="I304" t="inlineStr">
        <is>
          <t>Grammy EV 3.0 (raw 3.0, P(cap) 0%)</t>
        </is>
      </c>
      <c r="J304" t="inlineStr">
        <is>
          <t>2026 raw 0; charting now: none charting; carry-over 0.0 + new hits 1.3 (lambda 0.15, P(~0) 86%)</t>
        </is>
      </c>
      <c r="K304" t="inlineStr">
        <is>
          <t>C</t>
        </is>
      </c>
      <c r="L304" t="inlineStr">
        <is>
          <t>2027 Hot 100 baseline = my estimate; Grammy: Kalshi KXGRAM*-69 prices (A) + estimates for other categories (C)</t>
        </is>
      </c>
      <c r="M304" t="inlineStr">
        <is>
          <t>2026-10-08</t>
        </is>
      </c>
      <c r="N304" t="inlineStr">
        <is>
          <t>late filler</t>
        </is>
      </c>
      <c r="O304">
        <f>'Musician'!Y20</f>
        <v/>
      </c>
    </row>
    <row r="305">
      <c r="A305" t="n">
        <v>304</v>
      </c>
      <c r="B305" t="inlineStr">
        <is>
          <t>Actor</t>
        </is>
      </c>
      <c r="C305" t="inlineStr">
        <is>
          <t>Simon Bird</t>
        </is>
      </c>
      <c r="D305" t="inlineStr">
        <is>
          <t>— free</t>
        </is>
      </c>
      <c r="E305">
        <f>'Actor'!M26</f>
        <v/>
      </c>
      <c r="F305">
        <f>'Actor'!N26</f>
        <v/>
      </c>
      <c r="G305">
        <f>'Actor'!O26</f>
        <v/>
      </c>
      <c r="H305" t="n">
        <v>4</v>
      </c>
      <c r="J305" t="inlineStr">
        <is>
          <t>Starfighter (May 28)</t>
        </is>
      </c>
      <c r="K305" t="inlineStr">
        <is>
          <t>C</t>
        </is>
      </c>
      <c r="L305" t="inlineStr">
        <is>
          <t>Wikipedia 'List of American films of 2027' casts (Actions-runner pull 2026-10-08) x comp-based box office/RT estimates; cast lists are billed leads only (cameos not captured)</t>
        </is>
      </c>
      <c r="M305" t="inlineStr">
        <is>
          <t>2026-10-08</t>
        </is>
      </c>
      <c r="N305" t="inlineStr">
        <is>
          <t>late filler</t>
        </is>
      </c>
      <c r="O305">
        <f>'Actor'!Y26</f>
        <v/>
      </c>
    </row>
    <row r="306">
      <c r="A306" t="n">
        <v>305</v>
      </c>
      <c r="B306" t="inlineStr">
        <is>
          <t>Actor</t>
        </is>
      </c>
      <c r="C306" t="inlineStr">
        <is>
          <t>Sam Neill</t>
        </is>
      </c>
      <c r="D306" t="inlineStr">
        <is>
          <t>— free</t>
        </is>
      </c>
      <c r="E306">
        <f>'Actor'!M27</f>
        <v/>
      </c>
      <c r="F306">
        <f>'Actor'!N27</f>
        <v/>
      </c>
      <c r="G306">
        <f>'Actor'!O27</f>
        <v/>
      </c>
      <c r="H306" t="n">
        <v>4</v>
      </c>
      <c r="J306" t="inlineStr">
        <is>
          <t>The Legend of Zelda (Apr 30); Godzilla x Kong: Supernova (Mar 26)</t>
        </is>
      </c>
      <c r="K306" t="inlineStr">
        <is>
          <t>C</t>
        </is>
      </c>
      <c r="L306" t="inlineStr">
        <is>
          <t>Wikipedia 'List of American films of 2027' casts (Actions-runner pull 2026-10-08) x comp-based box office/RT estimates; cast lists are billed leads only (cameos not captured)</t>
        </is>
      </c>
      <c r="M306" t="inlineStr">
        <is>
          <t>2026-10-08</t>
        </is>
      </c>
      <c r="N306" t="inlineStr">
        <is>
          <t>late filler</t>
        </is>
      </c>
      <c r="O306">
        <f>'Actor'!Y27</f>
        <v/>
      </c>
    </row>
    <row r="307">
      <c r="A307" t="n">
        <v>306</v>
      </c>
      <c r="B307" t="inlineStr">
        <is>
          <t>Country</t>
        </is>
      </c>
      <c r="C307" t="inlineStr">
        <is>
          <t>Mongolia</t>
        </is>
      </c>
      <c r="D307" t="inlineStr">
        <is>
          <t>— free</t>
        </is>
      </c>
      <c r="E307">
        <f>'Country'!M27</f>
        <v/>
      </c>
      <c r="F307">
        <f>'Country'!N27</f>
        <v/>
      </c>
      <c r="G307">
        <f>'Country'!O27</f>
        <v/>
      </c>
      <c r="H307" t="n">
        <v>4</v>
      </c>
      <c r="I307" t="inlineStr">
        <is>
          <t>IMF Oct-2026 2027: 5.9%</t>
        </is>
      </c>
      <c r="J307" t="inlineStr">
        <is>
          <t>IMF Oct-2026: 2025 6.844, 2026 6.199, 2027 5.853 | commodity-driven: wide forecast error</t>
        </is>
      </c>
      <c r="K307" t="inlineStr">
        <is>
          <t>A</t>
        </is>
      </c>
      <c r="L307" t="inlineStr">
        <is>
          <t>IMF World Economic Outlook, October 2026 (published 2026-10-13), api.imf.org SDMX dataflow IMF.RES/WEO NGDP_RPCH, pulled via Actions runner</t>
        </is>
      </c>
      <c r="M307" t="inlineStr">
        <is>
          <t>2026-10-13</t>
        </is>
      </c>
      <c r="N307" t="inlineStr"/>
      <c r="O307">
        <f>'Country'!Y27</f>
        <v/>
      </c>
    </row>
    <row r="308">
      <c r="A308" t="n">
        <v>307</v>
      </c>
      <c r="B308" t="inlineStr">
        <is>
          <t>Actor</t>
        </is>
      </c>
      <c r="C308" t="inlineStr">
        <is>
          <t>Jamael Westman</t>
        </is>
      </c>
      <c r="D308" t="inlineStr">
        <is>
          <t>— free</t>
        </is>
      </c>
      <c r="E308">
        <f>'Actor'!M28</f>
        <v/>
      </c>
      <c r="F308">
        <f>'Actor'!N28</f>
        <v/>
      </c>
      <c r="G308">
        <f>'Actor'!O28</f>
        <v/>
      </c>
      <c r="H308" t="n">
        <v>4</v>
      </c>
      <c r="J308" t="inlineStr">
        <is>
          <t>Starfighter (May 28)</t>
        </is>
      </c>
      <c r="K308" t="inlineStr">
        <is>
          <t>C</t>
        </is>
      </c>
      <c r="L308" t="inlineStr">
        <is>
          <t>Wikipedia 'List of American films of 2027' casts (Actions-runner pull 2026-10-08) x comp-based box office/RT estimates; cast lists are billed leads only (cameos not captured)</t>
        </is>
      </c>
      <c r="M308" t="inlineStr">
        <is>
          <t>2026-10-08</t>
        </is>
      </c>
      <c r="N308" t="inlineStr">
        <is>
          <t>late filler</t>
        </is>
      </c>
      <c r="O308">
        <f>'Actor'!Y28</f>
        <v/>
      </c>
    </row>
    <row r="309">
      <c r="A309" t="n">
        <v>308</v>
      </c>
      <c r="B309" t="inlineStr">
        <is>
          <t>Actor</t>
        </is>
      </c>
      <c r="C309" t="inlineStr">
        <is>
          <t>Nicholas Hoult</t>
        </is>
      </c>
      <c r="D309" t="inlineStr">
        <is>
          <t>— free</t>
        </is>
      </c>
      <c r="E309">
        <f>'Actor'!M29</f>
        <v/>
      </c>
      <c r="F309">
        <f>'Actor'!N29</f>
        <v/>
      </c>
      <c r="G309">
        <f>'Actor'!O29</f>
        <v/>
      </c>
      <c r="H309" t="n">
        <v>4</v>
      </c>
      <c r="J309" t="inlineStr">
        <is>
          <t>Man of Tomorrow (Jul 9); CoComelon: The Movie (Feb 19)</t>
        </is>
      </c>
      <c r="K309" t="inlineStr">
        <is>
          <t>C</t>
        </is>
      </c>
      <c r="L309" t="inlineStr">
        <is>
          <t>Wikipedia 'List of American films of 2027' casts (Actions-runner pull 2026-10-08) x comp-based box office/RT estimates; cast lists are billed leads only (cameos not captured)</t>
        </is>
      </c>
      <c r="M309" t="inlineStr">
        <is>
          <t>2026-10-08</t>
        </is>
      </c>
      <c r="N309" t="inlineStr">
        <is>
          <t>late filler</t>
        </is>
      </c>
      <c r="O309">
        <f>'Actor'!Y29</f>
        <v/>
      </c>
    </row>
    <row r="310">
      <c r="A310" t="n">
        <v>309</v>
      </c>
      <c r="B310" t="inlineStr">
        <is>
          <t>Country</t>
        </is>
      </c>
      <c r="C310" t="inlineStr">
        <is>
          <t>Chad</t>
        </is>
      </c>
      <c r="D310" t="inlineStr">
        <is>
          <t>— free</t>
        </is>
      </c>
      <c r="E310">
        <f>'Country'!M28</f>
        <v/>
      </c>
      <c r="F310">
        <f>'Country'!N28</f>
        <v/>
      </c>
      <c r="G310">
        <f>'Country'!O28</f>
        <v/>
      </c>
      <c r="H310" t="n">
        <v>4</v>
      </c>
      <c r="I310" t="inlineStr">
        <is>
          <t>IMF Oct-2026 2027: 5.4%</t>
        </is>
      </c>
      <c r="J310" t="inlineStr">
        <is>
          <t>IMF Oct-2026: 2025 5.125, 2026 4.468, 2027 5.434 | commodity-driven: wide forecast error</t>
        </is>
      </c>
      <c r="K310" t="inlineStr">
        <is>
          <t>A</t>
        </is>
      </c>
      <c r="L310" t="inlineStr">
        <is>
          <t>IMF World Economic Outlook, October 2026 (published 2026-10-13), api.imf.org SDMX dataflow IMF.RES/WEO NGDP_RPCH, pulled via Actions runner</t>
        </is>
      </c>
      <c r="M310" t="inlineStr">
        <is>
          <t>2026-10-13</t>
        </is>
      </c>
      <c r="N310" t="inlineStr"/>
      <c r="O310">
        <f>'Country'!Y28</f>
        <v/>
      </c>
    </row>
    <row r="311">
      <c r="A311" t="n">
        <v>310</v>
      </c>
      <c r="B311" t="inlineStr">
        <is>
          <t>NCAAB</t>
        </is>
      </c>
      <c r="C311" t="inlineStr">
        <is>
          <t>Louisville</t>
        </is>
      </c>
      <c r="D311" s="16" t="inlineStr">
        <is>
          <t>Buckley</t>
        </is>
      </c>
      <c r="E311">
        <f>'NCAAB'!M16</f>
        <v/>
      </c>
      <c r="F311">
        <f>'NCAAB'!N16</f>
        <v/>
      </c>
      <c r="G311">
        <f>'NCAAB'!O16</f>
        <v/>
      </c>
      <c r="H311" t="n">
        <v>3</v>
      </c>
      <c r="J311" t="inlineStr"/>
      <c r="K311" t="inlineStr">
        <is>
          <t>C</t>
        </is>
      </c>
      <c r="L311" t="inlineStr">
        <is>
          <t>estimate</t>
        </is>
      </c>
      <c r="M311" t="inlineStr">
        <is>
          <t>2026-10-08</t>
        </is>
      </c>
      <c r="N311" t="inlineStr">
        <is>
          <t>low confidence: far-out event</t>
        </is>
      </c>
      <c r="O311">
        <f>'NCAAB'!Y16</f>
        <v/>
      </c>
    </row>
    <row r="312">
      <c r="A312" t="n">
        <v>311</v>
      </c>
      <c r="B312" t="inlineStr">
        <is>
          <t>Actress</t>
        </is>
      </c>
      <c r="C312" t="inlineStr">
        <is>
          <t>Daisy Ridley</t>
        </is>
      </c>
      <c r="D312" t="inlineStr">
        <is>
          <t>— free</t>
        </is>
      </c>
      <c r="E312">
        <f>'Actress'!M39</f>
        <v/>
      </c>
      <c r="F312">
        <f>'Actress'!N39</f>
        <v/>
      </c>
      <c r="G312">
        <f>'Actress'!O39</f>
        <v/>
      </c>
      <c r="H312" t="n">
        <v>4</v>
      </c>
      <c r="J312" t="inlineStr">
        <is>
          <t>Star Wars: New Jedi Order (Dec 17)</t>
        </is>
      </c>
      <c r="K312" t="inlineStr">
        <is>
          <t>C</t>
        </is>
      </c>
      <c r="L312" t="inlineStr">
        <is>
          <t>Box Office Mojo 2027 release calendar (Actions-runner pull 2026-10-08) x comp-based box office/RT estimates</t>
        </is>
      </c>
      <c r="M312" t="inlineStr">
        <is>
          <t>2026-10-08</t>
        </is>
      </c>
      <c r="N312" t="inlineStr">
        <is>
          <t>late filler</t>
        </is>
      </c>
      <c r="O312">
        <f>'Actress'!Y39</f>
        <v/>
      </c>
    </row>
    <row r="313">
      <c r="A313" t="n">
        <v>312</v>
      </c>
      <c r="B313" t="inlineStr">
        <is>
          <t>Golf</t>
        </is>
      </c>
      <c r="C313" t="inlineStr">
        <is>
          <t>Jon Rahm</t>
        </is>
      </c>
      <c r="D313" s="16" t="inlineStr">
        <is>
          <t>Shep</t>
        </is>
      </c>
      <c r="E313">
        <f>'Golf'!M19</f>
        <v/>
      </c>
      <c r="F313">
        <f>'Golf'!N19</f>
        <v/>
      </c>
      <c r="G313">
        <f>'Golf'!O19</f>
        <v/>
      </c>
      <c r="H313" t="n">
        <v>4</v>
      </c>
      <c r="J313" t="inlineStr">
        <is>
          <t>OWGR 15 (2026-10-08)</t>
        </is>
      </c>
      <c r="K313" t="inlineStr">
        <is>
          <t>C</t>
        </is>
      </c>
      <c r="L313" t="inlineStr">
        <is>
          <t>OWGR rank from league standings pull (A); major-win probabilities = model (rank-weighted share of 4 majors)</t>
        </is>
      </c>
      <c r="M313" t="inlineStr">
        <is>
          <t>2026-10-08</t>
        </is>
      </c>
      <c r="N313" t="inlineStr"/>
      <c r="O313">
        <f>'Golf'!Y19</f>
        <v/>
      </c>
    </row>
    <row r="314">
      <c r="A314" t="n">
        <v>313</v>
      </c>
      <c r="B314" t="inlineStr">
        <is>
          <t>Actor</t>
        </is>
      </c>
      <c r="C314" t="inlineStr">
        <is>
          <t>Paul Giamatti</t>
        </is>
      </c>
      <c r="D314" t="inlineStr">
        <is>
          <t>— free</t>
        </is>
      </c>
      <c r="E314">
        <f>'Actor'!M30</f>
        <v/>
      </c>
      <c r="F314">
        <f>'Actor'!N30</f>
        <v/>
      </c>
      <c r="G314">
        <f>'Actor'!O30</f>
        <v/>
      </c>
      <c r="H314" t="n">
        <v>4</v>
      </c>
      <c r="J314" t="inlineStr">
        <is>
          <t>no 2027 film found in Wikipedia's cast lists</t>
        </is>
      </c>
      <c r="K314" t="inlineStr">
        <is>
          <t>C</t>
        </is>
      </c>
      <c r="L314" t="inlineStr">
        <is>
          <t>Wikipedia 'List of American films of 2027' casts (Actions-runner pull 2026-10-08) x comp-based box office/RT estimates; cast lists are billed leads only (cameos not captured)</t>
        </is>
      </c>
      <c r="M314" t="inlineStr">
        <is>
          <t>2026-10-08</t>
        </is>
      </c>
      <c r="N314" t="inlineStr">
        <is>
          <t>Overpriced by the field on award buzz: skip</t>
        </is>
      </c>
      <c r="O314">
        <f>'Actor'!Y30</f>
        <v/>
      </c>
    </row>
    <row r="315">
      <c r="A315" t="n">
        <v>314</v>
      </c>
      <c r="B315" t="inlineStr">
        <is>
          <t>NCAAB</t>
        </is>
      </c>
      <c r="C315" t="inlineStr">
        <is>
          <t>Tennessee</t>
        </is>
      </c>
      <c r="D315" t="inlineStr">
        <is>
          <t>— free</t>
        </is>
      </c>
      <c r="E315">
        <f>'NCAAB'!M17</f>
        <v/>
      </c>
      <c r="F315">
        <f>'NCAAB'!N17</f>
        <v/>
      </c>
      <c r="G315">
        <f>'NCAAB'!O17</f>
        <v/>
      </c>
      <c r="H315" t="n">
        <v>3</v>
      </c>
      <c r="J315" t="inlineStr"/>
      <c r="K315" t="inlineStr">
        <is>
          <t>C</t>
        </is>
      </c>
      <c r="L315" t="inlineStr">
        <is>
          <t>estimate</t>
        </is>
      </c>
      <c r="M315" t="inlineStr">
        <is>
          <t>2026-10-08</t>
        </is>
      </c>
      <c r="N315" t="inlineStr">
        <is>
          <t>low confidence: far-out event</t>
        </is>
      </c>
      <c r="O315">
        <f>'NCAAB'!Y17</f>
        <v/>
      </c>
    </row>
    <row r="316">
      <c r="A316" t="n">
        <v>315</v>
      </c>
      <c r="B316" t="inlineStr">
        <is>
          <t>NCAAB</t>
        </is>
      </c>
      <c r="C316" t="inlineStr">
        <is>
          <t>Alabama</t>
        </is>
      </c>
      <c r="D316" s="16" t="inlineStr">
        <is>
          <t>Mitchell</t>
        </is>
      </c>
      <c r="E316">
        <f>'NCAAB'!M18</f>
        <v/>
      </c>
      <c r="F316">
        <f>'NCAAB'!N18</f>
        <v/>
      </c>
      <c r="G316">
        <f>'NCAAB'!O18</f>
        <v/>
      </c>
      <c r="H316" t="n">
        <v>4</v>
      </c>
      <c r="J316" t="inlineStr"/>
      <c r="K316" t="inlineStr">
        <is>
          <t>C</t>
        </is>
      </c>
      <c r="L316" t="inlineStr">
        <is>
          <t>estimate</t>
        </is>
      </c>
      <c r="M316" t="inlineStr">
        <is>
          <t>2026-10-08</t>
        </is>
      </c>
      <c r="N316" t="inlineStr">
        <is>
          <t>low confidence: far-out event</t>
        </is>
      </c>
      <c r="O316">
        <f>'NCAAB'!Y18</f>
        <v/>
      </c>
    </row>
    <row r="317">
      <c r="A317" t="n">
        <v>316</v>
      </c>
      <c r="B317" t="inlineStr">
        <is>
          <t>NCAAB</t>
        </is>
      </c>
      <c r="C317" t="inlineStr">
        <is>
          <t>Texas Tech</t>
        </is>
      </c>
      <c r="D317" t="inlineStr">
        <is>
          <t>— free</t>
        </is>
      </c>
      <c r="E317">
        <f>'NCAAB'!M19</f>
        <v/>
      </c>
      <c r="F317">
        <f>'NCAAB'!N19</f>
        <v/>
      </c>
      <c r="G317">
        <f>'NCAAB'!O19</f>
        <v/>
      </c>
      <c r="H317" t="n">
        <v>4</v>
      </c>
      <c r="J317" t="inlineStr"/>
      <c r="K317" t="inlineStr">
        <is>
          <t>C</t>
        </is>
      </c>
      <c r="L317" t="inlineStr">
        <is>
          <t>estimate</t>
        </is>
      </c>
      <c r="M317" t="inlineStr">
        <is>
          <t>2026-10-08</t>
        </is>
      </c>
      <c r="N317" t="inlineStr">
        <is>
          <t>low confidence: far-out event</t>
        </is>
      </c>
      <c r="O317">
        <f>'NCAAB'!Y19</f>
        <v/>
      </c>
    </row>
    <row r="318">
      <c r="A318" t="n">
        <v>317</v>
      </c>
      <c r="B318" t="inlineStr">
        <is>
          <t>NHL</t>
        </is>
      </c>
      <c r="C318" t="inlineStr">
        <is>
          <t>Buffalo Sabres</t>
        </is>
      </c>
      <c r="D318" t="inlineStr">
        <is>
          <t>— free</t>
        </is>
      </c>
      <c r="E318">
        <f>'NHL'!M20</f>
        <v/>
      </c>
      <c r="F318">
        <f>'NHL'!N20</f>
        <v/>
      </c>
      <c r="G318">
        <f>'NHL'!O20</f>
        <v/>
      </c>
      <c r="H318" t="n">
        <v>4</v>
      </c>
      <c r="I318" t="inlineStr">
        <is>
          <t>Kalshi +2757</t>
        </is>
      </c>
      <c r="J318" t="inlineStr">
        <is>
          <t>East</t>
        </is>
      </c>
      <c r="K318" t="inlineStr">
        <is>
          <t>A</t>
        </is>
      </c>
      <c r="L318" t="inlineStr">
        <is>
          <t>Kalshi Cup market (~1 month old) normalised; points totals SportsBettingDime; p(final)=KXNHLEAST/KXNHLWEST-27 Kalshi mid | league_sim.py: full-schedule + real playoff bracket Monte Carlo, ratings fitted to Kalshi</t>
        </is>
      </c>
      <c r="M318" t="inlineStr">
        <is>
          <t>2026-10-08</t>
        </is>
      </c>
      <c r="N318" t="inlineStr"/>
      <c r="O318">
        <f>'NHL'!Y20</f>
        <v/>
      </c>
    </row>
    <row r="319">
      <c r="A319" t="n">
        <v>318</v>
      </c>
      <c r="B319" t="inlineStr">
        <is>
          <t>NFL</t>
        </is>
      </c>
      <c r="C319" t="inlineStr">
        <is>
          <t>Houston Texans</t>
        </is>
      </c>
      <c r="D319" t="inlineStr">
        <is>
          <t>— free</t>
        </is>
      </c>
      <c r="E319">
        <f>'NFL'!M19</f>
        <v/>
      </c>
      <c r="F319">
        <f>'NFL'!N19</f>
        <v/>
      </c>
      <c r="G319">
        <f>'NFL'!O19</f>
        <v/>
      </c>
      <c r="H319" t="n">
        <v>4</v>
      </c>
      <c r="I319" t="inlineStr">
        <is>
          <t>+4500</t>
        </is>
      </c>
      <c r="J319" t="inlineStr">
        <is>
          <t>0-4, AFC South</t>
        </is>
      </c>
      <c r="K319" t="inlineStr">
        <is>
          <t>A</t>
        </is>
      </c>
      <c r="L319" t="inlineStr">
        <is>
          <t>ESPN/ABC7 Super Bowl LXI board ~2026-10-05; prediction-market avg 2026-10-07 (defirate); p(final)=KXNFLAFCCHAMP/KXNFLNFCCHAMP-27 Kalshi mid | league_sim.py: full-schedule + real playoff bracket Monte Carlo, ratings fitted to Kalshi</t>
        </is>
      </c>
      <c r="M319" t="inlineStr">
        <is>
          <t>2026-10-08</t>
        </is>
      </c>
      <c r="N319" t="inlineStr"/>
      <c r="O319">
        <f>'NFL'!Y19</f>
        <v/>
      </c>
    </row>
    <row r="320">
      <c r="A320" t="n">
        <v>319</v>
      </c>
      <c r="B320" t="inlineStr">
        <is>
          <t>Actress</t>
        </is>
      </c>
      <c r="C320" t="inlineStr">
        <is>
          <t>Renate Reinsve</t>
        </is>
      </c>
      <c r="D320" t="inlineStr">
        <is>
          <t>— free</t>
        </is>
      </c>
      <c r="E320">
        <f>'Actress'!M40</f>
        <v/>
      </c>
      <c r="F320">
        <f>'Actress'!N40</f>
        <v/>
      </c>
      <c r="G320">
        <f>'Actress'!O40</f>
        <v/>
      </c>
      <c r="H320" t="n">
        <v>4</v>
      </c>
      <c r="J320" t="inlineStr">
        <is>
          <t>no 2027 film found in Wikipedia's cast lists</t>
        </is>
      </c>
      <c r="K320" t="inlineStr">
        <is>
          <t>C</t>
        </is>
      </c>
      <c r="L320" t="inlineStr">
        <is>
          <t>Wikipedia 'List of American films of 2027' casts (Actions-runner pull 2026-10-08) x comp-based box office/RT estimates; cast lists are billed leads only (cameos not captured)</t>
        </is>
      </c>
      <c r="M320" t="inlineStr">
        <is>
          <t>2026-10-08</t>
        </is>
      </c>
      <c r="N320" t="inlineStr">
        <is>
          <t>late filler</t>
        </is>
      </c>
      <c r="O320">
        <f>'Actress'!Y40</f>
        <v/>
      </c>
    </row>
    <row r="321">
      <c r="A321" t="n">
        <v>320</v>
      </c>
      <c r="B321" t="inlineStr">
        <is>
          <t>Country</t>
        </is>
      </c>
      <c r="C321" t="inlineStr">
        <is>
          <t>Côte d'Ivoire</t>
        </is>
      </c>
      <c r="D321" t="inlineStr">
        <is>
          <t>— free</t>
        </is>
      </c>
      <c r="E321">
        <f>'Country'!M29</f>
        <v/>
      </c>
      <c r="F321">
        <f>'Country'!N29</f>
        <v/>
      </c>
      <c r="G321">
        <f>'Country'!O29</f>
        <v/>
      </c>
      <c r="H321" t="n">
        <v>4</v>
      </c>
      <c r="I321" t="inlineStr">
        <is>
          <t>IMF Oct-2026 2027: 6.1%</t>
        </is>
      </c>
      <c r="J321" t="inlineStr">
        <is>
          <t>IMF Oct-2026: 2025 6.5, 2026 6.0, 2027 6.1</t>
        </is>
      </c>
      <c r="K321" t="inlineStr">
        <is>
          <t>A</t>
        </is>
      </c>
      <c r="L321" t="inlineStr">
        <is>
          <t>IMF World Economic Outlook, October 2026 (published 2026-10-13), api.imf.org SDMX dataflow IMF.RES/WEO NGDP_RPCH, pulled via Actions runner</t>
        </is>
      </c>
      <c r="M321" t="inlineStr">
        <is>
          <t>2026-10-13</t>
        </is>
      </c>
      <c r="N321" t="inlineStr"/>
      <c r="O321">
        <f>'Country'!Y29</f>
        <v/>
      </c>
    </row>
    <row r="322">
      <c r="A322" t="n">
        <v>321</v>
      </c>
      <c r="B322" t="inlineStr">
        <is>
          <t>Actor</t>
        </is>
      </c>
      <c r="C322" t="inlineStr">
        <is>
          <t>John Leguizamo</t>
        </is>
      </c>
      <c r="D322" t="inlineStr">
        <is>
          <t>— free</t>
        </is>
      </c>
      <c r="E322">
        <f>'Actor'!M31</f>
        <v/>
      </c>
      <c r="F322">
        <f>'Actor'!N31</f>
        <v/>
      </c>
      <c r="G322">
        <f>'Actor'!O31</f>
        <v/>
      </c>
      <c r="H322" t="n">
        <v>4</v>
      </c>
      <c r="J322" t="inlineStr">
        <is>
          <t>Untitled Daniels film (Nov 19); The Exorcist: Martyrs (Mar 12); Ice Age: Boiling Point (Feb 5)</t>
        </is>
      </c>
      <c r="K322" t="inlineStr">
        <is>
          <t>C</t>
        </is>
      </c>
      <c r="L322" t="inlineStr">
        <is>
          <t>Wikipedia 'List of American films of 2027' casts (Actions-runner pull 2026-10-08) x comp-based box office/RT estimates; cast lists are billed leads only (cameos not captured)</t>
        </is>
      </c>
      <c r="M322" t="inlineStr">
        <is>
          <t>2026-10-08</t>
        </is>
      </c>
      <c r="N322" t="inlineStr">
        <is>
          <t>late filler</t>
        </is>
      </c>
      <c r="O322">
        <f>'Actor'!Y31</f>
        <v/>
      </c>
    </row>
    <row r="323">
      <c r="A323" t="n">
        <v>322</v>
      </c>
      <c r="B323" t="inlineStr">
        <is>
          <t>Actor</t>
        </is>
      </c>
      <c r="C323" t="inlineStr">
        <is>
          <t>Nathan Fillion</t>
        </is>
      </c>
      <c r="D323" t="inlineStr">
        <is>
          <t>— free</t>
        </is>
      </c>
      <c r="E323">
        <f>'Actor'!M32</f>
        <v/>
      </c>
      <c r="F323">
        <f>'Actor'!N32</f>
        <v/>
      </c>
      <c r="G323">
        <f>'Actor'!O32</f>
        <v/>
      </c>
      <c r="H323" t="n">
        <v>4</v>
      </c>
      <c r="J323" t="inlineStr">
        <is>
          <t>Man of Tomorrow (Jul 9)</t>
        </is>
      </c>
      <c r="K323" t="inlineStr">
        <is>
          <t>C</t>
        </is>
      </c>
      <c r="L323" t="inlineStr">
        <is>
          <t>Wikipedia 'List of American films of 2027' casts (Actions-runner pull 2026-10-08) x comp-based box office/RT estimates; cast lists are billed leads only (cameos not captured)</t>
        </is>
      </c>
      <c r="M323" t="inlineStr">
        <is>
          <t>2026-10-08</t>
        </is>
      </c>
      <c r="N323" t="inlineStr">
        <is>
          <t>late filler</t>
        </is>
      </c>
      <c r="O323">
        <f>'Actor'!Y32</f>
        <v/>
      </c>
    </row>
    <row r="324">
      <c r="A324" t="n">
        <v>323</v>
      </c>
      <c r="B324" t="inlineStr">
        <is>
          <t>Actor</t>
        </is>
      </c>
      <c r="C324" t="inlineStr">
        <is>
          <t>Lars Eidinger</t>
        </is>
      </c>
      <c r="D324" t="inlineStr">
        <is>
          <t>— free</t>
        </is>
      </c>
      <c r="E324">
        <f>'Actor'!M33</f>
        <v/>
      </c>
      <c r="F324">
        <f>'Actor'!N33</f>
        <v/>
      </c>
      <c r="G324">
        <f>'Actor'!O33</f>
        <v/>
      </c>
      <c r="H324" t="n">
        <v>4</v>
      </c>
      <c r="J324" t="inlineStr">
        <is>
          <t>Man of Tomorrow (Jul 9)</t>
        </is>
      </c>
      <c r="K324" t="inlineStr">
        <is>
          <t>C</t>
        </is>
      </c>
      <c r="L324" t="inlineStr">
        <is>
          <t>Wikipedia 'List of American films of 2027' casts (Actions-runner pull 2026-10-08) x comp-based box office/RT estimates; cast lists are billed leads only (cameos not captured)</t>
        </is>
      </c>
      <c r="M324" t="inlineStr">
        <is>
          <t>2026-10-08</t>
        </is>
      </c>
      <c r="N324" t="inlineStr">
        <is>
          <t>late filler</t>
        </is>
      </c>
      <c r="O324">
        <f>'Actor'!Y33</f>
        <v/>
      </c>
    </row>
    <row r="325">
      <c r="A325" t="n">
        <v>324</v>
      </c>
      <c r="B325" t="inlineStr">
        <is>
          <t>Actor</t>
        </is>
      </c>
      <c r="C325" t="inlineStr">
        <is>
          <t>Jonathan Groff</t>
        </is>
      </c>
      <c r="D325" t="inlineStr">
        <is>
          <t>— free</t>
        </is>
      </c>
      <c r="E325">
        <f>'Actor'!M34</f>
        <v/>
      </c>
      <c r="F325">
        <f>'Actor'!N34</f>
        <v/>
      </c>
      <c r="G325">
        <f>'Actor'!O34</f>
        <v/>
      </c>
      <c r="H325" t="n">
        <v>4</v>
      </c>
      <c r="J325" t="inlineStr">
        <is>
          <t>Frozen 3 (Nov 24)</t>
        </is>
      </c>
      <c r="K325" t="inlineStr">
        <is>
          <t>C</t>
        </is>
      </c>
      <c r="L325" t="inlineStr">
        <is>
          <t>Wikipedia 'List of American films of 2027' casts (Actions-runner pull 2026-10-08) x comp-based box office/RT estimates; cast lists are billed leads only (cameos not captured)</t>
        </is>
      </c>
      <c r="M325" t="inlineStr">
        <is>
          <t>2026-10-08</t>
        </is>
      </c>
      <c r="N325" t="inlineStr">
        <is>
          <t>late filler</t>
        </is>
      </c>
      <c r="O325">
        <f>'Actor'!Y34</f>
        <v/>
      </c>
    </row>
    <row r="326">
      <c r="A326" t="n">
        <v>325</v>
      </c>
      <c r="B326" t="inlineStr">
        <is>
          <t>NCAAF</t>
        </is>
      </c>
      <c r="C326" t="inlineStr">
        <is>
          <t>Oregon</t>
        </is>
      </c>
      <c r="D326" s="16" t="inlineStr">
        <is>
          <t>Buckley</t>
        </is>
      </c>
      <c r="E326">
        <f>'NCAAF'!M15</f>
        <v/>
      </c>
      <c r="F326">
        <f>'NCAAF'!N15</f>
        <v/>
      </c>
      <c r="G326">
        <f>'NCAAF'!O15</f>
        <v/>
      </c>
      <c r="H326" t="n">
        <v>3</v>
      </c>
      <c r="I326" t="inlineStr">
        <is>
          <t>Kalshi 2.0%</t>
        </is>
      </c>
      <c r="J326" t="inlineStr">
        <is>
          <t>AP #13, 3-1, Big Ten</t>
        </is>
      </c>
      <c r="K326" t="inlineStr">
        <is>
          <t>A</t>
        </is>
      </c>
      <c r="L326" t="inlineStr">
        <is>
          <t>KXNCAAF-27 exchange mid-price, pulled 2026-10-22</t>
        </is>
      </c>
      <c r="M326" t="inlineStr">
        <is>
          <t>2026-10-22</t>
        </is>
      </c>
      <c r="N326" t="inlineStr"/>
      <c r="O326">
        <f>'NCAAF'!Y15</f>
        <v/>
      </c>
    </row>
    <row r="327">
      <c r="A327" t="n">
        <v>326</v>
      </c>
      <c r="B327" t="inlineStr">
        <is>
          <t>Actor</t>
        </is>
      </c>
      <c r="C327" t="inlineStr">
        <is>
          <t>David Corenswet</t>
        </is>
      </c>
      <c r="D327" t="inlineStr">
        <is>
          <t>— free</t>
        </is>
      </c>
      <c r="E327">
        <f>'Actor'!M35</f>
        <v/>
      </c>
      <c r="F327">
        <f>'Actor'!N35</f>
        <v/>
      </c>
      <c r="G327">
        <f>'Actor'!O35</f>
        <v/>
      </c>
      <c r="H327" t="n">
        <v>4</v>
      </c>
      <c r="J327" t="inlineStr">
        <is>
          <t>Man of Tomorrow (Jul 9)</t>
        </is>
      </c>
      <c r="K327" t="inlineStr">
        <is>
          <t>C</t>
        </is>
      </c>
      <c r="L327" t="inlineStr">
        <is>
          <t>Wikipedia 'List of American films of 2027' casts (Actions-runner pull 2026-10-08) x comp-based box office/RT estimates; cast lists are billed leads only (cameos not captured)</t>
        </is>
      </c>
      <c r="M327" t="inlineStr">
        <is>
          <t>2026-10-08</t>
        </is>
      </c>
      <c r="N327" t="inlineStr">
        <is>
          <t>late filler</t>
        </is>
      </c>
      <c r="O327">
        <f>'Actor'!Y35</f>
        <v/>
      </c>
    </row>
    <row r="328">
      <c r="A328" t="n">
        <v>327</v>
      </c>
      <c r="B328" t="inlineStr">
        <is>
          <t>Actor</t>
        </is>
      </c>
      <c r="C328" t="inlineStr">
        <is>
          <t>Edi Gathegi</t>
        </is>
      </c>
      <c r="D328" t="inlineStr">
        <is>
          <t>— free</t>
        </is>
      </c>
      <c r="E328">
        <f>'Actor'!M36</f>
        <v/>
      </c>
      <c r="F328">
        <f>'Actor'!N36</f>
        <v/>
      </c>
      <c r="G328">
        <f>'Actor'!O36</f>
        <v/>
      </c>
      <c r="H328" t="n">
        <v>4</v>
      </c>
      <c r="J328" t="inlineStr">
        <is>
          <t>Man of Tomorrow (Jul 9)</t>
        </is>
      </c>
      <c r="K328" t="inlineStr">
        <is>
          <t>C</t>
        </is>
      </c>
      <c r="L328" t="inlineStr">
        <is>
          <t>Wikipedia 'List of American films of 2027' casts (Actions-runner pull 2026-10-08) x comp-based box office/RT estimates; cast lists are billed leads only (cameos not captured)</t>
        </is>
      </c>
      <c r="M328" t="inlineStr">
        <is>
          <t>2026-10-08</t>
        </is>
      </c>
      <c r="N328" t="inlineStr">
        <is>
          <t>late filler</t>
        </is>
      </c>
      <c r="O328">
        <f>'Actor'!Y36</f>
        <v/>
      </c>
    </row>
    <row r="329">
      <c r="A329" t="n">
        <v>328</v>
      </c>
      <c r="B329" t="inlineStr">
        <is>
          <t>Actor</t>
        </is>
      </c>
      <c r="C329" t="inlineStr">
        <is>
          <t>Xolo Maridueña</t>
        </is>
      </c>
      <c r="D329" t="inlineStr">
        <is>
          <t>— free</t>
        </is>
      </c>
      <c r="E329">
        <f>'Actor'!M37</f>
        <v/>
      </c>
      <c r="F329">
        <f>'Actor'!N37</f>
        <v/>
      </c>
      <c r="G329">
        <f>'Actor'!O37</f>
        <v/>
      </c>
      <c r="H329" t="n">
        <v>4</v>
      </c>
      <c r="J329" t="inlineStr">
        <is>
          <t>Man of Tomorrow (Jul 9)</t>
        </is>
      </c>
      <c r="K329" t="inlineStr">
        <is>
          <t>C</t>
        </is>
      </c>
      <c r="L329" t="inlineStr">
        <is>
          <t>Wikipedia 'List of American films of 2027' casts (Actions-runner pull 2026-10-08) x comp-based box office/RT estimates; cast lists are billed leads only (cameos not captured)</t>
        </is>
      </c>
      <c r="M329" t="inlineStr">
        <is>
          <t>2026-10-08</t>
        </is>
      </c>
      <c r="N329" t="inlineStr">
        <is>
          <t>late filler</t>
        </is>
      </c>
      <c r="O329">
        <f>'Actor'!Y37</f>
        <v/>
      </c>
    </row>
    <row r="330">
      <c r="A330" t="n">
        <v>329</v>
      </c>
      <c r="B330" t="inlineStr">
        <is>
          <t>Actor</t>
        </is>
      </c>
      <c r="C330" t="inlineStr">
        <is>
          <t>Andrew Garfield</t>
        </is>
      </c>
      <c r="D330" t="inlineStr">
        <is>
          <t>— free</t>
        </is>
      </c>
      <c r="E330">
        <f>'Actor'!M38</f>
        <v/>
      </c>
      <c r="F330">
        <f>'Actor'!N38</f>
        <v/>
      </c>
      <c r="G330">
        <f>'Actor'!O38</f>
        <v/>
      </c>
      <c r="H330" t="n">
        <v>4</v>
      </c>
      <c r="J330" t="inlineStr">
        <is>
          <t>no 2027 film found in Wikipedia's cast lists</t>
        </is>
      </c>
      <c r="K330" t="inlineStr">
        <is>
          <t>C</t>
        </is>
      </c>
      <c r="L330" t="inlineStr">
        <is>
          <t>Wikipedia 'List of American films of 2027' casts (Actions-runner pull 2026-10-08) x comp-based box office/RT estimates; cast lists are billed leads only (cameos not captured)</t>
        </is>
      </c>
      <c r="M330" t="inlineStr">
        <is>
          <t>2026-10-08</t>
        </is>
      </c>
      <c r="N330" t="inlineStr">
        <is>
          <t>Overpriced by the field on award buzz: skip</t>
        </is>
      </c>
      <c r="O330">
        <f>'Actor'!Y38</f>
        <v/>
      </c>
    </row>
    <row r="331">
      <c r="A331" t="n">
        <v>330</v>
      </c>
      <c r="B331" t="inlineStr">
        <is>
          <t>Tennis</t>
        </is>
      </c>
      <c r="C331" t="inlineStr">
        <is>
          <t>Frances Tiafoe</t>
        </is>
      </c>
      <c r="D331" t="inlineStr">
        <is>
          <t>— free</t>
        </is>
      </c>
      <c r="E331">
        <f>'Tennis'!M23</f>
        <v/>
      </c>
      <c r="F331">
        <f>'Tennis'!N23</f>
        <v/>
      </c>
      <c r="G331">
        <f>'Tennis'!O23</f>
        <v/>
      </c>
      <c r="H331" t="n">
        <v>4</v>
      </c>
      <c r="J331" t="inlineStr">
        <is>
          <t>ATP 10 (2026-10-08)</t>
        </is>
      </c>
      <c r="K331" t="inlineStr">
        <is>
          <t>C</t>
        </is>
      </c>
      <c r="L331" t="inlineStr">
        <is>
          <t>ATP rank from league standings pull (A) / WTA via Olympics.com Oct 5; AO odds VegasInsider/Johnnybet Oct 2026; probabilities = agent estimates</t>
        </is>
      </c>
      <c r="M331" t="inlineStr">
        <is>
          <t>2026-10-08</t>
        </is>
      </c>
      <c r="N331" t="inlineStr"/>
      <c r="O331">
        <f>'Tennis'!Y23</f>
        <v/>
      </c>
    </row>
    <row r="332">
      <c r="A332" t="n">
        <v>331</v>
      </c>
      <c r="B332" t="inlineStr">
        <is>
          <t>NFL</t>
        </is>
      </c>
      <c r="C332" t="inlineStr">
        <is>
          <t>Carolina Panthers</t>
        </is>
      </c>
      <c r="D332" t="inlineStr">
        <is>
          <t>— free</t>
        </is>
      </c>
      <c r="E332">
        <f>'NFL'!M20</f>
        <v/>
      </c>
      <c r="F332">
        <f>'NFL'!N20</f>
        <v/>
      </c>
      <c r="G332">
        <f>'NFL'!O20</f>
        <v/>
      </c>
      <c r="H332" t="n">
        <v>4</v>
      </c>
      <c r="I332" t="inlineStr">
        <is>
          <t>+10000</t>
        </is>
      </c>
      <c r="J332" t="inlineStr">
        <is>
          <t>2-2, NFC South</t>
        </is>
      </c>
      <c r="K332" t="inlineStr">
        <is>
          <t>A</t>
        </is>
      </c>
      <c r="L332" t="inlineStr">
        <is>
          <t>estimate | league_sim.py: full-schedule + real playoff bracket Monte Carlo, ratings fitted to Kalshi</t>
        </is>
      </c>
      <c r="M332" t="inlineStr">
        <is>
          <t>2026-10-08</t>
        </is>
      </c>
      <c r="N332" t="inlineStr"/>
      <c r="O332">
        <f>'NFL'!Y20</f>
        <v/>
      </c>
    </row>
    <row r="333">
      <c r="A333" t="n">
        <v>332</v>
      </c>
      <c r="B333" t="inlineStr">
        <is>
          <t>Actor</t>
        </is>
      </c>
      <c r="C333" t="inlineStr">
        <is>
          <t>Tom Cruise</t>
        </is>
      </c>
      <c r="D333" t="inlineStr">
        <is>
          <t>— free</t>
        </is>
      </c>
      <c r="E333">
        <f>'Actor'!M39</f>
        <v/>
      </c>
      <c r="F333">
        <f>'Actor'!N39</f>
        <v/>
      </c>
      <c r="G333">
        <f>'Actor'!O39</f>
        <v/>
      </c>
      <c r="H333" t="n">
        <v>4</v>
      </c>
      <c r="J333" t="inlineStr">
        <is>
          <t>no 2027 film found in Wikipedia's cast lists</t>
        </is>
      </c>
      <c r="K333" t="inlineStr">
        <is>
          <t>C</t>
        </is>
      </c>
      <c r="L333" t="inlineStr">
        <is>
          <t>Wikipedia 'List of American films of 2027' casts (Actions-runner pull 2026-10-08) x comp-based box office/RT estimates; cast lists are billed leads only (cameos not captured)</t>
        </is>
      </c>
      <c r="M333" t="inlineStr">
        <is>
          <t>2026-10-08</t>
        </is>
      </c>
      <c r="N333" t="inlineStr">
        <is>
          <t>Overpriced by the field on award buzz: skip</t>
        </is>
      </c>
      <c r="O333">
        <f>'Actor'!Y39</f>
        <v/>
      </c>
    </row>
    <row r="334">
      <c r="A334" t="n">
        <v>333</v>
      </c>
      <c r="B334" t="inlineStr">
        <is>
          <t>Actress</t>
        </is>
      </c>
      <c r="C334" t="inlineStr">
        <is>
          <t>Anya Taylor-Joy</t>
        </is>
      </c>
      <c r="D334" s="16" t="inlineStr">
        <is>
          <t>Buckley</t>
        </is>
      </c>
      <c r="E334">
        <f>'Actress'!M41</f>
        <v/>
      </c>
      <c r="F334">
        <f>'Actress'!N41</f>
        <v/>
      </c>
      <c r="G334">
        <f>'Actress'!O41</f>
        <v/>
      </c>
      <c r="H334" t="n">
        <v>4</v>
      </c>
      <c r="J334" t="inlineStr">
        <is>
          <t>The Lord of the Rings: The Hunt for Gollum (Dec 17)</t>
        </is>
      </c>
      <c r="K334" t="inlineStr">
        <is>
          <t>C</t>
        </is>
      </c>
      <c r="L334" t="inlineStr">
        <is>
          <t>Wikipedia 'List of American films of 2027' casts (Actions-runner pull 2026-10-08) x comp-based box office/RT estimates; cast lists are billed leads only (cameos not captured)</t>
        </is>
      </c>
      <c r="M334" t="inlineStr">
        <is>
          <t>2026-10-08</t>
        </is>
      </c>
      <c r="N334" t="inlineStr">
        <is>
          <t>late filler</t>
        </is>
      </c>
      <c r="O334">
        <f>'Actress'!Y41</f>
        <v/>
      </c>
    </row>
    <row r="335">
      <c r="A335" t="n">
        <v>334</v>
      </c>
      <c r="B335" t="inlineStr">
        <is>
          <t>Actor</t>
        </is>
      </c>
      <c r="C335" t="inlineStr">
        <is>
          <t>Frank Grillo</t>
        </is>
      </c>
      <c r="D335" t="inlineStr">
        <is>
          <t>— free</t>
        </is>
      </c>
      <c r="E335">
        <f>'Actor'!M40</f>
        <v/>
      </c>
      <c r="F335">
        <f>'Actor'!N40</f>
        <v/>
      </c>
      <c r="G335">
        <f>'Actor'!O40</f>
        <v/>
      </c>
      <c r="H335" t="n">
        <v>4</v>
      </c>
      <c r="J335" t="inlineStr">
        <is>
          <t>Man of Tomorrow (Jul 9)</t>
        </is>
      </c>
      <c r="K335" t="inlineStr">
        <is>
          <t>C</t>
        </is>
      </c>
      <c r="L335" t="inlineStr">
        <is>
          <t>Wikipedia 'List of American films of 2027' casts (Actions-runner pull 2026-10-08) x comp-based box office/RT estimates; cast lists are billed leads only (cameos not captured)</t>
        </is>
      </c>
      <c r="M335" t="inlineStr">
        <is>
          <t>2026-10-08</t>
        </is>
      </c>
      <c r="N335" t="inlineStr">
        <is>
          <t>late filler</t>
        </is>
      </c>
      <c r="O335">
        <f>'Actor'!Y40</f>
        <v/>
      </c>
    </row>
    <row r="336">
      <c r="A336" t="n">
        <v>335</v>
      </c>
      <c r="B336" t="inlineStr">
        <is>
          <t>NHL</t>
        </is>
      </c>
      <c r="C336" t="inlineStr">
        <is>
          <t>Anaheim Ducks</t>
        </is>
      </c>
      <c r="D336" t="inlineStr">
        <is>
          <t>— free</t>
        </is>
      </c>
      <c r="E336">
        <f>'NHL'!M21</f>
        <v/>
      </c>
      <c r="F336">
        <f>'NHL'!N21</f>
        <v/>
      </c>
      <c r="G336">
        <f>'NHL'!O21</f>
        <v/>
      </c>
      <c r="H336" t="n">
        <v>4</v>
      </c>
      <c r="I336" t="inlineStr">
        <is>
          <t>Kalshi 3.5%</t>
        </is>
      </c>
      <c r="J336" t="inlineStr">
        <is>
          <t>West</t>
        </is>
      </c>
      <c r="K336" t="inlineStr">
        <is>
          <t>A</t>
        </is>
      </c>
      <c r="L336" t="inlineStr">
        <is>
          <t>KXNHL-27 exchange mid-price, pulled 2026-10-08; p(final)=KXNHLEAST/KXNHLWEST-27 Kalshi mid | league_sim.py: full-schedule + real playoff bracket Monte Carlo, ratings fitted to Kalshi</t>
        </is>
      </c>
      <c r="M336" t="inlineStr">
        <is>
          <t>2026-10-08</t>
        </is>
      </c>
      <c r="N336" t="inlineStr"/>
      <c r="O336">
        <f>'NHL'!Y21</f>
        <v/>
      </c>
    </row>
    <row r="337">
      <c r="A337" t="n">
        <v>336</v>
      </c>
      <c r="B337" t="inlineStr">
        <is>
          <t>NBA</t>
        </is>
      </c>
      <c r="C337" t="inlineStr">
        <is>
          <t>Dallas Mavericks</t>
        </is>
      </c>
      <c r="D337" t="inlineStr">
        <is>
          <t>— free</t>
        </is>
      </c>
      <c r="E337">
        <f>'NBA'!M23</f>
        <v/>
      </c>
      <c r="F337">
        <f>'NBA'!N23</f>
        <v/>
      </c>
      <c r="G337">
        <f>'NBA'!O23</f>
        <v/>
      </c>
      <c r="H337" t="n">
        <v>4</v>
      </c>
      <c r="J337" t="inlineStr">
        <is>
          <t>West; win total 34.5</t>
        </is>
      </c>
      <c r="K337" t="inlineStr">
        <is>
          <t>A</t>
        </is>
      </c>
      <c r="L337" t="inlineStr">
        <is>
          <t>BetMGM win total; title price estimated | league_sim.py: full-schedule + real playoff bracket Monte Carlo, ratings fitted to Kalshi</t>
        </is>
      </c>
      <c r="M337" t="inlineStr">
        <is>
          <t>2026-10-08</t>
        </is>
      </c>
      <c r="N337" t="inlineStr"/>
      <c r="O337">
        <f>'NBA'!Y23</f>
        <v/>
      </c>
    </row>
    <row r="338">
      <c r="A338" t="n">
        <v>337</v>
      </c>
      <c r="B338" t="inlineStr">
        <is>
          <t>Actress</t>
        </is>
      </c>
      <c r="C338" t="inlineStr">
        <is>
          <t>Kate Winslet</t>
        </is>
      </c>
      <c r="D338" t="inlineStr">
        <is>
          <t>— free</t>
        </is>
      </c>
      <c r="E338">
        <f>'Actress'!M42</f>
        <v/>
      </c>
      <c r="F338">
        <f>'Actress'!N42</f>
        <v/>
      </c>
      <c r="G338">
        <f>'Actress'!O42</f>
        <v/>
      </c>
      <c r="H338" t="n">
        <v>4</v>
      </c>
      <c r="J338" t="inlineStr">
        <is>
          <t>The Lord of the Rings: The Hunt for Gollum (Dec 17); Charlie vs. the Chocolate Factory (Nov 5)</t>
        </is>
      </c>
      <c r="K338" t="inlineStr">
        <is>
          <t>C</t>
        </is>
      </c>
      <c r="L338" t="inlineStr">
        <is>
          <t>Wikipedia 'List of American films of 2027' casts (Actions-runner pull 2026-10-08) x comp-based box office/RT estimates; cast lists are billed leads only (cameos not captured)</t>
        </is>
      </c>
      <c r="M338" t="inlineStr">
        <is>
          <t>2026-10-08</t>
        </is>
      </c>
      <c r="N338" t="inlineStr">
        <is>
          <t>late filler</t>
        </is>
      </c>
      <c r="O338">
        <f>'Actress'!Y42</f>
        <v/>
      </c>
    </row>
    <row r="339">
      <c r="A339" t="n">
        <v>338</v>
      </c>
      <c r="B339" t="inlineStr">
        <is>
          <t>Golf</t>
        </is>
      </c>
      <c r="C339" t="inlineStr">
        <is>
          <t>Aaron Rai</t>
        </is>
      </c>
      <c r="D339" t="inlineStr">
        <is>
          <t>— free</t>
        </is>
      </c>
      <c r="E339">
        <f>'Golf'!M20</f>
        <v/>
      </c>
      <c r="F339">
        <f>'Golf'!N20</f>
        <v/>
      </c>
      <c r="G339">
        <f>'Golf'!O20</f>
        <v/>
      </c>
      <c r="H339" t="n">
        <v>4</v>
      </c>
      <c r="J339" t="inlineStr">
        <is>
          <t>OWGR 16 (2026-10-08)</t>
        </is>
      </c>
      <c r="K339" t="inlineStr">
        <is>
          <t>C</t>
        </is>
      </c>
      <c r="L339" t="inlineStr">
        <is>
          <t>OWGR rank from league standings pull (A); major-win probabilities = model (rank-weighted share of 4 majors)</t>
        </is>
      </c>
      <c r="M339" t="inlineStr">
        <is>
          <t>2026-10-08</t>
        </is>
      </c>
      <c r="N339" t="inlineStr"/>
      <c r="O339">
        <f>'Golf'!Y20</f>
        <v/>
      </c>
    </row>
    <row r="340">
      <c r="A340" t="n">
        <v>339</v>
      </c>
      <c r="B340" t="inlineStr">
        <is>
          <t>Actress</t>
        </is>
      </c>
      <c r="C340" t="inlineStr">
        <is>
          <t>Vanessa Kirby</t>
        </is>
      </c>
      <c r="D340" t="inlineStr">
        <is>
          <t>— free</t>
        </is>
      </c>
      <c r="E340">
        <f>'Actress'!M43</f>
        <v/>
      </c>
      <c r="F340">
        <f>'Actress'!N43</f>
        <v/>
      </c>
      <c r="G340">
        <f>'Actress'!O43</f>
        <v/>
      </c>
      <c r="H340" t="n">
        <v>4</v>
      </c>
      <c r="J340" t="inlineStr">
        <is>
          <t>Avengers: Secret Wars (Dec 17)</t>
        </is>
      </c>
      <c r="K340" t="inlineStr">
        <is>
          <t>C</t>
        </is>
      </c>
      <c r="L340" t="inlineStr">
        <is>
          <t>Wikipedia 'List of American films of 2027' casts (Actions-runner pull 2026-10-08) x comp-based box office/RT estimates; cast lists are billed leads only (cameos not captured)</t>
        </is>
      </c>
      <c r="M340" t="inlineStr">
        <is>
          <t>2026-10-08</t>
        </is>
      </c>
      <c r="N340" t="inlineStr">
        <is>
          <t>late filler</t>
        </is>
      </c>
      <c r="O340">
        <f>'Actress'!Y43</f>
        <v/>
      </c>
    </row>
    <row r="341">
      <c r="A341" t="n">
        <v>340</v>
      </c>
      <c r="B341" t="inlineStr">
        <is>
          <t>NHL</t>
        </is>
      </c>
      <c r="C341" t="inlineStr">
        <is>
          <t>New York Rangers</t>
        </is>
      </c>
      <c r="D341" s="16" t="inlineStr">
        <is>
          <t>Molmen</t>
        </is>
      </c>
      <c r="E341">
        <f>'NHL'!M22</f>
        <v/>
      </c>
      <c r="F341">
        <f>'NHL'!N22</f>
        <v/>
      </c>
      <c r="G341">
        <f>'NHL'!O22</f>
        <v/>
      </c>
      <c r="H341" t="n">
        <v>4</v>
      </c>
      <c r="I341" t="inlineStr">
        <is>
          <t>Kalshi +6567</t>
        </is>
      </c>
      <c r="J341" t="inlineStr">
        <is>
          <t>East</t>
        </is>
      </c>
      <c r="K341" t="inlineStr">
        <is>
          <t>A</t>
        </is>
      </c>
      <c r="L341" t="inlineStr">
        <is>
          <t>Kalshi Cup market (~1 month old) normalised; points totals SportsBettingDime; p(final)=KXNHLEAST/KXNHLWEST-27 Kalshi mid | league_sim.py: full-schedule + real playoff bracket Monte Carlo, ratings fitted to Kalshi</t>
        </is>
      </c>
      <c r="M341" t="inlineStr">
        <is>
          <t>2026-10-08</t>
        </is>
      </c>
      <c r="N341" t="inlineStr"/>
      <c r="O341">
        <f>'NHL'!Y22</f>
        <v/>
      </c>
    </row>
    <row r="342">
      <c r="A342" t="n">
        <v>341</v>
      </c>
      <c r="B342" t="inlineStr">
        <is>
          <t>Actress</t>
        </is>
      </c>
      <c r="C342" t="inlineStr">
        <is>
          <t>Hayley Atwell</t>
        </is>
      </c>
      <c r="D342" t="inlineStr">
        <is>
          <t>— free</t>
        </is>
      </c>
      <c r="E342">
        <f>'Actress'!M44</f>
        <v/>
      </c>
      <c r="F342">
        <f>'Actress'!N44</f>
        <v/>
      </c>
      <c r="G342">
        <f>'Actress'!O44</f>
        <v/>
      </c>
      <c r="H342" t="n">
        <v>4</v>
      </c>
      <c r="J342" t="inlineStr">
        <is>
          <t>Avengers: Secret Wars (Dec 17)</t>
        </is>
      </c>
      <c r="K342" t="inlineStr">
        <is>
          <t>C</t>
        </is>
      </c>
      <c r="L342" t="inlineStr">
        <is>
          <t>Wikipedia 'List of American films of 2027' casts (Actions-runner pull 2026-10-08) x comp-based box office/RT estimates; cast lists are billed leads only (cameos not captured)</t>
        </is>
      </c>
      <c r="M342" t="inlineStr">
        <is>
          <t>2026-10-08</t>
        </is>
      </c>
      <c r="N342" t="inlineStr">
        <is>
          <t>late filler</t>
        </is>
      </c>
      <c r="O342">
        <f>'Actress'!Y44</f>
        <v/>
      </c>
    </row>
    <row r="343">
      <c r="A343" t="n">
        <v>342</v>
      </c>
      <c r="B343" t="inlineStr">
        <is>
          <t>NFL</t>
        </is>
      </c>
      <c r="C343" t="inlineStr">
        <is>
          <t>Pittsburgh Steelers</t>
        </is>
      </c>
      <c r="D343" t="inlineStr">
        <is>
          <t>— free</t>
        </is>
      </c>
      <c r="E343">
        <f>'NFL'!M21</f>
        <v/>
      </c>
      <c r="F343">
        <f>'NFL'!N21</f>
        <v/>
      </c>
      <c r="G343">
        <f>'NFL'!O21</f>
        <v/>
      </c>
      <c r="H343" t="n">
        <v>4</v>
      </c>
      <c r="I343" t="inlineStr">
        <is>
          <t>+6500</t>
        </is>
      </c>
      <c r="J343" t="inlineStr">
        <is>
          <t>2-2, AFC North</t>
        </is>
      </c>
      <c r="K343" t="inlineStr">
        <is>
          <t>A</t>
        </is>
      </c>
      <c r="L343" t="inlineStr">
        <is>
          <t>estimate | league_sim.py: full-schedule + real playoff bracket Monte Carlo, ratings fitted to Kalshi</t>
        </is>
      </c>
      <c r="M343" t="inlineStr">
        <is>
          <t>2026-10-08</t>
        </is>
      </c>
      <c r="N343" t="inlineStr"/>
      <c r="O343">
        <f>'NFL'!Y21</f>
        <v/>
      </c>
    </row>
    <row r="344">
      <c r="A344" t="n">
        <v>343</v>
      </c>
      <c r="B344" t="inlineStr">
        <is>
          <t>Actress</t>
        </is>
      </c>
      <c r="C344" t="inlineStr">
        <is>
          <t>Letitia Wright</t>
        </is>
      </c>
      <c r="D344" t="inlineStr">
        <is>
          <t>— free</t>
        </is>
      </c>
      <c r="E344">
        <f>'Actress'!M45</f>
        <v/>
      </c>
      <c r="F344">
        <f>'Actress'!N45</f>
        <v/>
      </c>
      <c r="G344">
        <f>'Actress'!O45</f>
        <v/>
      </c>
      <c r="H344" t="n">
        <v>4</v>
      </c>
      <c r="J344" t="inlineStr">
        <is>
          <t>Avengers: Secret Wars (Dec 17)</t>
        </is>
      </c>
      <c r="K344" t="inlineStr">
        <is>
          <t>C</t>
        </is>
      </c>
      <c r="L344" t="inlineStr">
        <is>
          <t>Wikipedia 'List of American films of 2027' casts (Actions-runner pull 2026-10-08) x comp-based box office/RT estimates; cast lists are billed leads only (cameos not captured)</t>
        </is>
      </c>
      <c r="M344" t="inlineStr">
        <is>
          <t>2026-10-08</t>
        </is>
      </c>
      <c r="N344" t="inlineStr">
        <is>
          <t>late filler</t>
        </is>
      </c>
      <c r="O344">
        <f>'Actress'!Y45</f>
        <v/>
      </c>
    </row>
    <row r="345">
      <c r="A345" t="n">
        <v>344</v>
      </c>
      <c r="B345" t="inlineStr">
        <is>
          <t>Actress</t>
        </is>
      </c>
      <c r="C345" t="inlineStr">
        <is>
          <t>Sadie Sink</t>
        </is>
      </c>
      <c r="D345" t="inlineStr">
        <is>
          <t>— free</t>
        </is>
      </c>
      <c r="E345">
        <f>'Actress'!M46</f>
        <v/>
      </c>
      <c r="F345">
        <f>'Actress'!N46</f>
        <v/>
      </c>
      <c r="G345">
        <f>'Actress'!O46</f>
        <v/>
      </c>
      <c r="H345" t="n">
        <v>4</v>
      </c>
      <c r="J345" t="inlineStr">
        <is>
          <t>Avengers: Secret Wars (Dec 17)</t>
        </is>
      </c>
      <c r="K345" t="inlineStr">
        <is>
          <t>C</t>
        </is>
      </c>
      <c r="L345" t="inlineStr">
        <is>
          <t>Wikipedia 'List of American films of 2027' casts (Actions-runner pull 2026-10-08) x comp-based box office/RT estimates; cast lists are billed leads only (cameos not captured)</t>
        </is>
      </c>
      <c r="M345" t="inlineStr">
        <is>
          <t>2026-10-08</t>
        </is>
      </c>
      <c r="N345" t="inlineStr">
        <is>
          <t>late filler</t>
        </is>
      </c>
      <c r="O345">
        <f>'Actress'!Y46</f>
        <v/>
      </c>
    </row>
    <row r="346">
      <c r="A346" t="n">
        <v>345</v>
      </c>
      <c r="B346" t="inlineStr">
        <is>
          <t>Country</t>
        </is>
      </c>
      <c r="C346" t="inlineStr">
        <is>
          <t>Tanzania</t>
        </is>
      </c>
      <c r="D346" t="inlineStr">
        <is>
          <t>— free</t>
        </is>
      </c>
      <c r="E346">
        <f>'Country'!M30</f>
        <v/>
      </c>
      <c r="F346">
        <f>'Country'!N30</f>
        <v/>
      </c>
      <c r="G346">
        <f>'Country'!O30</f>
        <v/>
      </c>
      <c r="H346" t="n">
        <v>4</v>
      </c>
      <c r="I346" t="inlineStr">
        <is>
          <t>IMF Oct-2026 2027: 5.9%</t>
        </is>
      </c>
      <c r="J346" t="inlineStr">
        <is>
          <t>IMF Oct-2026: 2025 5.92, 2026 6.029, 2027 5.918</t>
        </is>
      </c>
      <c r="K346" t="inlineStr">
        <is>
          <t>A</t>
        </is>
      </c>
      <c r="L346" t="inlineStr">
        <is>
          <t>IMF World Economic Outlook, October 2026 (published 2026-10-13), api.imf.org SDMX dataflow IMF.RES/WEO NGDP_RPCH, pulled via Actions runner</t>
        </is>
      </c>
      <c r="M346" t="inlineStr">
        <is>
          <t>2026-10-13</t>
        </is>
      </c>
      <c r="N346" t="inlineStr"/>
      <c r="O346">
        <f>'Country'!Y30</f>
        <v/>
      </c>
    </row>
    <row r="347">
      <c r="A347" t="n">
        <v>346</v>
      </c>
      <c r="B347" t="inlineStr">
        <is>
          <t>Actress</t>
        </is>
      </c>
      <c r="C347" t="inlineStr">
        <is>
          <t>Tao Okamoto</t>
        </is>
      </c>
      <c r="D347" t="inlineStr">
        <is>
          <t>— free</t>
        </is>
      </c>
      <c r="E347">
        <f>'Actress'!M47</f>
        <v/>
      </c>
      <c r="F347">
        <f>'Actress'!N47</f>
        <v/>
      </c>
      <c r="G347">
        <f>'Actress'!O47</f>
        <v/>
      </c>
      <c r="H347" t="n">
        <v>4</v>
      </c>
      <c r="J347" t="inlineStr">
        <is>
          <t>no 2027 film found in Wikipedia's cast lists</t>
        </is>
      </c>
      <c r="K347" t="inlineStr">
        <is>
          <t>C</t>
        </is>
      </c>
      <c r="L347" t="inlineStr">
        <is>
          <t>Wikipedia 'List of American films of 2027' casts (Actions-runner pull 2026-10-08) x comp-based box office/RT estimates; cast lists are billed leads only (cameos not captured)</t>
        </is>
      </c>
      <c r="M347" t="inlineStr">
        <is>
          <t>2026-10-08</t>
        </is>
      </c>
      <c r="N347" t="inlineStr">
        <is>
          <t>late filler</t>
        </is>
      </c>
      <c r="O347">
        <f>'Actress'!Y47</f>
        <v/>
      </c>
    </row>
    <row r="348">
      <c r="A348" t="n">
        <v>347</v>
      </c>
      <c r="B348" t="inlineStr">
        <is>
          <t>Tennis</t>
        </is>
      </c>
      <c r="C348" t="inlineStr">
        <is>
          <t>Marta Kostyuk</t>
        </is>
      </c>
      <c r="D348" t="inlineStr">
        <is>
          <t>— free</t>
        </is>
      </c>
      <c r="E348">
        <f>'Tennis'!M24</f>
        <v/>
      </c>
      <c r="F348">
        <f>'Tennis'!N24</f>
        <v/>
      </c>
      <c r="G348">
        <f>'Tennis'!O24</f>
        <v/>
      </c>
      <c r="H348" t="n">
        <v>4</v>
      </c>
      <c r="J348" t="inlineStr">
        <is>
          <t>WTA 10 (2026-10-08)</t>
        </is>
      </c>
      <c r="K348" t="inlineStr">
        <is>
          <t>C</t>
        </is>
      </c>
      <c r="L348" t="inlineStr">
        <is>
          <t>ATP rank from league standings pull (A) / WTA via Olympics.com Oct 5; AO odds VegasInsider/Johnnybet Oct 2026; probabilities = agent estimates</t>
        </is>
      </c>
      <c r="M348" t="inlineStr">
        <is>
          <t>2026-10-08</t>
        </is>
      </c>
      <c r="N348" t="inlineStr"/>
      <c r="O348">
        <f>'Tennis'!Y24</f>
        <v/>
      </c>
    </row>
    <row r="349">
      <c r="A349" t="n">
        <v>348</v>
      </c>
      <c r="B349" t="inlineStr">
        <is>
          <t>NBA</t>
        </is>
      </c>
      <c r="C349" t="inlineStr">
        <is>
          <t>Washington Wizards</t>
        </is>
      </c>
      <c r="D349" t="inlineStr">
        <is>
          <t>— free</t>
        </is>
      </c>
      <c r="E349">
        <f>'NBA'!M24</f>
        <v/>
      </c>
      <c r="F349">
        <f>'NBA'!N24</f>
        <v/>
      </c>
      <c r="G349">
        <f>'NBA'!O24</f>
        <v/>
      </c>
      <c r="H349" t="n">
        <v>4</v>
      </c>
      <c r="J349" t="inlineStr">
        <is>
          <t>East; win total 34.5</t>
        </is>
      </c>
      <c r="K349" t="inlineStr">
        <is>
          <t>A</t>
        </is>
      </c>
      <c r="L349" t="inlineStr">
        <is>
          <t>BetMGM win total; title price estimated | league_sim.py: full-schedule + real playoff bracket Monte Carlo, ratings fitted to Kalshi</t>
        </is>
      </c>
      <c r="M349" t="inlineStr">
        <is>
          <t>2026-10-08</t>
        </is>
      </c>
      <c r="N349" t="inlineStr"/>
      <c r="O349">
        <f>'NBA'!Y24</f>
        <v/>
      </c>
    </row>
    <row r="350">
      <c r="A350" t="n">
        <v>349</v>
      </c>
      <c r="B350" t="inlineStr">
        <is>
          <t>NCAAB</t>
        </is>
      </c>
      <c r="C350" t="inlineStr">
        <is>
          <t>BYU</t>
        </is>
      </c>
      <c r="D350" t="inlineStr">
        <is>
          <t>— free</t>
        </is>
      </c>
      <c r="E350">
        <f>'NCAAB'!M20</f>
        <v/>
      </c>
      <c r="F350">
        <f>'NCAAB'!N20</f>
        <v/>
      </c>
      <c r="G350">
        <f>'NCAAB'!O20</f>
        <v/>
      </c>
      <c r="H350" t="n">
        <v>4</v>
      </c>
      <c r="J350" t="inlineStr"/>
      <c r="K350" t="inlineStr">
        <is>
          <t>C</t>
        </is>
      </c>
      <c r="L350" t="inlineStr">
        <is>
          <t>estimate</t>
        </is>
      </c>
      <c r="M350" t="inlineStr">
        <is>
          <t>2026-10-08</t>
        </is>
      </c>
      <c r="N350" t="inlineStr">
        <is>
          <t>low confidence: far-out event</t>
        </is>
      </c>
      <c r="O350">
        <f>'NCAAB'!Y20</f>
        <v/>
      </c>
    </row>
    <row r="351">
      <c r="A351" t="n">
        <v>350</v>
      </c>
      <c r="B351" t="inlineStr">
        <is>
          <t>NHL</t>
        </is>
      </c>
      <c r="C351" t="inlineStr">
        <is>
          <t>Toronto Maple Leafs</t>
        </is>
      </c>
      <c r="D351" s="16" t="inlineStr">
        <is>
          <t>Jens</t>
        </is>
      </c>
      <c r="E351">
        <f>'NHL'!M23</f>
        <v/>
      </c>
      <c r="F351">
        <f>'NHL'!N23</f>
        <v/>
      </c>
      <c r="G351">
        <f>'NHL'!O23</f>
        <v/>
      </c>
      <c r="H351" t="n">
        <v>4</v>
      </c>
      <c r="I351" t="inlineStr">
        <is>
          <t>Kalshi +3900</t>
        </is>
      </c>
      <c r="J351" t="inlineStr">
        <is>
          <t>East</t>
        </is>
      </c>
      <c r="K351" t="inlineStr">
        <is>
          <t>A</t>
        </is>
      </c>
      <c r="L351" t="inlineStr">
        <is>
          <t>Kalshi Cup market (~1 month old) normalised; points totals SportsBettingDime; p(final)=KXNHLEAST/KXNHLWEST-27 Kalshi mid | league_sim.py: full-schedule + real playoff bracket Monte Carlo, ratings fitted to Kalshi</t>
        </is>
      </c>
      <c r="M351" t="inlineStr">
        <is>
          <t>2026-10-08</t>
        </is>
      </c>
      <c r="N351" t="inlineStr"/>
      <c r="O351">
        <f>'NHL'!Y23</f>
        <v/>
      </c>
    </row>
    <row r="352">
      <c r="A352" t="n">
        <v>351</v>
      </c>
      <c r="B352" t="inlineStr">
        <is>
          <t>NCAAB</t>
        </is>
      </c>
      <c r="C352" t="inlineStr">
        <is>
          <t>Iowa State</t>
        </is>
      </c>
      <c r="D352" t="inlineStr">
        <is>
          <t>— free</t>
        </is>
      </c>
      <c r="E352">
        <f>'NCAAB'!M21</f>
        <v/>
      </c>
      <c r="F352">
        <f>'NCAAB'!N21</f>
        <v/>
      </c>
      <c r="G352">
        <f>'NCAAB'!O21</f>
        <v/>
      </c>
      <c r="H352" t="n">
        <v>4</v>
      </c>
      <c r="J352" t="inlineStr"/>
      <c r="K352" t="inlineStr">
        <is>
          <t>C</t>
        </is>
      </c>
      <c r="L352" t="inlineStr">
        <is>
          <t>estimate</t>
        </is>
      </c>
      <c r="M352" t="inlineStr">
        <is>
          <t>2026-10-08</t>
        </is>
      </c>
      <c r="N352" t="inlineStr">
        <is>
          <t>low confidence: far-out event</t>
        </is>
      </c>
      <c r="O352">
        <f>'NCAAB'!Y21</f>
        <v/>
      </c>
    </row>
    <row r="353">
      <c r="A353" t="n">
        <v>352</v>
      </c>
      <c r="B353" t="inlineStr">
        <is>
          <t>NCAAB</t>
        </is>
      </c>
      <c r="C353" t="inlineStr">
        <is>
          <t>Gonzaga</t>
        </is>
      </c>
      <c r="D353" t="inlineStr">
        <is>
          <t>— free</t>
        </is>
      </c>
      <c r="E353">
        <f>'NCAAB'!M22</f>
        <v/>
      </c>
      <c r="F353">
        <f>'NCAAB'!N22</f>
        <v/>
      </c>
      <c r="G353">
        <f>'NCAAB'!O22</f>
        <v/>
      </c>
      <c r="H353" t="n">
        <v>4</v>
      </c>
      <c r="J353" t="inlineStr"/>
      <c r="K353" t="inlineStr">
        <is>
          <t>C</t>
        </is>
      </c>
      <c r="L353" t="inlineStr">
        <is>
          <t>estimate</t>
        </is>
      </c>
      <c r="M353" t="inlineStr">
        <is>
          <t>2026-10-08</t>
        </is>
      </c>
      <c r="N353" t="inlineStr">
        <is>
          <t>low confidence: far-out event</t>
        </is>
      </c>
      <c r="O353">
        <f>'NCAAB'!Y22</f>
        <v/>
      </c>
    </row>
    <row r="354">
      <c r="A354" t="n">
        <v>353</v>
      </c>
      <c r="B354" t="inlineStr">
        <is>
          <t>Country</t>
        </is>
      </c>
      <c r="C354" t="inlineStr">
        <is>
          <t>Israel</t>
        </is>
      </c>
      <c r="D354" t="inlineStr">
        <is>
          <t>— free</t>
        </is>
      </c>
      <c r="E354">
        <f>'Country'!M31</f>
        <v/>
      </c>
      <c r="F354">
        <f>'Country'!N31</f>
        <v/>
      </c>
      <c r="G354">
        <f>'Country'!O31</f>
        <v/>
      </c>
      <c r="H354" t="n">
        <v>4</v>
      </c>
      <c r="I354" t="inlineStr">
        <is>
          <t>IMF Oct-2026 2027: 4.4%</t>
        </is>
      </c>
      <c r="J354" t="inlineStr">
        <is>
          <t>IMF Oct-2026: 2025 3.486, 2026 4.487, 2027 4.424 | war/rebound path: very wide forecast error</t>
        </is>
      </c>
      <c r="K354" t="inlineStr">
        <is>
          <t>A</t>
        </is>
      </c>
      <c r="L354" t="inlineStr">
        <is>
          <t>IMF World Economic Outlook, October 2026 (published 2026-10-13), api.imf.org SDMX dataflow IMF.RES/WEO NGDP_RPCH, pulled via Actions runner</t>
        </is>
      </c>
      <c r="M354" t="inlineStr">
        <is>
          <t>2026-10-13</t>
        </is>
      </c>
      <c r="N354" t="inlineStr"/>
      <c r="O354">
        <f>'Country'!Y31</f>
        <v/>
      </c>
    </row>
    <row r="355">
      <c r="A355" t="n">
        <v>354</v>
      </c>
      <c r="B355" t="inlineStr">
        <is>
          <t>NCAAF</t>
        </is>
      </c>
      <c r="C355" t="inlineStr">
        <is>
          <t>Texas Tech</t>
        </is>
      </c>
      <c r="D355" s="16" t="inlineStr">
        <is>
          <t>Molmen</t>
        </is>
      </c>
      <c r="E355">
        <f>'NCAAF'!M16</f>
        <v/>
      </c>
      <c r="F355">
        <f>'NCAAF'!N16</f>
        <v/>
      </c>
      <c r="G355">
        <f>'NCAAF'!O16</f>
        <v/>
      </c>
      <c r="H355" t="n">
        <v>3</v>
      </c>
      <c r="I355" t="inlineStr">
        <is>
          <t>Kalshi 1.5%</t>
        </is>
      </c>
      <c r="J355" t="inlineStr">
        <is>
          <t>AP #11, 5-0, Big 12</t>
        </is>
      </c>
      <c r="K355" t="inlineStr">
        <is>
          <t>A</t>
        </is>
      </c>
      <c r="L355" t="inlineStr">
        <is>
          <t>KXNCAAF-27 exchange mid-price, pulled 2026-10-22</t>
        </is>
      </c>
      <c r="M355" t="inlineStr">
        <is>
          <t>2026-10-22</t>
        </is>
      </c>
      <c r="N355" t="inlineStr"/>
      <c r="O355">
        <f>'NCAAF'!Y16</f>
        <v/>
      </c>
    </row>
    <row r="356">
      <c r="A356" t="n">
        <v>355</v>
      </c>
      <c r="B356" t="inlineStr">
        <is>
          <t>Country</t>
        </is>
      </c>
      <c r="C356" t="inlineStr">
        <is>
          <t>Georgia</t>
        </is>
      </c>
      <c r="D356" t="inlineStr">
        <is>
          <t>— free</t>
        </is>
      </c>
      <c r="E356">
        <f>'Country'!M32</f>
        <v/>
      </c>
      <c r="F356">
        <f>'Country'!N32</f>
        <v/>
      </c>
      <c r="G356">
        <f>'Country'!O32</f>
        <v/>
      </c>
      <c r="H356" t="n">
        <v>4</v>
      </c>
      <c r="I356" t="inlineStr">
        <is>
          <t>IMF Oct-2026 2027: 5.7%</t>
        </is>
      </c>
      <c r="J356" t="inlineStr">
        <is>
          <t>IMF Oct-2026: 2025 7.462, 2026 7.177, 2027 5.704</t>
        </is>
      </c>
      <c r="K356" t="inlineStr">
        <is>
          <t>A</t>
        </is>
      </c>
      <c r="L356" t="inlineStr">
        <is>
          <t>IMF World Economic Outlook, October 2026 (published 2026-10-13), api.imf.org SDMX dataflow IMF.RES/WEO NGDP_RPCH, pulled via Actions runner</t>
        </is>
      </c>
      <c r="M356" t="inlineStr">
        <is>
          <t>2026-10-13</t>
        </is>
      </c>
      <c r="N356" t="inlineStr"/>
      <c r="O356">
        <f>'Country'!Y32</f>
        <v/>
      </c>
    </row>
    <row r="357">
      <c r="A357" t="n">
        <v>356</v>
      </c>
      <c r="B357" t="inlineStr">
        <is>
          <t>Country</t>
        </is>
      </c>
      <c r="C357" t="inlineStr">
        <is>
          <t>Congo, The Democratic Republic of the</t>
        </is>
      </c>
      <c r="D357" t="inlineStr">
        <is>
          <t>— free</t>
        </is>
      </c>
      <c r="E357">
        <f>'Country'!M33</f>
        <v/>
      </c>
      <c r="F357">
        <f>'Country'!N33</f>
        <v/>
      </c>
      <c r="G357">
        <f>'Country'!O33</f>
        <v/>
      </c>
      <c r="H357" t="n">
        <v>4</v>
      </c>
      <c r="I357" t="inlineStr">
        <is>
          <t>IMF Oct-2026 2027: 5.7%</t>
        </is>
      </c>
      <c r="J357" t="inlineStr">
        <is>
          <t>IMF Oct-2026: 2025 5.724, 2026 5.175, 2027 5.69</t>
        </is>
      </c>
      <c r="K357" t="inlineStr">
        <is>
          <t>A</t>
        </is>
      </c>
      <c r="L357" t="inlineStr">
        <is>
          <t>IMF World Economic Outlook, October 2026 (published 2026-10-13), api.imf.org SDMX dataflow IMF.RES/WEO NGDP_RPCH, pulled via Actions runner</t>
        </is>
      </c>
      <c r="M357" t="inlineStr">
        <is>
          <t>2026-10-13</t>
        </is>
      </c>
      <c r="N357" t="inlineStr"/>
      <c r="O357">
        <f>'Country'!Y33</f>
        <v/>
      </c>
    </row>
    <row r="358">
      <c r="A358" t="n">
        <v>357</v>
      </c>
      <c r="B358" t="inlineStr">
        <is>
          <t>Tennis</t>
        </is>
      </c>
      <c r="C358" t="inlineStr">
        <is>
          <t>Arthur Fils</t>
        </is>
      </c>
      <c r="D358" t="inlineStr">
        <is>
          <t>— free</t>
        </is>
      </c>
      <c r="E358">
        <f>'Tennis'!M25</f>
        <v/>
      </c>
      <c r="F358">
        <f>'Tennis'!N25</f>
        <v/>
      </c>
      <c r="G358">
        <f>'Tennis'!O25</f>
        <v/>
      </c>
      <c r="H358" t="n">
        <v>4</v>
      </c>
      <c r="J358" t="inlineStr">
        <is>
          <t>ATP 11 (2026-10-08)</t>
        </is>
      </c>
      <c r="K358" t="inlineStr">
        <is>
          <t>C</t>
        </is>
      </c>
      <c r="L358" t="inlineStr">
        <is>
          <t>ATP rank from league standings pull (A) / WTA via Olympics.com Oct 5; AO odds VegasInsider/Johnnybet Oct 2026; probabilities = agent estimates</t>
        </is>
      </c>
      <c r="M358" t="inlineStr">
        <is>
          <t>2026-10-08</t>
        </is>
      </c>
      <c r="N358" t="inlineStr"/>
      <c r="O358">
        <f>'Tennis'!Y25</f>
        <v/>
      </c>
    </row>
    <row r="359">
      <c r="A359" t="n">
        <v>358</v>
      </c>
      <c r="B359" t="inlineStr">
        <is>
          <t>Country</t>
        </is>
      </c>
      <c r="C359" t="inlineStr">
        <is>
          <t>Mali</t>
        </is>
      </c>
      <c r="D359" t="inlineStr">
        <is>
          <t>— free</t>
        </is>
      </c>
      <c r="E359">
        <f>'Country'!M34</f>
        <v/>
      </c>
      <c r="F359">
        <f>'Country'!N34</f>
        <v/>
      </c>
      <c r="G359">
        <f>'Country'!O34</f>
        <v/>
      </c>
      <c r="H359" t="n">
        <v>4</v>
      </c>
      <c r="I359" t="inlineStr">
        <is>
          <t>IMF Oct-2026 2027: 5.7%</t>
        </is>
      </c>
      <c r="J359" t="inlineStr">
        <is>
          <t>IMF Oct-2026: 2025 4.9, 2026 5.5, 2027 5.7</t>
        </is>
      </c>
      <c r="K359" t="inlineStr">
        <is>
          <t>A</t>
        </is>
      </c>
      <c r="L359" t="inlineStr">
        <is>
          <t>IMF World Economic Outlook, October 2026 (published 2026-10-13), api.imf.org SDMX dataflow IMF.RES/WEO NGDP_RPCH, pulled via Actions runner</t>
        </is>
      </c>
      <c r="M359" t="inlineStr">
        <is>
          <t>2026-10-13</t>
        </is>
      </c>
      <c r="N359" t="inlineStr"/>
      <c r="O359">
        <f>'Country'!Y34</f>
        <v/>
      </c>
    </row>
    <row r="360">
      <c r="A360" t="n">
        <v>359</v>
      </c>
      <c r="B360" t="inlineStr">
        <is>
          <t>Golf</t>
        </is>
      </c>
      <c r="C360" t="inlineStr">
        <is>
          <t>Justin Rose</t>
        </is>
      </c>
      <c r="D360" t="inlineStr">
        <is>
          <t>— free</t>
        </is>
      </c>
      <c r="E360">
        <f>'Golf'!M21</f>
        <v/>
      </c>
      <c r="F360">
        <f>'Golf'!N21</f>
        <v/>
      </c>
      <c r="G360">
        <f>'Golf'!O21</f>
        <v/>
      </c>
      <c r="H360" t="n">
        <v>4</v>
      </c>
      <c r="J360" t="inlineStr">
        <is>
          <t>OWGR 17 (2026-10-08)</t>
        </is>
      </c>
      <c r="K360" t="inlineStr">
        <is>
          <t>C</t>
        </is>
      </c>
      <c r="L360" t="inlineStr">
        <is>
          <t>OWGR rank from league standings pull (A); major-win probabilities = model (rank-weighted share of 4 majors)</t>
        </is>
      </c>
      <c r="M360" t="inlineStr">
        <is>
          <t>2026-10-08</t>
        </is>
      </c>
      <c r="N360" t="inlineStr"/>
      <c r="O360">
        <f>'Golf'!Y21</f>
        <v/>
      </c>
    </row>
    <row r="361">
      <c r="A361" t="n">
        <v>360</v>
      </c>
      <c r="B361" t="inlineStr">
        <is>
          <t>NCAAB</t>
        </is>
      </c>
      <c r="C361" t="inlineStr">
        <is>
          <t>Arkansas</t>
        </is>
      </c>
      <c r="D361" t="inlineStr">
        <is>
          <t>— free</t>
        </is>
      </c>
      <c r="E361">
        <f>'NCAAB'!M23</f>
        <v/>
      </c>
      <c r="F361">
        <f>'NCAAB'!N23</f>
        <v/>
      </c>
      <c r="G361">
        <f>'NCAAB'!O23</f>
        <v/>
      </c>
      <c r="H361" t="n">
        <v>4</v>
      </c>
      <c r="J361" t="inlineStr"/>
      <c r="K361" t="inlineStr">
        <is>
          <t>C</t>
        </is>
      </c>
      <c r="L361" t="inlineStr">
        <is>
          <t>estimate</t>
        </is>
      </c>
      <c r="M361" t="inlineStr">
        <is>
          <t>2026-10-08</t>
        </is>
      </c>
      <c r="N361" t="inlineStr">
        <is>
          <t>low confidence: far-out event</t>
        </is>
      </c>
      <c r="O361">
        <f>'NCAAB'!Y23</f>
        <v/>
      </c>
    </row>
    <row r="362">
      <c r="A362" t="n">
        <v>361</v>
      </c>
      <c r="B362" t="inlineStr">
        <is>
          <t>Actress</t>
        </is>
      </c>
      <c r="C362" t="inlineStr">
        <is>
          <t>Kate O'Flynn</t>
        </is>
      </c>
      <c r="D362" t="inlineStr">
        <is>
          <t>— free</t>
        </is>
      </c>
      <c r="E362">
        <f>'Actress'!M48</f>
        <v/>
      </c>
      <c r="F362">
        <f>'Actress'!N48</f>
        <v/>
      </c>
      <c r="G362">
        <f>'Actress'!O48</f>
        <v/>
      </c>
      <c r="H362" t="n">
        <v>4</v>
      </c>
      <c r="J362" t="inlineStr">
        <is>
          <t>no 2027 film found in Wikipedia's cast lists</t>
        </is>
      </c>
      <c r="K362" t="inlineStr">
        <is>
          <t>C</t>
        </is>
      </c>
      <c r="L362" t="inlineStr">
        <is>
          <t>Wikipedia 'List of American films of 2027' casts (Actions-runner pull 2026-10-08) x comp-based box office/RT estimates; cast lists are billed leads only (cameos not captured)</t>
        </is>
      </c>
      <c r="M362" t="inlineStr">
        <is>
          <t>2026-10-08</t>
        </is>
      </c>
      <c r="N362" t="inlineStr">
        <is>
          <t>late filler</t>
        </is>
      </c>
      <c r="O362">
        <f>'Actress'!Y48</f>
        <v/>
      </c>
    </row>
    <row r="363">
      <c r="A363" t="n">
        <v>362</v>
      </c>
      <c r="B363" t="inlineStr">
        <is>
          <t>Country</t>
        </is>
      </c>
      <c r="C363" t="inlineStr">
        <is>
          <t>Kazakhstan</t>
        </is>
      </c>
      <c r="D363" t="inlineStr">
        <is>
          <t>— free</t>
        </is>
      </c>
      <c r="E363">
        <f>'Country'!M35</f>
        <v/>
      </c>
      <c r="F363">
        <f>'Country'!N35</f>
        <v/>
      </c>
      <c r="G363">
        <f>'Country'!O35</f>
        <v/>
      </c>
      <c r="H363" t="n">
        <v>4</v>
      </c>
      <c r="I363" t="inlineStr">
        <is>
          <t>IMF Oct-2026 2027: 4.9%</t>
        </is>
      </c>
      <c r="J363" t="inlineStr">
        <is>
          <t>IMF Oct-2026: 2025 6.5, 2026 4.415, 2027 4.882 | commodity-driven: wide forecast error</t>
        </is>
      </c>
      <c r="K363" t="inlineStr">
        <is>
          <t>A</t>
        </is>
      </c>
      <c r="L363" t="inlineStr">
        <is>
          <t>IMF World Economic Outlook, October 2026 (published 2026-10-13), api.imf.org SDMX dataflow IMF.RES/WEO NGDP_RPCH, pulled via Actions runner</t>
        </is>
      </c>
      <c r="M363" t="inlineStr">
        <is>
          <t>2026-10-13</t>
        </is>
      </c>
      <c r="N363" t="inlineStr"/>
      <c r="O363">
        <f>'Country'!Y35</f>
        <v/>
      </c>
    </row>
    <row r="364">
      <c r="A364" t="n">
        <v>363</v>
      </c>
      <c r="B364" t="inlineStr">
        <is>
          <t>Actor</t>
        </is>
      </c>
      <c r="C364" t="inlineStr">
        <is>
          <t>Robert Pattinson</t>
        </is>
      </c>
      <c r="D364" s="16" t="inlineStr">
        <is>
          <t>Buckley</t>
        </is>
      </c>
      <c r="E364">
        <f>'Actor'!M41</f>
        <v/>
      </c>
      <c r="F364">
        <f>'Actor'!N41</f>
        <v/>
      </c>
      <c r="G364">
        <f>'Actor'!O41</f>
        <v/>
      </c>
      <c r="H364" t="n">
        <v>4</v>
      </c>
      <c r="J364" t="inlineStr">
        <is>
          <t>no 2027 film found in Wikipedia's cast lists</t>
        </is>
      </c>
      <c r="K364" t="inlineStr">
        <is>
          <t>C</t>
        </is>
      </c>
      <c r="L364" t="inlineStr">
        <is>
          <t>Wikipedia 'List of American films of 2027' casts (Actions-runner pull 2026-10-08) x comp-based box office/RT estimates; cast lists are billed leads only (cameos not captured)</t>
        </is>
      </c>
      <c r="M364" t="inlineStr">
        <is>
          <t>2026-10-08</t>
        </is>
      </c>
      <c r="N364" t="inlineStr">
        <is>
          <t>late filler</t>
        </is>
      </c>
      <c r="O364">
        <f>'Actor'!Y41</f>
        <v/>
      </c>
    </row>
    <row r="365">
      <c r="A365" t="n">
        <v>364</v>
      </c>
      <c r="B365" t="inlineStr">
        <is>
          <t>Country</t>
        </is>
      </c>
      <c r="C365" t="inlineStr">
        <is>
          <t>Armenia</t>
        </is>
      </c>
      <c r="D365" t="inlineStr">
        <is>
          <t>— free</t>
        </is>
      </c>
      <c r="E365">
        <f>'Country'!M36</f>
        <v/>
      </c>
      <c r="F365">
        <f>'Country'!N36</f>
        <v/>
      </c>
      <c r="G365">
        <f>'Country'!O36</f>
        <v/>
      </c>
      <c r="H365" t="n">
        <v>4</v>
      </c>
      <c r="I365" t="inlineStr">
        <is>
          <t>IMF Oct-2026 2027: 5.5%</t>
        </is>
      </c>
      <c r="J365" t="inlineStr">
        <is>
          <t>IMF Oct-2026: 2025 7.065, 2026 5.5, 2027 5.45</t>
        </is>
      </c>
      <c r="K365" t="inlineStr">
        <is>
          <t>A</t>
        </is>
      </c>
      <c r="L365" t="inlineStr">
        <is>
          <t>IMF World Economic Outlook, October 2026 (published 2026-10-13), api.imf.org SDMX dataflow IMF.RES/WEO NGDP_RPCH, pulled via Actions runner</t>
        </is>
      </c>
      <c r="M365" t="inlineStr">
        <is>
          <t>2026-10-13</t>
        </is>
      </c>
      <c r="N365" t="inlineStr"/>
      <c r="O365">
        <f>'Country'!Y36</f>
        <v/>
      </c>
    </row>
    <row r="366">
      <c r="A366" t="n">
        <v>365</v>
      </c>
      <c r="B366" t="inlineStr">
        <is>
          <t>NBA</t>
        </is>
      </c>
      <c r="C366" t="inlineStr">
        <is>
          <t>Charlotte Hornets</t>
        </is>
      </c>
      <c r="D366" t="inlineStr">
        <is>
          <t>— free</t>
        </is>
      </c>
      <c r="E366">
        <f>'NBA'!M25</f>
        <v/>
      </c>
      <c r="F366">
        <f>'NBA'!N25</f>
        <v/>
      </c>
      <c r="G366">
        <f>'NBA'!O25</f>
        <v/>
      </c>
      <c r="H366" t="n">
        <v>4</v>
      </c>
      <c r="J366" t="inlineStr">
        <is>
          <t>East; win total 39.5</t>
        </is>
      </c>
      <c r="K366" t="inlineStr">
        <is>
          <t>A</t>
        </is>
      </c>
      <c r="L366" t="inlineStr">
        <is>
          <t>BetMGM win total; title price estimated | league_sim.py: full-schedule + real playoff bracket Monte Carlo, ratings fitted to Kalshi</t>
        </is>
      </c>
      <c r="M366" t="inlineStr">
        <is>
          <t>2026-10-08</t>
        </is>
      </c>
      <c r="N366" t="inlineStr"/>
      <c r="O366">
        <f>'NBA'!Y25</f>
        <v/>
      </c>
    </row>
    <row r="367">
      <c r="A367" t="n">
        <v>366</v>
      </c>
      <c r="B367" t="inlineStr">
        <is>
          <t>Golf</t>
        </is>
      </c>
      <c r="C367" t="inlineStr">
        <is>
          <t>Ludvig Åberg</t>
        </is>
      </c>
      <c r="D367" s="16" t="inlineStr">
        <is>
          <t>Jamzee</t>
        </is>
      </c>
      <c r="E367">
        <f>'Golf'!M22</f>
        <v/>
      </c>
      <c r="F367">
        <f>'Golf'!N22</f>
        <v/>
      </c>
      <c r="G367">
        <f>'Golf'!O22</f>
        <v/>
      </c>
      <c r="H367" t="n">
        <v>4</v>
      </c>
      <c r="J367" t="inlineStr">
        <is>
          <t>OWGR 18 (2026-10-08)</t>
        </is>
      </c>
      <c r="K367" t="inlineStr">
        <is>
          <t>C</t>
        </is>
      </c>
      <c r="L367" t="inlineStr">
        <is>
          <t>OWGR rank from league standings pull (A); major-win probabilities = model (rank-weighted share of 4 majors)</t>
        </is>
      </c>
      <c r="M367" t="inlineStr">
        <is>
          <t>2026-10-08</t>
        </is>
      </c>
      <c r="N367" t="inlineStr"/>
      <c r="O367">
        <f>'Golf'!Y22</f>
        <v/>
      </c>
    </row>
    <row r="368">
      <c r="A368" t="n">
        <v>367</v>
      </c>
      <c r="B368" t="inlineStr">
        <is>
          <t>NBA</t>
        </is>
      </c>
      <c r="C368" t="inlineStr">
        <is>
          <t>Utah Jazz</t>
        </is>
      </c>
      <c r="D368" t="inlineStr">
        <is>
          <t>— free</t>
        </is>
      </c>
      <c r="E368">
        <f>'NBA'!M26</f>
        <v/>
      </c>
      <c r="F368">
        <f>'NBA'!N26</f>
        <v/>
      </c>
      <c r="G368">
        <f>'NBA'!O26</f>
        <v/>
      </c>
      <c r="H368" t="n">
        <v>4</v>
      </c>
      <c r="J368" t="inlineStr">
        <is>
          <t>West; win total 37.5</t>
        </is>
      </c>
      <c r="K368" t="inlineStr">
        <is>
          <t>A</t>
        </is>
      </c>
      <c r="L368" t="inlineStr">
        <is>
          <t>BetMGM win total; title price estimated; p(final)=KXNBAEAST/KXNBAWEST-27 Kalshi mid | league_sim.py: full-schedule + real playoff bracket Monte Carlo, ratings fitted to Kalshi</t>
        </is>
      </c>
      <c r="M368" t="inlineStr">
        <is>
          <t>2026-10-08</t>
        </is>
      </c>
      <c r="N368" t="inlineStr"/>
      <c r="O368">
        <f>'NBA'!Y26</f>
        <v/>
      </c>
    </row>
    <row r="369">
      <c r="A369" t="n">
        <v>368</v>
      </c>
      <c r="B369" t="inlineStr">
        <is>
          <t>NBA</t>
        </is>
      </c>
      <c r="C369" t="inlineStr">
        <is>
          <t>Golden State Warriors</t>
        </is>
      </c>
      <c r="D369" s="16" t="inlineStr">
        <is>
          <t>Mitchell</t>
        </is>
      </c>
      <c r="E369">
        <f>'NBA'!M27</f>
        <v/>
      </c>
      <c r="F369">
        <f>'NBA'!N27</f>
        <v/>
      </c>
      <c r="G369">
        <f>'NBA'!O27</f>
        <v/>
      </c>
      <c r="H369" t="n">
        <v>4</v>
      </c>
      <c r="J369" t="inlineStr">
        <is>
          <t>West; win total 40.5</t>
        </is>
      </c>
      <c r="K369" t="inlineStr">
        <is>
          <t>A</t>
        </is>
      </c>
      <c r="L369" t="inlineStr">
        <is>
          <t>BetMGM win total; title price estimated; p(final)=KXNBAEAST/KXNBAWEST-27 Kalshi mid | league_sim.py: full-schedule + real playoff bracket Monte Carlo, ratings fitted to Kalshi</t>
        </is>
      </c>
      <c r="M369" t="inlineStr">
        <is>
          <t>2026-10-08</t>
        </is>
      </c>
      <c r="N369" t="inlineStr"/>
      <c r="O369">
        <f>'NBA'!Y27</f>
        <v/>
      </c>
    </row>
    <row r="370">
      <c r="A370" t="n">
        <v>369</v>
      </c>
      <c r="B370" t="inlineStr">
        <is>
          <t>Country</t>
        </is>
      </c>
      <c r="C370" t="inlineStr">
        <is>
          <t>Togo</t>
        </is>
      </c>
      <c r="D370" t="inlineStr">
        <is>
          <t>— free</t>
        </is>
      </c>
      <c r="E370">
        <f>'Country'!M37</f>
        <v/>
      </c>
      <c r="F370">
        <f>'Country'!N37</f>
        <v/>
      </c>
      <c r="G370">
        <f>'Country'!O37</f>
        <v/>
      </c>
      <c r="H370" t="n">
        <v>4</v>
      </c>
      <c r="I370" t="inlineStr">
        <is>
          <t>IMF Oct-2026 2027: 5.3%</t>
        </is>
      </c>
      <c r="J370" t="inlineStr">
        <is>
          <t>IMF Oct-2026: 2025 6.3, 2026 5.0, 2027 5.3</t>
        </is>
      </c>
      <c r="K370" t="inlineStr">
        <is>
          <t>A</t>
        </is>
      </c>
      <c r="L370" t="inlineStr">
        <is>
          <t>IMF World Economic Outlook, October 2026 (published 2026-10-13), api.imf.org SDMX dataflow IMF.RES/WEO NGDP_RPCH, pulled via Actions runner</t>
        </is>
      </c>
      <c r="M370" t="inlineStr">
        <is>
          <t>2026-10-13</t>
        </is>
      </c>
      <c r="N370" t="inlineStr"/>
      <c r="O370">
        <f>'Country'!Y37</f>
        <v/>
      </c>
    </row>
    <row r="371">
      <c r="A371" t="n">
        <v>370</v>
      </c>
      <c r="B371" t="inlineStr">
        <is>
          <t>Country</t>
        </is>
      </c>
      <c r="C371" t="inlineStr">
        <is>
          <t>Ghana</t>
        </is>
      </c>
      <c r="D371" t="inlineStr">
        <is>
          <t>— free</t>
        </is>
      </c>
      <c r="E371">
        <f>'Country'!M38</f>
        <v/>
      </c>
      <c r="F371">
        <f>'Country'!N38</f>
        <v/>
      </c>
      <c r="G371">
        <f>'Country'!O38</f>
        <v/>
      </c>
      <c r="H371" t="n">
        <v>4</v>
      </c>
      <c r="I371" t="inlineStr">
        <is>
          <t>IMF Oct-2026 2027: 5.2%</t>
        </is>
      </c>
      <c r="J371" t="inlineStr">
        <is>
          <t>IMF Oct-2026: 2025 5.954, 2026 5.73, 2027 5.229</t>
        </is>
      </c>
      <c r="K371" t="inlineStr">
        <is>
          <t>A</t>
        </is>
      </c>
      <c r="L371" t="inlineStr">
        <is>
          <t>IMF World Economic Outlook, October 2026 (published 2026-10-13), api.imf.org SDMX dataflow IMF.RES/WEO NGDP_RPCH, pulled via Actions runner</t>
        </is>
      </c>
      <c r="M371" t="inlineStr">
        <is>
          <t>2026-10-13</t>
        </is>
      </c>
      <c r="N371" t="inlineStr"/>
      <c r="O371">
        <f>'Country'!Y38</f>
        <v/>
      </c>
    </row>
    <row r="372">
      <c r="A372" t="n">
        <v>371</v>
      </c>
      <c r="B372" t="inlineStr">
        <is>
          <t>NCAAB</t>
        </is>
      </c>
      <c r="C372" t="inlineStr">
        <is>
          <t>North Carolina</t>
        </is>
      </c>
      <c r="D372" s="16" t="inlineStr">
        <is>
          <t>Molmen</t>
        </is>
      </c>
      <c r="E372">
        <f>'NCAAB'!M24</f>
        <v/>
      </c>
      <c r="F372">
        <f>'NCAAB'!N24</f>
        <v/>
      </c>
      <c r="G372">
        <f>'NCAAB'!O24</f>
        <v/>
      </c>
      <c r="H372" t="n">
        <v>4</v>
      </c>
      <c r="J372" t="inlineStr"/>
      <c r="K372" t="inlineStr">
        <is>
          <t>C</t>
        </is>
      </c>
      <c r="L372" t="inlineStr">
        <is>
          <t>estimate</t>
        </is>
      </c>
      <c r="M372" t="inlineStr">
        <is>
          <t>2026-10-08</t>
        </is>
      </c>
      <c r="N372" t="inlineStr">
        <is>
          <t>low confidence: far-out event</t>
        </is>
      </c>
      <c r="O372">
        <f>'NCAAB'!Y24</f>
        <v/>
      </c>
    </row>
    <row r="373">
      <c r="A373" t="n">
        <v>372</v>
      </c>
      <c r="B373" t="inlineStr">
        <is>
          <t>Country</t>
        </is>
      </c>
      <c r="C373" t="inlineStr">
        <is>
          <t>Gambia</t>
        </is>
      </c>
      <c r="D373" t="inlineStr">
        <is>
          <t>— free</t>
        </is>
      </c>
      <c r="E373">
        <f>'Country'!M39</f>
        <v/>
      </c>
      <c r="F373">
        <f>'Country'!N39</f>
        <v/>
      </c>
      <c r="G373">
        <f>'Country'!O39</f>
        <v/>
      </c>
      <c r="H373" t="n">
        <v>4</v>
      </c>
      <c r="I373" t="inlineStr">
        <is>
          <t>IMF Oct-2026 2027: 5.1%</t>
        </is>
      </c>
      <c r="J373" t="inlineStr">
        <is>
          <t>IMF Oct-2026: 2025 5.732, 2026 5.102, 2027 5.137</t>
        </is>
      </c>
      <c r="K373" t="inlineStr">
        <is>
          <t>A</t>
        </is>
      </c>
      <c r="L373" t="inlineStr">
        <is>
          <t>IMF World Economic Outlook, October 2026 (published 2026-10-13), api.imf.org SDMX dataflow IMF.RES/WEO NGDP_RPCH, pulled via Actions runner</t>
        </is>
      </c>
      <c r="M373" t="inlineStr">
        <is>
          <t>2026-10-13</t>
        </is>
      </c>
      <c r="N373" t="inlineStr"/>
      <c r="O373">
        <f>'Country'!Y39</f>
        <v/>
      </c>
    </row>
    <row r="374">
      <c r="A374" t="n">
        <v>373</v>
      </c>
      <c r="B374" t="inlineStr">
        <is>
          <t>NCAAB</t>
        </is>
      </c>
      <c r="C374" t="inlineStr">
        <is>
          <t>Auburn</t>
        </is>
      </c>
      <c r="D374" t="inlineStr">
        <is>
          <t>— free</t>
        </is>
      </c>
      <c r="E374">
        <f>'NCAAB'!M25</f>
        <v/>
      </c>
      <c r="F374">
        <f>'NCAAB'!N25</f>
        <v/>
      </c>
      <c r="G374">
        <f>'NCAAB'!O25</f>
        <v/>
      </c>
      <c r="H374" t="n">
        <v>4</v>
      </c>
      <c r="J374" t="inlineStr"/>
      <c r="K374" t="inlineStr">
        <is>
          <t>C</t>
        </is>
      </c>
      <c r="L374" t="inlineStr">
        <is>
          <t>estimate</t>
        </is>
      </c>
      <c r="M374" t="inlineStr">
        <is>
          <t>2026-10-08</t>
        </is>
      </c>
      <c r="N374" t="inlineStr">
        <is>
          <t>low confidence: far-out event</t>
        </is>
      </c>
      <c r="O374">
        <f>'NCAAB'!Y25</f>
        <v/>
      </c>
    </row>
    <row r="375">
      <c r="A375" t="n">
        <v>374</v>
      </c>
      <c r="B375" t="inlineStr">
        <is>
          <t>Country</t>
        </is>
      </c>
      <c r="C375" t="inlineStr">
        <is>
          <t>Indonesia</t>
        </is>
      </c>
      <c r="D375" t="inlineStr">
        <is>
          <t>— free</t>
        </is>
      </c>
      <c r="E375">
        <f>'Country'!M40</f>
        <v/>
      </c>
      <c r="F375">
        <f>'Country'!N40</f>
        <v/>
      </c>
      <c r="G375">
        <f>'Country'!O40</f>
        <v/>
      </c>
      <c r="H375" t="n">
        <v>4</v>
      </c>
      <c r="I375" t="inlineStr">
        <is>
          <t>IMF Oct-2026 2027: 5.1%</t>
        </is>
      </c>
      <c r="J375" t="inlineStr">
        <is>
          <t>IMF Oct-2026: 2025 5.108, 2026 5.142, 2027 5.104</t>
        </is>
      </c>
      <c r="K375" t="inlineStr">
        <is>
          <t>A</t>
        </is>
      </c>
      <c r="L375" t="inlineStr">
        <is>
          <t>IMF World Economic Outlook, October 2026 (published 2026-10-13), api.imf.org SDMX dataflow IMF.RES/WEO NGDP_RPCH, pulled via Actions runner</t>
        </is>
      </c>
      <c r="M375" t="inlineStr">
        <is>
          <t>2026-10-13</t>
        </is>
      </c>
      <c r="N375" t="inlineStr"/>
      <c r="O375">
        <f>'Country'!Y40</f>
        <v/>
      </c>
    </row>
    <row r="376">
      <c r="A376" t="n">
        <v>375</v>
      </c>
      <c r="B376" t="inlineStr">
        <is>
          <t>Country</t>
        </is>
      </c>
      <c r="C376" t="inlineStr">
        <is>
          <t>Philippines</t>
        </is>
      </c>
      <c r="D376" t="inlineStr">
        <is>
          <t>— free</t>
        </is>
      </c>
      <c r="E376">
        <f>'Country'!M41</f>
        <v/>
      </c>
      <c r="F376">
        <f>'Country'!N41</f>
        <v/>
      </c>
      <c r="G376">
        <f>'Country'!O41</f>
        <v/>
      </c>
      <c r="H376" t="n">
        <v>4</v>
      </c>
      <c r="I376" t="inlineStr">
        <is>
          <t>IMF Oct-2026 2027: 5.1%</t>
        </is>
      </c>
      <c r="J376" t="inlineStr">
        <is>
          <t>IMF Oct-2026: 2025 4.402, 2026 3.411, 2027 5.054</t>
        </is>
      </c>
      <c r="K376" t="inlineStr">
        <is>
          <t>A</t>
        </is>
      </c>
      <c r="L376" t="inlineStr">
        <is>
          <t>IMF World Economic Outlook, October 2026 (published 2026-10-13), api.imf.org SDMX dataflow IMF.RES/WEO NGDP_RPCH, pulled via Actions runner</t>
        </is>
      </c>
      <c r="M376" t="inlineStr">
        <is>
          <t>2026-10-13</t>
        </is>
      </c>
      <c r="N376" t="inlineStr"/>
      <c r="O376">
        <f>'Country'!Y41</f>
        <v/>
      </c>
    </row>
    <row r="377">
      <c r="A377" t="n">
        <v>376</v>
      </c>
      <c r="B377" t="inlineStr">
        <is>
          <t>Actor</t>
        </is>
      </c>
      <c r="C377" t="inlineStr">
        <is>
          <t>Mike Myers</t>
        </is>
      </c>
      <c r="D377" t="inlineStr">
        <is>
          <t>— free</t>
        </is>
      </c>
      <c r="E377">
        <f>'Actor'!M42</f>
        <v/>
      </c>
      <c r="F377">
        <f>'Actor'!N42</f>
        <v/>
      </c>
      <c r="G377">
        <f>'Actor'!O42</f>
        <v/>
      </c>
      <c r="H377" t="n">
        <v>4</v>
      </c>
      <c r="J377" t="inlineStr">
        <is>
          <t>Shrek 5 (Jun 30)</t>
        </is>
      </c>
      <c r="K377" t="inlineStr">
        <is>
          <t>C</t>
        </is>
      </c>
      <c r="L377" t="inlineStr">
        <is>
          <t>Wikipedia 'List of American films of 2027' casts (Actions-runner pull 2026-10-08) x comp-based box office/RT estimates; cast lists are billed leads only (cameos not captured)</t>
        </is>
      </c>
      <c r="M377" t="inlineStr">
        <is>
          <t>2026-10-08</t>
        </is>
      </c>
      <c r="N377" t="inlineStr">
        <is>
          <t>late filler</t>
        </is>
      </c>
      <c r="O377">
        <f>'Actor'!Y42</f>
        <v/>
      </c>
    </row>
    <row r="378">
      <c r="A378" t="n">
        <v>377</v>
      </c>
      <c r="B378" t="inlineStr">
        <is>
          <t>Country</t>
        </is>
      </c>
      <c r="C378" t="inlineStr">
        <is>
          <t>Liberia</t>
        </is>
      </c>
      <c r="D378" t="inlineStr">
        <is>
          <t>— free</t>
        </is>
      </c>
      <c r="E378">
        <f>'Country'!M42</f>
        <v/>
      </c>
      <c r="F378">
        <f>'Country'!N42</f>
        <v/>
      </c>
      <c r="G378">
        <f>'Country'!O42</f>
        <v/>
      </c>
      <c r="H378" t="n">
        <v>4</v>
      </c>
      <c r="I378" t="inlineStr">
        <is>
          <t>IMF Oct-2026 2027: 5.1%</t>
        </is>
      </c>
      <c r="J378" t="inlineStr">
        <is>
          <t>IMF Oct-2026: 2025 5.14, 2026 5.549, 2027 5.065</t>
        </is>
      </c>
      <c r="K378" t="inlineStr">
        <is>
          <t>A</t>
        </is>
      </c>
      <c r="L378" t="inlineStr">
        <is>
          <t>IMF World Economic Outlook, October 2026 (published 2026-10-13), api.imf.org SDMX dataflow IMF.RES/WEO NGDP_RPCH, pulled via Actions runner</t>
        </is>
      </c>
      <c r="M378" t="inlineStr">
        <is>
          <t>2026-10-13</t>
        </is>
      </c>
      <c r="N378" t="inlineStr"/>
      <c r="O378">
        <f>'Country'!Y42</f>
        <v/>
      </c>
    </row>
    <row r="379">
      <c r="A379" t="n">
        <v>378</v>
      </c>
      <c r="B379" t="inlineStr">
        <is>
          <t>Country</t>
        </is>
      </c>
      <c r="C379" t="inlineStr">
        <is>
          <t>Cabo Verde</t>
        </is>
      </c>
      <c r="D379" t="inlineStr">
        <is>
          <t>— free</t>
        </is>
      </c>
      <c r="E379">
        <f>'Country'!M43</f>
        <v/>
      </c>
      <c r="F379">
        <f>'Country'!N43</f>
        <v/>
      </c>
      <c r="G379">
        <f>'Country'!O43</f>
        <v/>
      </c>
      <c r="H379" t="n">
        <v>4</v>
      </c>
      <c r="I379" t="inlineStr">
        <is>
          <t>IMF Oct-2026 2027: 5.0%</t>
        </is>
      </c>
      <c r="J379" t="inlineStr">
        <is>
          <t>IMF Oct-2026: 2025 6.297, 2026 4.996, 2027 5.033</t>
        </is>
      </c>
      <c r="K379" t="inlineStr">
        <is>
          <t>A</t>
        </is>
      </c>
      <c r="L379" t="inlineStr">
        <is>
          <t>IMF World Economic Outlook, October 2026 (published 2026-10-13), api.imf.org SDMX dataflow IMF.RES/WEO NGDP_RPCH, pulled via Actions runner</t>
        </is>
      </c>
      <c r="M379" t="inlineStr">
        <is>
          <t>2026-10-13</t>
        </is>
      </c>
      <c r="N379" t="inlineStr"/>
      <c r="O379">
        <f>'Country'!Y43</f>
        <v/>
      </c>
    </row>
    <row r="380">
      <c r="A380" t="n">
        <v>379</v>
      </c>
      <c r="B380" t="inlineStr">
        <is>
          <t>Actress</t>
        </is>
      </c>
      <c r="C380" t="inlineStr">
        <is>
          <t>Allison Janney</t>
        </is>
      </c>
      <c r="D380" t="inlineStr">
        <is>
          <t>— free</t>
        </is>
      </c>
      <c r="E380">
        <f>'Actress'!M49</f>
        <v/>
      </c>
      <c r="F380">
        <f>'Actress'!N49</f>
        <v/>
      </c>
      <c r="G380">
        <f>'Actress'!O49</f>
        <v/>
      </c>
      <c r="H380" t="n">
        <v>4</v>
      </c>
      <c r="J380" t="inlineStr">
        <is>
          <t>Not Alone (Apr 16)</t>
        </is>
      </c>
      <c r="K380" t="inlineStr">
        <is>
          <t>C</t>
        </is>
      </c>
      <c r="L380" t="inlineStr">
        <is>
          <t>Wikipedia 'List of American films of 2027' casts (Actions-runner pull 2026-10-08) x comp-based box office/RT estimates; cast lists are billed leads only (cameos not captured)</t>
        </is>
      </c>
      <c r="M380" t="inlineStr">
        <is>
          <t>2026-10-08</t>
        </is>
      </c>
      <c r="N380" t="inlineStr">
        <is>
          <t>late filler</t>
        </is>
      </c>
      <c r="O380">
        <f>'Actress'!Y49</f>
        <v/>
      </c>
    </row>
    <row r="381">
      <c r="A381" t="n">
        <v>380</v>
      </c>
      <c r="B381" t="inlineStr">
        <is>
          <t>Tennis</t>
        </is>
      </c>
      <c r="C381" t="inlineStr">
        <is>
          <t>Taylor Fritz</t>
        </is>
      </c>
      <c r="D381" s="16" t="inlineStr">
        <is>
          <t>Mitchell</t>
        </is>
      </c>
      <c r="E381">
        <f>'Tennis'!M26</f>
        <v/>
      </c>
      <c r="F381">
        <f>'Tennis'!N26</f>
        <v/>
      </c>
      <c r="G381">
        <f>'Tennis'!O26</f>
        <v/>
      </c>
      <c r="H381" t="n">
        <v>4</v>
      </c>
      <c r="J381" t="inlineStr">
        <is>
          <t>ATP 12 (2026-10-08)</t>
        </is>
      </c>
      <c r="K381" t="inlineStr">
        <is>
          <t>C</t>
        </is>
      </c>
      <c r="L381" t="inlineStr">
        <is>
          <t>ATP rank from league standings pull (A) / WTA via Olympics.com Oct 5; AO odds VegasInsider/Johnnybet Oct 2026; probabilities = agent estimates</t>
        </is>
      </c>
      <c r="M381" t="inlineStr">
        <is>
          <t>2026-10-08</t>
        </is>
      </c>
      <c r="N381" t="inlineStr"/>
      <c r="O381">
        <f>'Tennis'!Y26</f>
        <v/>
      </c>
    </row>
    <row r="382">
      <c r="A382" t="n">
        <v>381</v>
      </c>
      <c r="B382" t="inlineStr">
        <is>
          <t>Country</t>
        </is>
      </c>
      <c r="C382" t="inlineStr">
        <is>
          <t>Djibouti</t>
        </is>
      </c>
      <c r="D382" t="inlineStr">
        <is>
          <t>— free</t>
        </is>
      </c>
      <c r="E382">
        <f>'Country'!M44</f>
        <v/>
      </c>
      <c r="F382">
        <f>'Country'!N44</f>
        <v/>
      </c>
      <c r="G382">
        <f>'Country'!O44</f>
        <v/>
      </c>
      <c r="H382" t="n">
        <v>4</v>
      </c>
      <c r="I382" t="inlineStr">
        <is>
          <t>IMF Oct-2026 2027: 5.0%</t>
        </is>
      </c>
      <c r="J382" t="inlineStr">
        <is>
          <t>IMF Oct-2026: 2025 4.851, 2026 5.6, 2027 5.0</t>
        </is>
      </c>
      <c r="K382" t="inlineStr">
        <is>
          <t>A</t>
        </is>
      </c>
      <c r="L382" t="inlineStr">
        <is>
          <t>IMF World Economic Outlook, October 2026 (published 2026-10-13), api.imf.org SDMX dataflow IMF.RES/WEO NGDP_RPCH, pulled via Actions runner</t>
        </is>
      </c>
      <c r="M382" t="inlineStr">
        <is>
          <t>2026-10-13</t>
        </is>
      </c>
      <c r="N382" t="inlineStr"/>
      <c r="O382">
        <f>'Country'!Y44</f>
        <v/>
      </c>
    </row>
    <row r="383">
      <c r="A383" t="n">
        <v>382</v>
      </c>
      <c r="B383" t="inlineStr">
        <is>
          <t>Actor</t>
        </is>
      </c>
      <c r="C383" t="inlineStr">
        <is>
          <t>Marcello Hernández</t>
        </is>
      </c>
      <c r="D383" t="inlineStr">
        <is>
          <t>— free</t>
        </is>
      </c>
      <c r="E383">
        <f>'Actor'!M43</f>
        <v/>
      </c>
      <c r="F383">
        <f>'Actor'!N43</f>
        <v/>
      </c>
      <c r="G383">
        <f>'Actor'!O43</f>
        <v/>
      </c>
      <c r="H383" t="n">
        <v>4</v>
      </c>
      <c r="J383" t="inlineStr">
        <is>
          <t>Shrek 5 (Jun 30)</t>
        </is>
      </c>
      <c r="K383" t="inlineStr">
        <is>
          <t>C</t>
        </is>
      </c>
      <c r="L383" t="inlineStr">
        <is>
          <t>Wikipedia 'List of American films of 2027' casts (Actions-runner pull 2026-10-08) x comp-based box office/RT estimates; cast lists are billed leads only (cameos not captured)</t>
        </is>
      </c>
      <c r="M383" t="inlineStr">
        <is>
          <t>2026-10-08</t>
        </is>
      </c>
      <c r="N383" t="inlineStr">
        <is>
          <t>late filler</t>
        </is>
      </c>
      <c r="O383">
        <f>'Actor'!Y43</f>
        <v/>
      </c>
    </row>
    <row r="384">
      <c r="A384" t="n">
        <v>383</v>
      </c>
      <c r="B384" t="inlineStr">
        <is>
          <t>Actor</t>
        </is>
      </c>
      <c r="C384" t="inlineStr">
        <is>
          <t>Eddie Murphy</t>
        </is>
      </c>
      <c r="D384" t="inlineStr">
        <is>
          <t>— free</t>
        </is>
      </c>
      <c r="E384">
        <f>'Actor'!M44</f>
        <v/>
      </c>
      <c r="F384">
        <f>'Actor'!N44</f>
        <v/>
      </c>
      <c r="G384">
        <f>'Actor'!O44</f>
        <v/>
      </c>
      <c r="H384" t="n">
        <v>4</v>
      </c>
      <c r="J384" t="inlineStr">
        <is>
          <t>Shrek 5 (Jun 30)</t>
        </is>
      </c>
      <c r="K384" t="inlineStr">
        <is>
          <t>C</t>
        </is>
      </c>
      <c r="L384" t="inlineStr">
        <is>
          <t>Wikipedia 'List of American films of 2027' casts (Actions-runner pull 2026-10-08) x comp-based box office/RT estimates; cast lists are billed leads only (cameos not captured)</t>
        </is>
      </c>
      <c r="M384" t="inlineStr">
        <is>
          <t>2026-10-08</t>
        </is>
      </c>
      <c r="N384" t="inlineStr">
        <is>
          <t>late filler</t>
        </is>
      </c>
      <c r="O384">
        <f>'Actor'!Y44</f>
        <v/>
      </c>
    </row>
    <row r="385">
      <c r="A385" t="n">
        <v>384</v>
      </c>
      <c r="B385" t="inlineStr">
        <is>
          <t>Country</t>
        </is>
      </c>
      <c r="C385" t="inlineStr">
        <is>
          <t>Zambia</t>
        </is>
      </c>
      <c r="D385" t="inlineStr">
        <is>
          <t>— free</t>
        </is>
      </c>
      <c r="E385">
        <f>'Country'!M45</f>
        <v/>
      </c>
      <c r="F385">
        <f>'Country'!N45</f>
        <v/>
      </c>
      <c r="G385">
        <f>'Country'!O45</f>
        <v/>
      </c>
      <c r="H385" t="n">
        <v>4</v>
      </c>
      <c r="I385" t="inlineStr">
        <is>
          <t>IMF Oct-2026 2027: 4.9%</t>
        </is>
      </c>
      <c r="J385" t="inlineStr">
        <is>
          <t>IMF Oct-2026: 2025 3.758, 2026 5.596, 2027 4.931</t>
        </is>
      </c>
      <c r="K385" t="inlineStr">
        <is>
          <t>A</t>
        </is>
      </c>
      <c r="L385" t="inlineStr">
        <is>
          <t>IMF World Economic Outlook, October 2026 (published 2026-10-13), api.imf.org SDMX dataflow IMF.RES/WEO NGDP_RPCH, pulled via Actions runner</t>
        </is>
      </c>
      <c r="M385" t="inlineStr">
        <is>
          <t>2026-10-13</t>
        </is>
      </c>
      <c r="N385" t="inlineStr"/>
      <c r="O385">
        <f>'Country'!Y45</f>
        <v/>
      </c>
    </row>
    <row r="386">
      <c r="A386" t="n">
        <v>385</v>
      </c>
      <c r="B386" t="inlineStr">
        <is>
          <t>NCAAB</t>
        </is>
      </c>
      <c r="C386" t="inlineStr">
        <is>
          <t>St. John's</t>
        </is>
      </c>
      <c r="D386" s="16" t="inlineStr">
        <is>
          <t>Tim</t>
        </is>
      </c>
      <c r="E386">
        <f>'NCAAB'!M26</f>
        <v/>
      </c>
      <c r="F386">
        <f>'NCAAB'!N26</f>
        <v/>
      </c>
      <c r="G386">
        <f>'NCAAB'!O26</f>
        <v/>
      </c>
      <c r="H386" t="n">
        <v>4</v>
      </c>
      <c r="J386" t="inlineStr"/>
      <c r="K386" t="inlineStr">
        <is>
          <t>C</t>
        </is>
      </c>
      <c r="L386" t="inlineStr">
        <is>
          <t>estimate</t>
        </is>
      </c>
      <c r="M386" t="inlineStr">
        <is>
          <t>2026-10-08</t>
        </is>
      </c>
      <c r="N386" t="inlineStr">
        <is>
          <t>low confidence: far-out event</t>
        </is>
      </c>
      <c r="O386">
        <f>'NCAAB'!Y26</f>
        <v/>
      </c>
    </row>
    <row r="387">
      <c r="A387" t="n">
        <v>386</v>
      </c>
      <c r="B387" t="inlineStr">
        <is>
          <t>NFL</t>
        </is>
      </c>
      <c r="C387" t="inlineStr">
        <is>
          <t>Dallas Cowboys</t>
        </is>
      </c>
      <c r="D387" t="inlineStr">
        <is>
          <t>— free</t>
        </is>
      </c>
      <c r="E387">
        <f>'NFL'!M22</f>
        <v/>
      </c>
      <c r="F387">
        <f>'NFL'!N22</f>
        <v/>
      </c>
      <c r="G387">
        <f>'NFL'!O22</f>
        <v/>
      </c>
      <c r="H387" t="n">
        <v>4</v>
      </c>
      <c r="I387" t="inlineStr">
        <is>
          <t>Kalshi 3.5%</t>
        </is>
      </c>
      <c r="J387" t="inlineStr">
        <is>
          <t>2-2, NFC East</t>
        </is>
      </c>
      <c r="K387" t="inlineStr">
        <is>
          <t>A</t>
        </is>
      </c>
      <c r="L387" t="inlineStr">
        <is>
          <t>KXSB-27 exchange mid-price, pulled 2026-10-08; p(final)=KXNFLAFCCHAMP/KXNFLNFCCHAMP-27 Kalshi mid | league_sim.py: full-schedule + real playoff bracket Monte Carlo, ratings fitted to Kalshi</t>
        </is>
      </c>
      <c r="M387" t="inlineStr">
        <is>
          <t>2026-10-08</t>
        </is>
      </c>
      <c r="N387" t="inlineStr"/>
      <c r="O387">
        <f>'NFL'!Y22</f>
        <v/>
      </c>
    </row>
    <row r="388">
      <c r="A388" t="n">
        <v>387</v>
      </c>
      <c r="B388" t="inlineStr">
        <is>
          <t>Country</t>
        </is>
      </c>
      <c r="C388" t="inlineStr">
        <is>
          <t>Guinea-Bissau</t>
        </is>
      </c>
      <c r="D388" t="inlineStr">
        <is>
          <t>— free</t>
        </is>
      </c>
      <c r="E388">
        <f>'Country'!M46</f>
        <v/>
      </c>
      <c r="F388">
        <f>'Country'!N46</f>
        <v/>
      </c>
      <c r="G388">
        <f>'Country'!O46</f>
        <v/>
      </c>
      <c r="H388" t="n">
        <v>4</v>
      </c>
      <c r="I388" t="inlineStr">
        <is>
          <t>IMF Oct-2026 2027: 4.9%</t>
        </is>
      </c>
      <c r="J388" t="inlineStr">
        <is>
          <t>IMF Oct-2026: 2025 5.8, 2026 4.7, 2027 4.9</t>
        </is>
      </c>
      <c r="K388" t="inlineStr">
        <is>
          <t>A</t>
        </is>
      </c>
      <c r="L388" t="inlineStr">
        <is>
          <t>IMF World Economic Outlook, October 2026 (published 2026-10-13), api.imf.org SDMX dataflow IMF.RES/WEO NGDP_RPCH, pulled via Actions runner</t>
        </is>
      </c>
      <c r="M388" t="inlineStr">
        <is>
          <t>2026-10-13</t>
        </is>
      </c>
      <c r="N388" t="inlineStr"/>
      <c r="O388">
        <f>'Country'!Y46</f>
        <v/>
      </c>
    </row>
    <row r="389">
      <c r="A389" t="n">
        <v>388</v>
      </c>
      <c r="B389" t="inlineStr">
        <is>
          <t>Actress</t>
        </is>
      </c>
      <c r="C389" t="inlineStr">
        <is>
          <t>Selena Gomez</t>
        </is>
      </c>
      <c r="D389" t="inlineStr">
        <is>
          <t>— free</t>
        </is>
      </c>
      <c r="E389">
        <f>'Actress'!M50</f>
        <v/>
      </c>
      <c r="F389">
        <f>'Actress'!N50</f>
        <v/>
      </c>
      <c r="G389">
        <f>'Actress'!O50</f>
        <v/>
      </c>
      <c r="H389" t="n">
        <v>4</v>
      </c>
      <c r="J389" t="inlineStr">
        <is>
          <t>Not Alone (Apr 16)</t>
        </is>
      </c>
      <c r="K389" t="inlineStr">
        <is>
          <t>C</t>
        </is>
      </c>
      <c r="L389" t="inlineStr">
        <is>
          <t>Wikipedia 'List of American films of 2027' casts (Actions-runner pull 2026-10-08) x comp-based box office/RT estimates; cast lists are billed leads only (cameos not captured)</t>
        </is>
      </c>
      <c r="M389" t="inlineStr">
        <is>
          <t>2026-10-08</t>
        </is>
      </c>
      <c r="N389" t="inlineStr">
        <is>
          <t>late filler</t>
        </is>
      </c>
      <c r="O389">
        <f>'Actress'!Y50</f>
        <v/>
      </c>
    </row>
    <row r="390">
      <c r="A390" t="n">
        <v>389</v>
      </c>
      <c r="B390" t="inlineStr">
        <is>
          <t>Country</t>
        </is>
      </c>
      <c r="C390" t="inlineStr">
        <is>
          <t>Burkina Faso</t>
        </is>
      </c>
      <c r="D390" t="inlineStr">
        <is>
          <t>— free</t>
        </is>
      </c>
      <c r="E390">
        <f>'Country'!M47</f>
        <v/>
      </c>
      <c r="F390">
        <f>'Country'!N47</f>
        <v/>
      </c>
      <c r="G390">
        <f>'Country'!O47</f>
        <v/>
      </c>
      <c r="H390" t="n">
        <v>4</v>
      </c>
      <c r="I390" t="inlineStr">
        <is>
          <t>IMF Oct-2026 2027: 4.8%</t>
        </is>
      </c>
      <c r="J390" t="inlineStr">
        <is>
          <t>IMF Oct-2026: 2025 5.329, 2026 4.443, 2027 4.803</t>
        </is>
      </c>
      <c r="K390" t="inlineStr">
        <is>
          <t>A</t>
        </is>
      </c>
      <c r="L390" t="inlineStr">
        <is>
          <t>IMF World Economic Outlook, October 2026 (published 2026-10-13), api.imf.org SDMX dataflow IMF.RES/WEO NGDP_RPCH, pulled via Actions runner</t>
        </is>
      </c>
      <c r="M390" t="inlineStr">
        <is>
          <t>2026-10-13</t>
        </is>
      </c>
      <c r="N390" t="inlineStr"/>
      <c r="O390">
        <f>'Country'!Y47</f>
        <v/>
      </c>
    </row>
    <row r="391">
      <c r="A391" t="n">
        <v>390</v>
      </c>
      <c r="B391" t="inlineStr">
        <is>
          <t>NFL</t>
        </is>
      </c>
      <c r="C391" t="inlineStr">
        <is>
          <t>Cleveland Browns</t>
        </is>
      </c>
      <c r="D391" t="inlineStr">
        <is>
          <t>— free</t>
        </is>
      </c>
      <c r="E391">
        <f>'NFL'!M23</f>
        <v/>
      </c>
      <c r="F391">
        <f>'NFL'!N23</f>
        <v/>
      </c>
      <c r="G391">
        <f>'NFL'!O23</f>
        <v/>
      </c>
      <c r="H391" t="n">
        <v>4</v>
      </c>
      <c r="I391" t="inlineStr">
        <is>
          <t>+7500</t>
        </is>
      </c>
      <c r="J391" t="inlineStr">
        <is>
          <t>3-1, AFC North</t>
        </is>
      </c>
      <c r="K391" t="inlineStr">
        <is>
          <t>A</t>
        </is>
      </c>
      <c r="L391" t="inlineStr">
        <is>
          <t>estimate; p(final)=KXNFLAFCCHAMP/KXNFLNFCCHAMP-27 Kalshi mid | league_sim.py: full-schedule + real playoff bracket Monte Carlo, ratings fitted to Kalshi</t>
        </is>
      </c>
      <c r="M391" t="inlineStr">
        <is>
          <t>2026-10-08</t>
        </is>
      </c>
      <c r="N391" t="inlineStr"/>
      <c r="O391">
        <f>'NFL'!Y23</f>
        <v/>
      </c>
    </row>
    <row r="392">
      <c r="A392" t="n">
        <v>391</v>
      </c>
      <c r="B392" t="inlineStr">
        <is>
          <t>Country</t>
        </is>
      </c>
      <c r="C392" t="inlineStr">
        <is>
          <t>Burundi</t>
        </is>
      </c>
      <c r="D392" t="inlineStr">
        <is>
          <t>— free</t>
        </is>
      </c>
      <c r="E392">
        <f>'Country'!M48</f>
        <v/>
      </c>
      <c r="F392">
        <f>'Country'!N48</f>
        <v/>
      </c>
      <c r="G392">
        <f>'Country'!O48</f>
        <v/>
      </c>
      <c r="H392" t="n">
        <v>4</v>
      </c>
      <c r="I392" t="inlineStr">
        <is>
          <t>IMF Oct-2026 2027: 4.7%</t>
        </is>
      </c>
      <c r="J392" t="inlineStr">
        <is>
          <t>IMF Oct-2026: 2025 4.232, 2026 3.648, 2027 4.687</t>
        </is>
      </c>
      <c r="K392" t="inlineStr">
        <is>
          <t>A</t>
        </is>
      </c>
      <c r="L392" t="inlineStr">
        <is>
          <t>IMF World Economic Outlook, October 2026 (published 2026-10-13), api.imf.org SDMX dataflow IMF.RES/WEO NGDP_RPCH, pulled via Actions runner</t>
        </is>
      </c>
      <c r="M392" t="inlineStr">
        <is>
          <t>2026-10-13</t>
        </is>
      </c>
      <c r="N392" t="inlineStr"/>
      <c r="O392">
        <f>'Country'!Y48</f>
        <v/>
      </c>
    </row>
    <row r="393">
      <c r="A393" t="n">
        <v>392</v>
      </c>
      <c r="B393" t="inlineStr">
        <is>
          <t>Country</t>
        </is>
      </c>
      <c r="C393" t="inlineStr">
        <is>
          <t>Egypt</t>
        </is>
      </c>
      <c r="D393" t="inlineStr">
        <is>
          <t>— free</t>
        </is>
      </c>
      <c r="E393">
        <f>'Country'!M49</f>
        <v/>
      </c>
      <c r="F393">
        <f>'Country'!N49</f>
        <v/>
      </c>
      <c r="G393">
        <f>'Country'!O49</f>
        <v/>
      </c>
      <c r="H393" t="n">
        <v>4</v>
      </c>
      <c r="I393" t="inlineStr">
        <is>
          <t>IMF Oct-2026 2027: 4.7%</t>
        </is>
      </c>
      <c r="J393" t="inlineStr">
        <is>
          <t>IMF Oct-2026: 2025 4.392, 2026 5.133, 2027 4.729</t>
        </is>
      </c>
      <c r="K393" t="inlineStr">
        <is>
          <t>A</t>
        </is>
      </c>
      <c r="L393" t="inlineStr">
        <is>
          <t>IMF World Economic Outlook, October 2026 (published 2026-10-13), api.imf.org SDMX dataflow IMF.RES/WEO NGDP_RPCH, pulled via Actions runner</t>
        </is>
      </c>
      <c r="M393" t="inlineStr">
        <is>
          <t>2026-10-13</t>
        </is>
      </c>
      <c r="N393" t="inlineStr"/>
      <c r="O393">
        <f>'Country'!Y49</f>
        <v/>
      </c>
    </row>
    <row r="394">
      <c r="A394" t="n">
        <v>393</v>
      </c>
      <c r="B394" t="inlineStr">
        <is>
          <t>Golf</t>
        </is>
      </c>
      <c r="C394" t="inlineStr">
        <is>
          <t>Robert MacIntyre</t>
        </is>
      </c>
      <c r="D394" t="inlineStr">
        <is>
          <t>— free</t>
        </is>
      </c>
      <c r="E394">
        <f>'Golf'!M23</f>
        <v/>
      </c>
      <c r="F394">
        <f>'Golf'!N23</f>
        <v/>
      </c>
      <c r="G394">
        <f>'Golf'!O23</f>
        <v/>
      </c>
      <c r="H394" t="n">
        <v>4</v>
      </c>
      <c r="J394" t="inlineStr">
        <is>
          <t>OWGR 19 (2026-10-08)</t>
        </is>
      </c>
      <c r="K394" t="inlineStr">
        <is>
          <t>C</t>
        </is>
      </c>
      <c r="L394" t="inlineStr">
        <is>
          <t>OWGR rank from league standings pull (A); major-win probabilities = model (rank-weighted share of 4 majors)</t>
        </is>
      </c>
      <c r="M394" t="inlineStr">
        <is>
          <t>2026-10-08</t>
        </is>
      </c>
      <c r="N394" t="inlineStr"/>
      <c r="O394">
        <f>'Golf'!Y23</f>
        <v/>
      </c>
    </row>
    <row r="395">
      <c r="A395" t="n">
        <v>394</v>
      </c>
      <c r="B395" t="inlineStr">
        <is>
          <t>Actress</t>
        </is>
      </c>
      <c r="C395" t="inlineStr">
        <is>
          <t>Katy O'Brian</t>
        </is>
      </c>
      <c r="D395" t="inlineStr">
        <is>
          <t>— free</t>
        </is>
      </c>
      <c r="E395">
        <f>'Actress'!M51</f>
        <v/>
      </c>
      <c r="F395">
        <f>'Actress'!N51</f>
        <v/>
      </c>
      <c r="G395">
        <f>'Actress'!O51</f>
        <v/>
      </c>
      <c r="H395" t="n">
        <v>4</v>
      </c>
      <c r="J395" t="inlineStr">
        <is>
          <t>A Quiet Place Part III (Jul 30)</t>
        </is>
      </c>
      <c r="K395" t="inlineStr">
        <is>
          <t>C</t>
        </is>
      </c>
      <c r="L395" t="inlineStr">
        <is>
          <t>Wikipedia 'List of American films of 2027' casts (Actions-runner pull 2026-10-08) x comp-based box office/RT estimates; cast lists are billed leads only (cameos not captured)</t>
        </is>
      </c>
      <c r="M395" t="inlineStr">
        <is>
          <t>2026-10-08</t>
        </is>
      </c>
      <c r="N395" t="inlineStr">
        <is>
          <t>late filler</t>
        </is>
      </c>
      <c r="O395">
        <f>'Actress'!Y51</f>
        <v/>
      </c>
    </row>
    <row r="396">
      <c r="A396" t="n">
        <v>395</v>
      </c>
      <c r="B396" t="inlineStr">
        <is>
          <t>Actress</t>
        </is>
      </c>
      <c r="C396" t="inlineStr">
        <is>
          <t>Millicent Simmonds</t>
        </is>
      </c>
      <c r="D396" t="inlineStr">
        <is>
          <t>— free</t>
        </is>
      </c>
      <c r="E396">
        <f>'Actress'!M52</f>
        <v/>
      </c>
      <c r="F396">
        <f>'Actress'!N52</f>
        <v/>
      </c>
      <c r="G396">
        <f>'Actress'!O52</f>
        <v/>
      </c>
      <c r="H396" t="n">
        <v>4</v>
      </c>
      <c r="J396" t="inlineStr">
        <is>
          <t>A Quiet Place Part III (Jul 30)</t>
        </is>
      </c>
      <c r="K396" t="inlineStr">
        <is>
          <t>C</t>
        </is>
      </c>
      <c r="L396" t="inlineStr">
        <is>
          <t>Wikipedia 'List of American films of 2027' casts (Actions-runner pull 2026-10-08) x comp-based box office/RT estimates; cast lists are billed leads only (cameos not captured)</t>
        </is>
      </c>
      <c r="M396" t="inlineStr">
        <is>
          <t>2026-10-08</t>
        </is>
      </c>
      <c r="N396" t="inlineStr">
        <is>
          <t>late filler</t>
        </is>
      </c>
      <c r="O396">
        <f>'Actress'!Y52</f>
        <v/>
      </c>
    </row>
    <row r="397">
      <c r="A397" t="n">
        <v>396</v>
      </c>
      <c r="B397" t="inlineStr">
        <is>
          <t>Country</t>
        </is>
      </c>
      <c r="C397" t="inlineStr">
        <is>
          <t>Kenya</t>
        </is>
      </c>
      <c r="D397" t="inlineStr">
        <is>
          <t>— free</t>
        </is>
      </c>
      <c r="E397">
        <f>'Country'!M50</f>
        <v/>
      </c>
      <c r="F397">
        <f>'Country'!N50</f>
        <v/>
      </c>
      <c r="G397">
        <f>'Country'!O50</f>
        <v/>
      </c>
      <c r="H397" t="n">
        <v>4</v>
      </c>
      <c r="I397" t="inlineStr">
        <is>
          <t>IMF Oct-2026 2027: 4.7%</t>
        </is>
      </c>
      <c r="J397" t="inlineStr">
        <is>
          <t>IMF Oct-2026: 2025 4.633, 2026 4.544, 2027 4.655</t>
        </is>
      </c>
      <c r="K397" t="inlineStr">
        <is>
          <t>A</t>
        </is>
      </c>
      <c r="L397" t="inlineStr">
        <is>
          <t>IMF World Economic Outlook, October 2026 (published 2026-10-13), api.imf.org SDMX dataflow IMF.RES/WEO NGDP_RPCH, pulled via Actions runner</t>
        </is>
      </c>
      <c r="M397" t="inlineStr">
        <is>
          <t>2026-10-13</t>
        </is>
      </c>
      <c r="N397" t="inlineStr"/>
      <c r="O397">
        <f>'Country'!Y50</f>
        <v/>
      </c>
    </row>
    <row r="398">
      <c r="A398" t="n">
        <v>397</v>
      </c>
      <c r="B398" t="inlineStr">
        <is>
          <t>Actress</t>
        </is>
      </c>
      <c r="C398" t="inlineStr">
        <is>
          <t>Emily Blunt</t>
        </is>
      </c>
      <c r="D398" t="inlineStr">
        <is>
          <t>— free</t>
        </is>
      </c>
      <c r="E398">
        <f>'Actress'!M53</f>
        <v/>
      </c>
      <c r="F398">
        <f>'Actress'!N53</f>
        <v/>
      </c>
      <c r="G398">
        <f>'Actress'!O53</f>
        <v/>
      </c>
      <c r="H398" t="n">
        <v>4</v>
      </c>
      <c r="J398" t="inlineStr">
        <is>
          <t>A Quiet Place Part III (Jul 30)</t>
        </is>
      </c>
      <c r="K398" t="inlineStr">
        <is>
          <t>C</t>
        </is>
      </c>
      <c r="L398" t="inlineStr">
        <is>
          <t>Wikipedia 'List of American films of 2027' casts (Actions-runner pull 2026-10-08) x comp-based box office/RT estimates; cast lists are billed leads only (cameos not captured)</t>
        </is>
      </c>
      <c r="M398" t="inlineStr">
        <is>
          <t>2026-10-08</t>
        </is>
      </c>
      <c r="N398" t="inlineStr">
        <is>
          <t>late filler</t>
        </is>
      </c>
      <c r="O398">
        <f>'Actress'!Y53</f>
        <v/>
      </c>
    </row>
    <row r="399">
      <c r="A399" t="n">
        <v>398</v>
      </c>
      <c r="B399" t="inlineStr">
        <is>
          <t>Country</t>
        </is>
      </c>
      <c r="C399" t="inlineStr">
        <is>
          <t>Malaysia</t>
        </is>
      </c>
      <c r="D399" t="inlineStr">
        <is>
          <t>— free</t>
        </is>
      </c>
      <c r="E399">
        <f>'Country'!M51</f>
        <v/>
      </c>
      <c r="F399">
        <f>'Country'!N51</f>
        <v/>
      </c>
      <c r="G399">
        <f>'Country'!O51</f>
        <v/>
      </c>
      <c r="H399" t="n">
        <v>4</v>
      </c>
      <c r="I399" t="inlineStr">
        <is>
          <t>IMF Oct-2026 2027: 4.6%</t>
        </is>
      </c>
      <c r="J399" t="inlineStr">
        <is>
          <t>IMF Oct-2026: 2025 5.151, 2026 5.2, 2027 4.6</t>
        </is>
      </c>
      <c r="K399" t="inlineStr">
        <is>
          <t>A</t>
        </is>
      </c>
      <c r="L399" t="inlineStr">
        <is>
          <t>IMF World Economic Outlook, October 2026 (published 2026-10-13), api.imf.org SDMX dataflow IMF.RES/WEO NGDP_RPCH, pulled via Actions runner</t>
        </is>
      </c>
      <c r="M399" t="inlineStr">
        <is>
          <t>2026-10-13</t>
        </is>
      </c>
      <c r="N399" t="inlineStr"/>
      <c r="O399">
        <f>'Country'!Y51</f>
        <v/>
      </c>
    </row>
    <row r="400">
      <c r="A400" t="n">
        <v>399</v>
      </c>
      <c r="B400" t="inlineStr">
        <is>
          <t>NCAAB</t>
        </is>
      </c>
      <c r="C400" t="inlineStr">
        <is>
          <t>Vanderbilt</t>
        </is>
      </c>
      <c r="D400" t="inlineStr">
        <is>
          <t>— free</t>
        </is>
      </c>
      <c r="E400">
        <f>'NCAAB'!M27</f>
        <v/>
      </c>
      <c r="F400">
        <f>'NCAAB'!N27</f>
        <v/>
      </c>
      <c r="G400">
        <f>'NCAAB'!O27</f>
        <v/>
      </c>
      <c r="H400" t="n">
        <v>4</v>
      </c>
      <c r="J400" t="inlineStr"/>
      <c r="K400" t="inlineStr">
        <is>
          <t>C</t>
        </is>
      </c>
      <c r="L400" t="inlineStr">
        <is>
          <t>estimate</t>
        </is>
      </c>
      <c r="M400" t="inlineStr">
        <is>
          <t>2026-10-08</t>
        </is>
      </c>
      <c r="N400" t="inlineStr">
        <is>
          <t>low confidence: far-out event</t>
        </is>
      </c>
      <c r="O400">
        <f>'NCAAB'!Y27</f>
        <v/>
      </c>
    </row>
    <row r="401">
      <c r="A401" t="n">
        <v>400</v>
      </c>
      <c r="B401" t="inlineStr">
        <is>
          <t>Actor</t>
        </is>
      </c>
      <c r="C401" t="inlineStr">
        <is>
          <t>Noah Jupe</t>
        </is>
      </c>
      <c r="D401" t="inlineStr">
        <is>
          <t>— free</t>
        </is>
      </c>
      <c r="E401">
        <f>'Actor'!M45</f>
        <v/>
      </c>
      <c r="F401">
        <f>'Actor'!N45</f>
        <v/>
      </c>
      <c r="G401">
        <f>'Actor'!O45</f>
        <v/>
      </c>
      <c r="H401" t="n">
        <v>4</v>
      </c>
      <c r="J401" t="inlineStr">
        <is>
          <t>Avengers: Secret Wars (Dec 17); A Quiet Place Part III (Jul 30)</t>
        </is>
      </c>
      <c r="K401" t="inlineStr">
        <is>
          <t>C</t>
        </is>
      </c>
      <c r="L401" t="inlineStr">
        <is>
          <t>Wikipedia 'List of American films of 2027' casts (Actions-runner pull 2026-10-08) x comp-based box office/RT estimates; cast lists are billed leads only (cameos not captured)</t>
        </is>
      </c>
      <c r="M401" t="inlineStr">
        <is>
          <t>2026-10-08</t>
        </is>
      </c>
      <c r="N401" t="inlineStr">
        <is>
          <t>late filler</t>
        </is>
      </c>
      <c r="O401">
        <f>'Actor'!Y45</f>
        <v/>
      </c>
    </row>
    <row r="402">
      <c r="A402" t="n">
        <v>401</v>
      </c>
      <c r="B402" t="inlineStr">
        <is>
          <t>NHL</t>
        </is>
      </c>
      <c r="C402" t="inlineStr">
        <is>
          <t>Los Angeles Kings</t>
        </is>
      </c>
      <c r="D402" t="inlineStr">
        <is>
          <t>— free</t>
        </is>
      </c>
      <c r="E402">
        <f>'NHL'!M24</f>
        <v/>
      </c>
      <c r="F402">
        <f>'NHL'!N24</f>
        <v/>
      </c>
      <c r="G402">
        <f>'NHL'!O24</f>
        <v/>
      </c>
      <c r="H402" t="n">
        <v>4</v>
      </c>
      <c r="I402" t="inlineStr">
        <is>
          <t>Kalshi +6567</t>
        </is>
      </c>
      <c r="J402" t="inlineStr">
        <is>
          <t>West</t>
        </is>
      </c>
      <c r="K402" t="inlineStr">
        <is>
          <t>A</t>
        </is>
      </c>
      <c r="L402" t="inlineStr">
        <is>
          <t>Kalshi Cup market (~1 month old) normalised; points totals SportsBettingDime; p(final)=KXNHLEAST/KXNHLWEST-27 Kalshi mid | league_sim.py: full-schedule + real playoff bracket Monte Carlo, ratings fitted to Kalshi</t>
        </is>
      </c>
      <c r="M402" t="inlineStr">
        <is>
          <t>2026-10-08</t>
        </is>
      </c>
      <c r="N402" t="inlineStr"/>
      <c r="O402">
        <f>'NHL'!Y24</f>
        <v/>
      </c>
    </row>
    <row r="403">
      <c r="A403" t="n">
        <v>402</v>
      </c>
      <c r="B403" t="inlineStr">
        <is>
          <t>Actress</t>
        </is>
      </c>
      <c r="C403" t="inlineStr">
        <is>
          <t>Cynthia Erivo</t>
        </is>
      </c>
      <c r="D403" s="16" t="inlineStr">
        <is>
          <t>Feder</t>
        </is>
      </c>
      <c r="E403">
        <f>'Actress'!M54</f>
        <v/>
      </c>
      <c r="F403">
        <f>'Actress'!N54</f>
        <v/>
      </c>
      <c r="G403">
        <f>'Actress'!O54</f>
        <v/>
      </c>
      <c r="H403" t="n">
        <v>4</v>
      </c>
      <c r="J403" t="inlineStr">
        <is>
          <t>Bad Fairies (May 21); Children of Blood and Bone (Jan 15); Karoshi (Jan 29)</t>
        </is>
      </c>
      <c r="K403" t="inlineStr">
        <is>
          <t>C</t>
        </is>
      </c>
      <c r="L403" t="inlineStr">
        <is>
          <t>Wikipedia 'List of American films of 2027' casts (Actions-runner pull 2026-10-08) x comp-based box office/RT estimates; cast lists are billed leads only (cameos not captured)</t>
        </is>
      </c>
      <c r="M403" t="inlineStr">
        <is>
          <t>2026-10-08</t>
        </is>
      </c>
      <c r="N403" t="inlineStr">
        <is>
          <t>late filler</t>
        </is>
      </c>
      <c r="O403">
        <f>'Actress'!Y54</f>
        <v/>
      </c>
    </row>
    <row r="404">
      <c r="A404" t="n">
        <v>403</v>
      </c>
      <c r="B404" t="inlineStr">
        <is>
          <t>Actor</t>
        </is>
      </c>
      <c r="C404" t="inlineStr">
        <is>
          <t>Benjamin Evan Ainsworth</t>
        </is>
      </c>
      <c r="D404" t="inlineStr">
        <is>
          <t>— free</t>
        </is>
      </c>
      <c r="E404">
        <f>'Actor'!M46</f>
        <v/>
      </c>
      <c r="F404">
        <f>'Actor'!N46</f>
        <v/>
      </c>
      <c r="G404">
        <f>'Actor'!O46</f>
        <v/>
      </c>
      <c r="H404" t="n">
        <v>4</v>
      </c>
      <c r="J404" t="inlineStr">
        <is>
          <t>The Legend of Zelda (Apr 30)</t>
        </is>
      </c>
      <c r="K404" t="inlineStr">
        <is>
          <t>C</t>
        </is>
      </c>
      <c r="L404" t="inlineStr">
        <is>
          <t>Wikipedia 'List of American films of 2027' casts (Actions-runner pull 2026-10-08) x comp-based box office/RT estimates; cast lists are billed leads only (cameos not captured)</t>
        </is>
      </c>
      <c r="M404" t="inlineStr">
        <is>
          <t>2026-10-08</t>
        </is>
      </c>
      <c r="N404" t="inlineStr">
        <is>
          <t>late filler</t>
        </is>
      </c>
      <c r="O404">
        <f>'Actor'!Y46</f>
        <v/>
      </c>
    </row>
    <row r="405">
      <c r="A405" t="n">
        <v>404</v>
      </c>
      <c r="B405" t="inlineStr">
        <is>
          <t>Actor</t>
        </is>
      </c>
      <c r="C405" t="inlineStr">
        <is>
          <t>Uli Latukefu</t>
        </is>
      </c>
      <c r="D405" t="inlineStr">
        <is>
          <t>— free</t>
        </is>
      </c>
      <c r="E405">
        <f>'Actor'!M47</f>
        <v/>
      </c>
      <c r="F405">
        <f>'Actor'!N47</f>
        <v/>
      </c>
      <c r="G405">
        <f>'Actor'!O47</f>
        <v/>
      </c>
      <c r="H405" t="n">
        <v>4</v>
      </c>
      <c r="J405" t="inlineStr">
        <is>
          <t>The Legend of Zelda (Apr 30)</t>
        </is>
      </c>
      <c r="K405" t="inlineStr">
        <is>
          <t>C</t>
        </is>
      </c>
      <c r="L405" t="inlineStr">
        <is>
          <t>Wikipedia 'List of American films of 2027' casts (Actions-runner pull 2026-10-08) x comp-based box office/RT estimates; cast lists are billed leads only (cameos not captured)</t>
        </is>
      </c>
      <c r="M405" t="inlineStr">
        <is>
          <t>2026-10-08</t>
        </is>
      </c>
      <c r="N405" t="inlineStr">
        <is>
          <t>late filler</t>
        </is>
      </c>
      <c r="O405">
        <f>'Actor'!Y47</f>
        <v/>
      </c>
    </row>
    <row r="406">
      <c r="A406" t="n">
        <v>405</v>
      </c>
      <c r="B406" t="inlineStr">
        <is>
          <t>Country</t>
        </is>
      </c>
      <c r="C406" t="inlineStr">
        <is>
          <t>Madagascar</t>
        </is>
      </c>
      <c r="D406" t="inlineStr">
        <is>
          <t>— free</t>
        </is>
      </c>
      <c r="E406">
        <f>'Country'!M52</f>
        <v/>
      </c>
      <c r="F406">
        <f>'Country'!N52</f>
        <v/>
      </c>
      <c r="G406">
        <f>'Country'!O52</f>
        <v/>
      </c>
      <c r="H406" t="n">
        <v>4</v>
      </c>
      <c r="I406" t="inlineStr">
        <is>
          <t>IMF Oct-2026 2027: 4.5%</t>
        </is>
      </c>
      <c r="J406" t="inlineStr">
        <is>
          <t>IMF Oct-2026: 2025 3.115, 2026 3.806, 2027 4.514</t>
        </is>
      </c>
      <c r="K406" t="inlineStr">
        <is>
          <t>A</t>
        </is>
      </c>
      <c r="L406" t="inlineStr">
        <is>
          <t>IMF World Economic Outlook, October 2026 (published 2026-10-13), api.imf.org SDMX dataflow IMF.RES/WEO NGDP_RPCH, pulled via Actions runner</t>
        </is>
      </c>
      <c r="M406" t="inlineStr">
        <is>
          <t>2026-10-13</t>
        </is>
      </c>
      <c r="N406" t="inlineStr"/>
      <c r="O406">
        <f>'Country'!Y52</f>
        <v/>
      </c>
    </row>
    <row r="407">
      <c r="A407" t="n">
        <v>406</v>
      </c>
      <c r="B407" t="inlineStr">
        <is>
          <t>Country</t>
        </is>
      </c>
      <c r="C407" t="inlineStr">
        <is>
          <t>Mauritania</t>
        </is>
      </c>
      <c r="D407" t="inlineStr">
        <is>
          <t>— free</t>
        </is>
      </c>
      <c r="E407">
        <f>'Country'!M53</f>
        <v/>
      </c>
      <c r="F407">
        <f>'Country'!N53</f>
        <v/>
      </c>
      <c r="G407">
        <f>'Country'!O53</f>
        <v/>
      </c>
      <c r="H407" t="n">
        <v>4</v>
      </c>
      <c r="I407" t="inlineStr">
        <is>
          <t>IMF Oct-2026 2027: 4.4%</t>
        </is>
      </c>
      <c r="J407" t="inlineStr">
        <is>
          <t>IMF Oct-2026: 2025 3.578, 2026 4.377, 2027 4.433</t>
        </is>
      </c>
      <c r="K407" t="inlineStr">
        <is>
          <t>A</t>
        </is>
      </c>
      <c r="L407" t="inlineStr">
        <is>
          <t>IMF World Economic Outlook, October 2026 (published 2026-10-13), api.imf.org SDMX dataflow IMF.RES/WEO NGDP_RPCH, pulled via Actions runner</t>
        </is>
      </c>
      <c r="M407" t="inlineStr">
        <is>
          <t>2026-10-13</t>
        </is>
      </c>
      <c r="N407" t="inlineStr"/>
      <c r="O407">
        <f>'Country'!Y53</f>
        <v/>
      </c>
    </row>
    <row r="408">
      <c r="A408" t="n">
        <v>407</v>
      </c>
      <c r="B408" t="inlineStr">
        <is>
          <t>Country</t>
        </is>
      </c>
      <c r="C408" t="inlineStr">
        <is>
          <t>Laos</t>
        </is>
      </c>
      <c r="D408" t="inlineStr">
        <is>
          <t>— free</t>
        </is>
      </c>
      <c r="E408">
        <f>'Country'!M54</f>
        <v/>
      </c>
      <c r="F408">
        <f>'Country'!N54</f>
        <v/>
      </c>
      <c r="G408">
        <f>'Country'!O54</f>
        <v/>
      </c>
      <c r="H408" t="n">
        <v>4</v>
      </c>
      <c r="I408" t="inlineStr">
        <is>
          <t>IMF Oct-2026 2027: 4.5%</t>
        </is>
      </c>
      <c r="J408" t="inlineStr">
        <is>
          <t>IMF Oct-2026: 2025 4.836, 2026 4.533, 2027 4.521</t>
        </is>
      </c>
      <c r="K408" t="inlineStr">
        <is>
          <t>A</t>
        </is>
      </c>
      <c r="L408" t="inlineStr">
        <is>
          <t>IMF World Economic Outlook, October 2026 (published 2026-10-13), api.imf.org SDMX dataflow IMF.RES/WEO NGDP_RPCH, pulled via Actions runner</t>
        </is>
      </c>
      <c r="M408" t="inlineStr">
        <is>
          <t>2026-10-13</t>
        </is>
      </c>
      <c r="N408" t="inlineStr"/>
      <c r="O408">
        <f>'Country'!Y54</f>
        <v/>
      </c>
    </row>
    <row r="409">
      <c r="A409" t="n">
        <v>408</v>
      </c>
      <c r="B409" t="inlineStr">
        <is>
          <t>Country</t>
        </is>
      </c>
      <c r="C409" t="inlineStr">
        <is>
          <t>Sierra Leone</t>
        </is>
      </c>
      <c r="D409" t="inlineStr">
        <is>
          <t>— free</t>
        </is>
      </c>
      <c r="E409">
        <f>'Country'!M55</f>
        <v/>
      </c>
      <c r="F409">
        <f>'Country'!N55</f>
        <v/>
      </c>
      <c r="G409">
        <f>'Country'!O55</f>
        <v/>
      </c>
      <c r="H409" t="n">
        <v>4</v>
      </c>
      <c r="I409" t="inlineStr">
        <is>
          <t>IMF Oct-2026 2027: 4.4%</t>
        </is>
      </c>
      <c r="J409" t="inlineStr">
        <is>
          <t>IMF Oct-2026: 2025 4.754, 2026 4.007, 2027 4.443</t>
        </is>
      </c>
      <c r="K409" t="inlineStr">
        <is>
          <t>A</t>
        </is>
      </c>
      <c r="L409" t="inlineStr">
        <is>
          <t>IMF World Economic Outlook, October 2026 (published 2026-10-13), api.imf.org SDMX dataflow IMF.RES/WEO NGDP_RPCH, pulled via Actions runner</t>
        </is>
      </c>
      <c r="M409" t="inlineStr">
        <is>
          <t>2026-10-13</t>
        </is>
      </c>
      <c r="N409" t="inlineStr"/>
      <c r="O409">
        <f>'Country'!Y55</f>
        <v/>
      </c>
    </row>
    <row r="410">
      <c r="A410" t="n">
        <v>409</v>
      </c>
      <c r="B410" t="inlineStr">
        <is>
          <t>Actress</t>
        </is>
      </c>
      <c r="C410" t="inlineStr">
        <is>
          <t>Mariana di Girolamo</t>
        </is>
      </c>
      <c r="D410" t="inlineStr">
        <is>
          <t>— free</t>
        </is>
      </c>
      <c r="E410">
        <f>'Actress'!M55</f>
        <v/>
      </c>
      <c r="F410">
        <f>'Actress'!N55</f>
        <v/>
      </c>
      <c r="G410">
        <f>'Actress'!O55</f>
        <v/>
      </c>
      <c r="H410" t="n">
        <v>4</v>
      </c>
      <c r="J410" t="inlineStr">
        <is>
          <t>no 2027 film found in Wikipedia's cast lists</t>
        </is>
      </c>
      <c r="K410" t="inlineStr">
        <is>
          <t>C</t>
        </is>
      </c>
      <c r="L410" t="inlineStr">
        <is>
          <t>Wikipedia 'List of American films of 2027' casts (Actions-runner pull 2026-10-08) x comp-based box office/RT estimates; cast lists are billed leads only (cameos not captured)</t>
        </is>
      </c>
      <c r="M410" t="inlineStr">
        <is>
          <t>2026-10-08</t>
        </is>
      </c>
      <c r="N410" t="inlineStr">
        <is>
          <t>late filler</t>
        </is>
      </c>
      <c r="O410">
        <f>'Actress'!Y55</f>
        <v/>
      </c>
    </row>
    <row r="411">
      <c r="A411" t="n">
        <v>410</v>
      </c>
      <c r="B411" t="inlineStr">
        <is>
          <t>Actor</t>
        </is>
      </c>
      <c r="C411" t="inlineStr">
        <is>
          <t>Gerard Butler</t>
        </is>
      </c>
      <c r="D411" t="inlineStr">
        <is>
          <t>— free</t>
        </is>
      </c>
      <c r="E411">
        <f>'Actor'!M48</f>
        <v/>
      </c>
      <c r="F411">
        <f>'Actor'!N48</f>
        <v/>
      </c>
      <c r="G411">
        <f>'Actor'!O48</f>
        <v/>
      </c>
      <c r="H411" t="n">
        <v>4</v>
      </c>
      <c r="J411" t="inlineStr">
        <is>
          <t>How to Train Your Dragon 2 (Jun 11)</t>
        </is>
      </c>
      <c r="K411" t="inlineStr">
        <is>
          <t>C</t>
        </is>
      </c>
      <c r="L411" t="inlineStr">
        <is>
          <t>Wikipedia 'List of American films of 2027' casts (Actions-runner pull 2026-10-08) x comp-based box office/RT estimates; cast lists are billed leads only (cameos not captured)</t>
        </is>
      </c>
      <c r="M411" t="inlineStr">
        <is>
          <t>2026-10-08</t>
        </is>
      </c>
      <c r="N411" t="inlineStr">
        <is>
          <t>late filler</t>
        </is>
      </c>
      <c r="O411">
        <f>'Actor'!Y48</f>
        <v/>
      </c>
    </row>
    <row r="412">
      <c r="A412" t="n">
        <v>411</v>
      </c>
      <c r="B412" t="inlineStr">
        <is>
          <t>Actress</t>
        </is>
      </c>
      <c r="C412" t="inlineStr">
        <is>
          <t>Kaitlyn Dever</t>
        </is>
      </c>
      <c r="D412" t="inlineStr">
        <is>
          <t>— free</t>
        </is>
      </c>
      <c r="E412">
        <f>'Actress'!M56</f>
        <v/>
      </c>
      <c r="F412">
        <f>'Actress'!N56</f>
        <v/>
      </c>
      <c r="G412">
        <f>'Actress'!O56</f>
        <v/>
      </c>
      <c r="H412" t="n">
        <v>4</v>
      </c>
      <c r="J412" t="inlineStr">
        <is>
          <t>Godzilla x Kong: Supernova (Mar 26)</t>
        </is>
      </c>
      <c r="K412" t="inlineStr">
        <is>
          <t>C</t>
        </is>
      </c>
      <c r="L412" t="inlineStr">
        <is>
          <t>Wikipedia 'List of American films of 2027' casts (Actions-runner pull 2026-10-08) x comp-based box office/RT estimates; cast lists are billed leads only (cameos not captured)</t>
        </is>
      </c>
      <c r="M412" t="inlineStr">
        <is>
          <t>2026-10-08</t>
        </is>
      </c>
      <c r="N412" t="inlineStr">
        <is>
          <t>late filler</t>
        </is>
      </c>
      <c r="O412">
        <f>'Actress'!Y56</f>
        <v/>
      </c>
    </row>
    <row r="413">
      <c r="A413" t="n">
        <v>412</v>
      </c>
      <c r="B413" t="inlineStr">
        <is>
          <t>Actress</t>
        </is>
      </c>
      <c r="C413" t="inlineStr">
        <is>
          <t>Alycia Debnam-Carey</t>
        </is>
      </c>
      <c r="D413" t="inlineStr">
        <is>
          <t>— free</t>
        </is>
      </c>
      <c r="E413">
        <f>'Actress'!M57</f>
        <v/>
      </c>
      <c r="F413">
        <f>'Actress'!N57</f>
        <v/>
      </c>
      <c r="G413">
        <f>'Actress'!O57</f>
        <v/>
      </c>
      <c r="H413" t="n">
        <v>4</v>
      </c>
      <c r="J413" t="inlineStr">
        <is>
          <t>Godzilla x Kong: Supernova (Mar 26)</t>
        </is>
      </c>
      <c r="K413" t="inlineStr">
        <is>
          <t>C</t>
        </is>
      </c>
      <c r="L413" t="inlineStr">
        <is>
          <t>Wikipedia 'List of American films of 2027' casts (Actions-runner pull 2026-10-08) x comp-based box office/RT estimates; cast lists are billed leads only (cameos not captured)</t>
        </is>
      </c>
      <c r="M413" t="inlineStr">
        <is>
          <t>2026-10-08</t>
        </is>
      </c>
      <c r="N413" t="inlineStr">
        <is>
          <t>late filler</t>
        </is>
      </c>
      <c r="O413">
        <f>'Actress'!Y57</f>
        <v/>
      </c>
    </row>
    <row r="414">
      <c r="A414" t="n">
        <v>413</v>
      </c>
      <c r="B414" t="inlineStr">
        <is>
          <t>Actor</t>
        </is>
      </c>
      <c r="C414" t="inlineStr">
        <is>
          <t>Mason Thames</t>
        </is>
      </c>
      <c r="D414" t="inlineStr">
        <is>
          <t>— free</t>
        </is>
      </c>
      <c r="E414">
        <f>'Actor'!M49</f>
        <v/>
      </c>
      <c r="F414">
        <f>'Actor'!N49</f>
        <v/>
      </c>
      <c r="G414">
        <f>'Actor'!O49</f>
        <v/>
      </c>
      <c r="H414" t="n">
        <v>4</v>
      </c>
      <c r="J414" t="inlineStr">
        <is>
          <t>How to Train Your Dragon 2 (Jun 11); Narcs (Aug 20)</t>
        </is>
      </c>
      <c r="K414" t="inlineStr">
        <is>
          <t>C</t>
        </is>
      </c>
      <c r="L414" t="inlineStr">
        <is>
          <t>Wikipedia 'List of American films of 2027' casts (Actions-runner pull 2026-10-08) x comp-based box office/RT estimates; cast lists are billed leads only (cameos not captured)</t>
        </is>
      </c>
      <c r="M414" t="inlineStr">
        <is>
          <t>2026-10-08</t>
        </is>
      </c>
      <c r="N414" t="inlineStr">
        <is>
          <t>late filler</t>
        </is>
      </c>
      <c r="O414">
        <f>'Actor'!Y49</f>
        <v/>
      </c>
    </row>
    <row r="415">
      <c r="A415" t="n">
        <v>414</v>
      </c>
      <c r="B415" t="inlineStr">
        <is>
          <t>Actor</t>
        </is>
      </c>
      <c r="C415" t="inlineStr">
        <is>
          <t>Nick Frost</t>
        </is>
      </c>
      <c r="D415" t="inlineStr">
        <is>
          <t>— free</t>
        </is>
      </c>
      <c r="E415">
        <f>'Actor'!M50</f>
        <v/>
      </c>
      <c r="F415">
        <f>'Actor'!N50</f>
        <v/>
      </c>
      <c r="G415">
        <f>'Actor'!O50</f>
        <v/>
      </c>
      <c r="H415" t="n">
        <v>4</v>
      </c>
      <c r="J415" t="inlineStr">
        <is>
          <t>How to Train Your Dragon 2 (Jun 11)</t>
        </is>
      </c>
      <c r="K415" t="inlineStr">
        <is>
          <t>C</t>
        </is>
      </c>
      <c r="L415" t="inlineStr">
        <is>
          <t>Wikipedia 'List of American films of 2027' casts (Actions-runner pull 2026-10-08) x comp-based box office/RT estimates; cast lists are billed leads only (cameos not captured)</t>
        </is>
      </c>
      <c r="M415" t="inlineStr">
        <is>
          <t>2026-10-08</t>
        </is>
      </c>
      <c r="N415" t="inlineStr">
        <is>
          <t>late filler</t>
        </is>
      </c>
      <c r="O415">
        <f>'Actor'!Y50</f>
        <v/>
      </c>
    </row>
    <row r="416">
      <c r="A416" t="n">
        <v>415</v>
      </c>
      <c r="B416" t="inlineStr">
        <is>
          <t>Actor</t>
        </is>
      </c>
      <c r="C416" t="inlineStr">
        <is>
          <t>Phil Dunster</t>
        </is>
      </c>
      <c r="D416" t="inlineStr">
        <is>
          <t>— free</t>
        </is>
      </c>
      <c r="E416">
        <f>'Actor'!M51</f>
        <v/>
      </c>
      <c r="F416">
        <f>'Actor'!N51</f>
        <v/>
      </c>
      <c r="G416">
        <f>'Actor'!O51</f>
        <v/>
      </c>
      <c r="H416" t="n">
        <v>4</v>
      </c>
      <c r="J416" t="inlineStr">
        <is>
          <t>How to Train Your Dragon 2 (Jun 11)</t>
        </is>
      </c>
      <c r="K416" t="inlineStr">
        <is>
          <t>C</t>
        </is>
      </c>
      <c r="L416" t="inlineStr">
        <is>
          <t>Wikipedia 'List of American films of 2027' casts (Actions-runner pull 2026-10-08) x comp-based box office/RT estimates; cast lists are billed leads only (cameos not captured)</t>
        </is>
      </c>
      <c r="M416" t="inlineStr">
        <is>
          <t>2026-10-08</t>
        </is>
      </c>
      <c r="N416" t="inlineStr">
        <is>
          <t>late filler</t>
        </is>
      </c>
      <c r="O416">
        <f>'Actor'!Y51</f>
        <v/>
      </c>
    </row>
    <row r="417">
      <c r="A417" t="n">
        <v>416</v>
      </c>
      <c r="B417" t="inlineStr">
        <is>
          <t>Actress</t>
        </is>
      </c>
      <c r="C417" t="inlineStr">
        <is>
          <t>Monica Barbaro</t>
        </is>
      </c>
      <c r="D417" t="inlineStr">
        <is>
          <t>— free</t>
        </is>
      </c>
      <c r="E417">
        <f>'Actress'!M58</f>
        <v/>
      </c>
      <c r="F417">
        <f>'Actress'!N58</f>
        <v/>
      </c>
      <c r="G417">
        <f>'Actress'!O58</f>
        <v/>
      </c>
      <c r="H417" t="n">
        <v>4</v>
      </c>
      <c r="J417" t="inlineStr">
        <is>
          <t>Untitled Ocean's Eleven prequel (Jun 25)</t>
        </is>
      </c>
      <c r="K417" t="inlineStr">
        <is>
          <t>C</t>
        </is>
      </c>
      <c r="L417" t="inlineStr">
        <is>
          <t>Wikipedia 'List of American films of 2027' casts (Actions-runner pull 2026-10-08) x comp-based box office/RT estimates; cast lists are billed leads only (cameos not captured)</t>
        </is>
      </c>
      <c r="M417" t="inlineStr">
        <is>
          <t>2026-10-08</t>
        </is>
      </c>
      <c r="N417" t="inlineStr">
        <is>
          <t>late filler</t>
        </is>
      </c>
      <c r="O417">
        <f>'Actress'!Y58</f>
        <v/>
      </c>
    </row>
    <row r="418">
      <c r="A418" t="n">
        <v>417</v>
      </c>
      <c r="B418" t="inlineStr">
        <is>
          <t>Actor</t>
        </is>
      </c>
      <c r="C418" t="inlineStr">
        <is>
          <t>Ólafur Darri Ólafsson</t>
        </is>
      </c>
      <c r="D418" t="inlineStr">
        <is>
          <t>— free</t>
        </is>
      </c>
      <c r="E418">
        <f>'Actor'!M52</f>
        <v/>
      </c>
      <c r="F418">
        <f>'Actor'!N52</f>
        <v/>
      </c>
      <c r="G418">
        <f>'Actor'!O52</f>
        <v/>
      </c>
      <c r="H418" t="n">
        <v>4</v>
      </c>
      <c r="J418" t="inlineStr">
        <is>
          <t>How to Train Your Dragon 2 (Jun 11)</t>
        </is>
      </c>
      <c r="K418" t="inlineStr">
        <is>
          <t>C</t>
        </is>
      </c>
      <c r="L418" t="inlineStr">
        <is>
          <t>Wikipedia 'List of American films of 2027' casts (Actions-runner pull 2026-10-08) x comp-based box office/RT estimates; cast lists are billed leads only (cameos not captured)</t>
        </is>
      </c>
      <c r="M418" t="inlineStr">
        <is>
          <t>2026-10-08</t>
        </is>
      </c>
      <c r="N418" t="inlineStr">
        <is>
          <t>late filler</t>
        </is>
      </c>
      <c r="O418">
        <f>'Actor'!Y52</f>
        <v/>
      </c>
    </row>
    <row r="419">
      <c r="A419" t="n">
        <v>418</v>
      </c>
      <c r="B419" t="inlineStr">
        <is>
          <t>NCAAF</t>
        </is>
      </c>
      <c r="C419" t="inlineStr">
        <is>
          <t>Utah</t>
        </is>
      </c>
      <c r="D419" t="inlineStr">
        <is>
          <t>— free</t>
        </is>
      </c>
      <c r="E419">
        <f>'NCAAF'!M17</f>
        <v/>
      </c>
      <c r="F419">
        <f>'NCAAF'!N17</f>
        <v/>
      </c>
      <c r="G419">
        <f>'NCAAF'!O17</f>
        <v/>
      </c>
      <c r="H419" t="n">
        <v>3</v>
      </c>
      <c r="I419" t="inlineStr">
        <is>
          <t>Kalshi 1.5%</t>
        </is>
      </c>
      <c r="J419" t="inlineStr">
        <is>
          <t>AP #12, 4-0, Big 12</t>
        </is>
      </c>
      <c r="K419" t="inlineStr">
        <is>
          <t>A</t>
        </is>
      </c>
      <c r="L419" t="inlineStr">
        <is>
          <t>KXNCAAF-27 exchange mid-price, pulled 2026-10-22</t>
        </is>
      </c>
      <c r="M419" t="inlineStr">
        <is>
          <t>2026-10-22</t>
        </is>
      </c>
      <c r="N419" t="inlineStr"/>
      <c r="O419">
        <f>'NCAAF'!Y17</f>
        <v/>
      </c>
    </row>
    <row r="420">
      <c r="A420" t="n">
        <v>419</v>
      </c>
      <c r="B420" t="inlineStr">
        <is>
          <t>Actress</t>
        </is>
      </c>
      <c r="C420" t="inlineStr">
        <is>
          <t>Lauren Ridloff</t>
        </is>
      </c>
      <c r="D420" t="inlineStr">
        <is>
          <t>— free</t>
        </is>
      </c>
      <c r="E420">
        <f>'Actress'!M59</f>
        <v/>
      </c>
      <c r="F420">
        <f>'Actress'!N59</f>
        <v/>
      </c>
      <c r="G420">
        <f>'Actress'!O59</f>
        <v/>
      </c>
      <c r="H420" t="n">
        <v>4</v>
      </c>
      <c r="J420" t="inlineStr">
        <is>
          <t>Untitled Ocean's Eleven prequel (Jun 25)</t>
        </is>
      </c>
      <c r="K420" t="inlineStr">
        <is>
          <t>C</t>
        </is>
      </c>
      <c r="L420" t="inlineStr">
        <is>
          <t>Wikipedia 'List of American films of 2027' casts (Actions-runner pull 2026-10-08) x comp-based box office/RT estimates; cast lists are billed leads only (cameos not captured)</t>
        </is>
      </c>
      <c r="M420" t="inlineStr">
        <is>
          <t>2026-10-08</t>
        </is>
      </c>
      <c r="N420" t="inlineStr">
        <is>
          <t>late filler</t>
        </is>
      </c>
      <c r="O420">
        <f>'Actress'!Y59</f>
        <v/>
      </c>
    </row>
    <row r="421">
      <c r="A421" t="n">
        <v>420</v>
      </c>
      <c r="B421" t="inlineStr">
        <is>
          <t>Golf</t>
        </is>
      </c>
      <c r="C421" t="inlineStr">
        <is>
          <t>Jacob Bridgeman</t>
        </is>
      </c>
      <c r="D421" t="inlineStr">
        <is>
          <t>— free</t>
        </is>
      </c>
      <c r="E421">
        <f>'Golf'!M24</f>
        <v/>
      </c>
      <c r="F421">
        <f>'Golf'!N24</f>
        <v/>
      </c>
      <c r="G421">
        <f>'Golf'!O24</f>
        <v/>
      </c>
      <c r="H421" t="n">
        <v>4</v>
      </c>
      <c r="J421" t="inlineStr">
        <is>
          <t>OWGR 20 (2026-10-08)</t>
        </is>
      </c>
      <c r="K421" t="inlineStr">
        <is>
          <t>C</t>
        </is>
      </c>
      <c r="L421" t="inlineStr">
        <is>
          <t>OWGR rank from league standings pull (A); major-win probabilities = model (rank-weighted share of 4 majors)</t>
        </is>
      </c>
      <c r="M421" t="inlineStr">
        <is>
          <t>2026-10-08</t>
        </is>
      </c>
      <c r="N421" t="inlineStr"/>
      <c r="O421">
        <f>'Golf'!Y24</f>
        <v/>
      </c>
    </row>
    <row r="422">
      <c r="A422" t="n">
        <v>421</v>
      </c>
      <c r="B422" t="inlineStr">
        <is>
          <t>Actress</t>
        </is>
      </c>
      <c r="C422" t="inlineStr">
        <is>
          <t>Vicky Krieps</t>
        </is>
      </c>
      <c r="D422" t="inlineStr">
        <is>
          <t>— free</t>
        </is>
      </c>
      <c r="E422">
        <f>'Actress'!M60</f>
        <v/>
      </c>
      <c r="F422">
        <f>'Actress'!N60</f>
        <v/>
      </c>
      <c r="G422">
        <f>'Actress'!O60</f>
        <v/>
      </c>
      <c r="H422" t="n">
        <v>4</v>
      </c>
      <c r="J422" t="inlineStr">
        <is>
          <t>Untitled Ocean's Eleven prequel (Jun 25)</t>
        </is>
      </c>
      <c r="K422" t="inlineStr">
        <is>
          <t>C</t>
        </is>
      </c>
      <c r="L422" t="inlineStr">
        <is>
          <t>Wikipedia 'List of American films of 2027' casts (Actions-runner pull 2026-10-08) x comp-based box office/RT estimates; cast lists are billed leads only (cameos not captured)</t>
        </is>
      </c>
      <c r="M422" t="inlineStr">
        <is>
          <t>2026-10-08</t>
        </is>
      </c>
      <c r="N422" t="inlineStr">
        <is>
          <t>late filler</t>
        </is>
      </c>
      <c r="O422">
        <f>'Actress'!Y60</f>
        <v/>
      </c>
    </row>
    <row r="423">
      <c r="A423" t="n">
        <v>422</v>
      </c>
      <c r="B423" t="inlineStr">
        <is>
          <t>NCAAB</t>
        </is>
      </c>
      <c r="C423" t="inlineStr">
        <is>
          <t>Texas</t>
        </is>
      </c>
      <c r="D423" t="inlineStr">
        <is>
          <t>— free</t>
        </is>
      </c>
      <c r="E423">
        <f>'NCAAB'!M28</f>
        <v/>
      </c>
      <c r="F423">
        <f>'NCAAB'!N28</f>
        <v/>
      </c>
      <c r="G423">
        <f>'NCAAB'!O28</f>
        <v/>
      </c>
      <c r="H423" t="n">
        <v>4</v>
      </c>
      <c r="J423" t="inlineStr"/>
      <c r="K423" t="inlineStr">
        <is>
          <t>C</t>
        </is>
      </c>
      <c r="L423" t="inlineStr">
        <is>
          <t>estimate</t>
        </is>
      </c>
      <c r="M423" t="inlineStr">
        <is>
          <t>2026-10-08</t>
        </is>
      </c>
      <c r="N423" t="inlineStr">
        <is>
          <t>low confidence: far-out event</t>
        </is>
      </c>
      <c r="O423">
        <f>'NCAAB'!Y28</f>
        <v/>
      </c>
    </row>
    <row r="424">
      <c r="A424" t="n">
        <v>423</v>
      </c>
      <c r="B424" t="inlineStr">
        <is>
          <t>Actress</t>
        </is>
      </c>
      <c r="C424" t="inlineStr">
        <is>
          <t>Margot Robbie</t>
        </is>
      </c>
      <c r="D424" t="inlineStr">
        <is>
          <t>— free</t>
        </is>
      </c>
      <c r="E424">
        <f>'Actress'!M61</f>
        <v/>
      </c>
      <c r="F424">
        <f>'Actress'!N61</f>
        <v/>
      </c>
      <c r="G424">
        <f>'Actress'!O61</f>
        <v/>
      </c>
      <c r="H424" t="n">
        <v>4</v>
      </c>
      <c r="J424" t="inlineStr">
        <is>
          <t>Untitled Ocean's Eleven prequel (Jun 25)</t>
        </is>
      </c>
      <c r="K424" t="inlineStr">
        <is>
          <t>C</t>
        </is>
      </c>
      <c r="L424" t="inlineStr">
        <is>
          <t>Wikipedia 'List of American films of 2027' casts (Actions-runner pull 2026-10-08) x comp-based box office/RT estimates; cast lists are billed leads only (cameos not captured)</t>
        </is>
      </c>
      <c r="M424" t="inlineStr">
        <is>
          <t>2026-10-08</t>
        </is>
      </c>
      <c r="N424" t="inlineStr">
        <is>
          <t>late filler</t>
        </is>
      </c>
      <c r="O424">
        <f>'Actress'!Y61</f>
        <v/>
      </c>
    </row>
    <row r="425">
      <c r="A425" t="n">
        <v>424</v>
      </c>
      <c r="B425" t="inlineStr">
        <is>
          <t>Actor</t>
        </is>
      </c>
      <c r="C425" t="inlineStr">
        <is>
          <t>Idris Elba</t>
        </is>
      </c>
      <c r="D425" t="inlineStr">
        <is>
          <t>— free</t>
        </is>
      </c>
      <c r="E425">
        <f>'Actor'!M53</f>
        <v/>
      </c>
      <c r="F425">
        <f>'Actor'!N53</f>
        <v/>
      </c>
      <c r="G425">
        <f>'Actor'!O53</f>
        <v/>
      </c>
      <c r="H425" t="n">
        <v>4</v>
      </c>
      <c r="J425" t="inlineStr">
        <is>
          <t>Sonic the Hedgehog 4 (Mar 19); Children of Blood and Bone (Jan 15)</t>
        </is>
      </c>
      <c r="K425" t="inlineStr">
        <is>
          <t>C</t>
        </is>
      </c>
      <c r="L425" t="inlineStr">
        <is>
          <t>Wikipedia 'List of American films of 2027' casts (Actions-runner pull 2026-10-08) x comp-based box office/RT estimates; cast lists are billed leads only (cameos not captured)</t>
        </is>
      </c>
      <c r="M425" t="inlineStr">
        <is>
          <t>2026-10-08</t>
        </is>
      </c>
      <c r="N425" t="inlineStr">
        <is>
          <t>late filler</t>
        </is>
      </c>
      <c r="O425">
        <f>'Actor'!Y53</f>
        <v/>
      </c>
    </row>
    <row r="426">
      <c r="A426" t="n">
        <v>425</v>
      </c>
      <c r="B426" t="inlineStr">
        <is>
          <t>NHL</t>
        </is>
      </c>
      <c r="C426" t="inlineStr">
        <is>
          <t>Seattle Kraken</t>
        </is>
      </c>
      <c r="D426" t="inlineStr">
        <is>
          <t>— free</t>
        </is>
      </c>
      <c r="E426">
        <f>'NHL'!M25</f>
        <v/>
      </c>
      <c r="F426">
        <f>'NHL'!N25</f>
        <v/>
      </c>
      <c r="G426">
        <f>'NHL'!O25</f>
        <v/>
      </c>
      <c r="H426" t="n">
        <v>4</v>
      </c>
      <c r="I426" t="inlineStr">
        <is>
          <t>Kalshi +9900</t>
        </is>
      </c>
      <c r="J426" t="inlineStr">
        <is>
          <t>West</t>
        </is>
      </c>
      <c r="K426" t="inlineStr">
        <is>
          <t>A</t>
        </is>
      </c>
      <c r="L426" t="inlineStr">
        <is>
          <t>Kalshi Cup market (~1 month old) normalised; points totals SportsBettingDime | league_sim.py: full-schedule + real playoff bracket Monte Carlo, ratings fitted to Kalshi</t>
        </is>
      </c>
      <c r="M426" t="inlineStr">
        <is>
          <t>2026-10-08</t>
        </is>
      </c>
      <c r="N426" t="inlineStr"/>
      <c r="O426">
        <f>'NHL'!Y25</f>
        <v/>
      </c>
    </row>
    <row r="427">
      <c r="A427" t="n">
        <v>426</v>
      </c>
      <c r="B427" t="inlineStr">
        <is>
          <t>NCAAB</t>
        </is>
      </c>
      <c r="C427" t="inlineStr">
        <is>
          <t>Wisconsin</t>
        </is>
      </c>
      <c r="D427" t="inlineStr">
        <is>
          <t>— free</t>
        </is>
      </c>
      <c r="E427">
        <f>'NCAAB'!M29</f>
        <v/>
      </c>
      <c r="F427">
        <f>'NCAAB'!N29</f>
        <v/>
      </c>
      <c r="G427">
        <f>'NCAAB'!O29</f>
        <v/>
      </c>
      <c r="H427" t="n">
        <v>4</v>
      </c>
      <c r="J427" t="inlineStr"/>
      <c r="K427" t="inlineStr">
        <is>
          <t>C</t>
        </is>
      </c>
      <c r="L427" t="inlineStr">
        <is>
          <t>estimate</t>
        </is>
      </c>
      <c r="M427" t="inlineStr">
        <is>
          <t>2026-10-08</t>
        </is>
      </c>
      <c r="N427" t="inlineStr">
        <is>
          <t>low confidence: far-out event</t>
        </is>
      </c>
      <c r="O427">
        <f>'NCAAB'!Y29</f>
        <v/>
      </c>
    </row>
    <row r="428">
      <c r="A428" t="n">
        <v>427</v>
      </c>
      <c r="B428" t="inlineStr">
        <is>
          <t>NCAAB</t>
        </is>
      </c>
      <c r="C428" t="inlineStr">
        <is>
          <t>Creighton</t>
        </is>
      </c>
      <c r="D428" t="inlineStr">
        <is>
          <t>— free</t>
        </is>
      </c>
      <c r="E428">
        <f>'NCAAB'!M30</f>
        <v/>
      </c>
      <c r="F428">
        <f>'NCAAB'!N30</f>
        <v/>
      </c>
      <c r="G428">
        <f>'NCAAB'!O30</f>
        <v/>
      </c>
      <c r="H428" t="n">
        <v>4</v>
      </c>
      <c r="J428" t="inlineStr"/>
      <c r="K428" t="inlineStr">
        <is>
          <t>C</t>
        </is>
      </c>
      <c r="L428" t="inlineStr">
        <is>
          <t>estimate</t>
        </is>
      </c>
      <c r="M428" t="inlineStr">
        <is>
          <t>2026-10-08</t>
        </is>
      </c>
      <c r="N428" t="inlineStr">
        <is>
          <t>low confidence: far-out event</t>
        </is>
      </c>
      <c r="O428">
        <f>'NCAAB'!Y30</f>
        <v/>
      </c>
    </row>
    <row r="429">
      <c r="A429" t="n">
        <v>428</v>
      </c>
      <c r="B429" t="inlineStr">
        <is>
          <t>Country</t>
        </is>
      </c>
      <c r="C429" t="inlineStr">
        <is>
          <t>Argentina</t>
        </is>
      </c>
      <c r="D429" s="16" t="inlineStr">
        <is>
          <t>Molmen</t>
        </is>
      </c>
      <c r="E429">
        <f>'Country'!M56</f>
        <v/>
      </c>
      <c r="F429">
        <f>'Country'!N56</f>
        <v/>
      </c>
      <c r="G429">
        <f>'Country'!O56</f>
        <v/>
      </c>
      <c r="H429" t="n">
        <v>4</v>
      </c>
      <c r="I429" t="inlineStr">
        <is>
          <t>IMF Oct-2026 2027: 3.5%</t>
        </is>
      </c>
      <c r="J429" t="inlineStr">
        <is>
          <t>IMF Oct-2026: 2025 4.483, 2026 2.06, 2027 3.462</t>
        </is>
      </c>
      <c r="K429" t="inlineStr">
        <is>
          <t>A</t>
        </is>
      </c>
      <c r="L429" t="inlineStr">
        <is>
          <t>IMF World Economic Outlook, October 2026 (published 2026-10-13), api.imf.org SDMX dataflow IMF.RES/WEO NGDP_RPCH, pulled via Actions runner</t>
        </is>
      </c>
      <c r="M429" t="inlineStr">
        <is>
          <t>2026-10-13</t>
        </is>
      </c>
      <c r="N429" t="inlineStr"/>
      <c r="O429">
        <f>'Country'!Y56</f>
        <v/>
      </c>
    </row>
    <row r="430">
      <c r="A430" t="n">
        <v>429</v>
      </c>
      <c r="B430" t="inlineStr">
        <is>
          <t>NBA</t>
        </is>
      </c>
      <c r="C430" t="inlineStr">
        <is>
          <t>Memphis Grizzlies</t>
        </is>
      </c>
      <c r="D430" t="inlineStr">
        <is>
          <t>— free</t>
        </is>
      </c>
      <c r="E430">
        <f>'NBA'!M28</f>
        <v/>
      </c>
      <c r="F430">
        <f>'NBA'!N28</f>
        <v/>
      </c>
      <c r="G430">
        <f>'NBA'!O28</f>
        <v/>
      </c>
      <c r="H430" t="n">
        <v>4</v>
      </c>
      <c r="J430" t="inlineStr">
        <is>
          <t>West; win total 29.5</t>
        </is>
      </c>
      <c r="K430" t="inlineStr">
        <is>
          <t>A</t>
        </is>
      </c>
      <c r="L430" t="inlineStr">
        <is>
          <t>BetMGM win total; title price estimated | league_sim.py: full-schedule + real playoff bracket Monte Carlo, ratings fitted to Kalshi</t>
        </is>
      </c>
      <c r="M430" t="inlineStr">
        <is>
          <t>2026-10-08</t>
        </is>
      </c>
      <c r="N430" t="inlineStr"/>
      <c r="O430">
        <f>'NBA'!Y28</f>
        <v/>
      </c>
    </row>
    <row r="431">
      <c r="A431" t="n">
        <v>430</v>
      </c>
      <c r="B431" t="inlineStr">
        <is>
          <t>Actress</t>
        </is>
      </c>
      <c r="C431" t="inlineStr">
        <is>
          <t>Emma Mackey</t>
        </is>
      </c>
      <c r="D431" t="inlineStr">
        <is>
          <t>— free</t>
        </is>
      </c>
      <c r="E431">
        <f>'Actress'!M62</f>
        <v/>
      </c>
      <c r="F431">
        <f>'Actress'!N62</f>
        <v/>
      </c>
      <c r="G431">
        <f>'Actress'!O62</f>
        <v/>
      </c>
      <c r="H431" t="n">
        <v>4</v>
      </c>
      <c r="J431" t="inlineStr">
        <is>
          <t>The Great Beyond (Oct 1); Narnia: The Magician's Nephew (Feb 12)</t>
        </is>
      </c>
      <c r="K431" t="inlineStr">
        <is>
          <t>C</t>
        </is>
      </c>
      <c r="L431" t="inlineStr">
        <is>
          <t>Wikipedia 'List of American films of 2027' casts (Actions-runner pull 2026-10-08) x comp-based box office/RT estimates; cast lists are billed leads only (cameos not captured)</t>
        </is>
      </c>
      <c r="M431" t="inlineStr">
        <is>
          <t>2026-10-08</t>
        </is>
      </c>
      <c r="N431" t="inlineStr">
        <is>
          <t>late filler</t>
        </is>
      </c>
      <c r="O431">
        <f>'Actress'!Y62</f>
        <v/>
      </c>
    </row>
    <row r="432">
      <c r="A432" t="n">
        <v>431</v>
      </c>
      <c r="B432" t="inlineStr">
        <is>
          <t>NCAAB</t>
        </is>
      </c>
      <c r="C432" t="inlineStr">
        <is>
          <t>Baylor</t>
        </is>
      </c>
      <c r="D432" t="inlineStr">
        <is>
          <t>— free</t>
        </is>
      </c>
      <c r="E432">
        <f>'NCAAB'!M31</f>
        <v/>
      </c>
      <c r="F432">
        <f>'NCAAB'!N31</f>
        <v/>
      </c>
      <c r="G432">
        <f>'NCAAB'!O31</f>
        <v/>
      </c>
      <c r="H432" t="n">
        <v>4</v>
      </c>
      <c r="J432" t="inlineStr"/>
      <c r="K432" t="inlineStr">
        <is>
          <t>C</t>
        </is>
      </c>
      <c r="L432" t="inlineStr">
        <is>
          <t>estimate</t>
        </is>
      </c>
      <c r="M432" t="inlineStr">
        <is>
          <t>2026-10-08</t>
        </is>
      </c>
      <c r="N432" t="inlineStr">
        <is>
          <t>low confidence: far-out event</t>
        </is>
      </c>
      <c r="O432">
        <f>'NCAAB'!Y31</f>
        <v/>
      </c>
    </row>
    <row r="433">
      <c r="A433" t="n">
        <v>432</v>
      </c>
      <c r="B433" t="inlineStr">
        <is>
          <t>Actor</t>
        </is>
      </c>
      <c r="C433" t="inlineStr">
        <is>
          <t>Keanu Reeves</t>
        </is>
      </c>
      <c r="D433" t="inlineStr">
        <is>
          <t>— free</t>
        </is>
      </c>
      <c r="E433">
        <f>'Actor'!M54</f>
        <v/>
      </c>
      <c r="F433">
        <f>'Actor'!N54</f>
        <v/>
      </c>
      <c r="G433">
        <f>'Actor'!O54</f>
        <v/>
      </c>
      <c r="H433" t="n">
        <v>4</v>
      </c>
      <c r="J433" t="inlineStr">
        <is>
          <t>Sonic the Hedgehog 4 (Mar 19); Shiver (Aug 13)</t>
        </is>
      </c>
      <c r="K433" t="inlineStr">
        <is>
          <t>C</t>
        </is>
      </c>
      <c r="L433" t="inlineStr">
        <is>
          <t>Wikipedia 'List of American films of 2027' casts (Actions-runner pull 2026-10-08) x comp-based box office/RT estimates; cast lists are billed leads only (cameos not captured)</t>
        </is>
      </c>
      <c r="M433" t="inlineStr">
        <is>
          <t>2026-10-08</t>
        </is>
      </c>
      <c r="N433" t="inlineStr">
        <is>
          <t>late filler</t>
        </is>
      </c>
      <c r="O433">
        <f>'Actor'!Y54</f>
        <v/>
      </c>
    </row>
    <row r="434">
      <c r="A434" t="n">
        <v>433</v>
      </c>
      <c r="B434" t="inlineStr">
        <is>
          <t>Tennis</t>
        </is>
      </c>
      <c r="C434" t="inlineStr">
        <is>
          <t>Amanda Anisimova</t>
        </is>
      </c>
      <c r="D434" s="16" t="inlineStr">
        <is>
          <t>Jamzee</t>
        </is>
      </c>
      <c r="E434">
        <f>'Tennis'!M27</f>
        <v/>
      </c>
      <c r="F434">
        <f>'Tennis'!N27</f>
        <v/>
      </c>
      <c r="G434">
        <f>'Tennis'!O27</f>
        <v/>
      </c>
      <c r="H434" t="n">
        <v>4</v>
      </c>
      <c r="J434" t="inlineStr">
        <is>
          <t>WTA 14 (2026-10-08)</t>
        </is>
      </c>
      <c r="K434" t="inlineStr">
        <is>
          <t>C</t>
        </is>
      </c>
      <c r="L434" t="inlineStr">
        <is>
          <t>ATP rank from league standings pull (A) / WTA via Olympics.com Oct 5; AO odds VegasInsider/Johnnybet Oct 2026; probabilities = agent estimates</t>
        </is>
      </c>
      <c r="M434" t="inlineStr">
        <is>
          <t>2026-10-08</t>
        </is>
      </c>
      <c r="N434" t="inlineStr"/>
      <c r="O434">
        <f>'Tennis'!Y27</f>
        <v/>
      </c>
    </row>
    <row r="435">
      <c r="A435" t="n">
        <v>434</v>
      </c>
      <c r="B435" t="inlineStr">
        <is>
          <t>NCAAB</t>
        </is>
      </c>
      <c r="C435" t="inlineStr">
        <is>
          <t>Virginia</t>
        </is>
      </c>
      <c r="D435" t="inlineStr">
        <is>
          <t>— free</t>
        </is>
      </c>
      <c r="E435">
        <f>'NCAAB'!M32</f>
        <v/>
      </c>
      <c r="F435">
        <f>'NCAAB'!N32</f>
        <v/>
      </c>
      <c r="G435">
        <f>'NCAAB'!O32</f>
        <v/>
      </c>
      <c r="H435" t="n">
        <v>4</v>
      </c>
      <c r="J435" t="inlineStr"/>
      <c r="K435" t="inlineStr">
        <is>
          <t>C</t>
        </is>
      </c>
      <c r="L435" t="inlineStr">
        <is>
          <t>estimate</t>
        </is>
      </c>
      <c r="M435" t="inlineStr">
        <is>
          <t>2026-10-08</t>
        </is>
      </c>
      <c r="N435" t="inlineStr">
        <is>
          <t>low confidence: far-out event</t>
        </is>
      </c>
      <c r="O435">
        <f>'NCAAB'!Y32</f>
        <v/>
      </c>
    </row>
    <row r="436">
      <c r="A436" t="n">
        <v>435</v>
      </c>
      <c r="B436" t="inlineStr">
        <is>
          <t>Actress</t>
        </is>
      </c>
      <c r="C436" t="inlineStr">
        <is>
          <t>Sandra Oh</t>
        </is>
      </c>
      <c r="D436" t="inlineStr">
        <is>
          <t>— free</t>
        </is>
      </c>
      <c r="E436">
        <f>'Actress'!M63</f>
        <v/>
      </c>
      <c r="F436">
        <f>'Actress'!N63</f>
        <v/>
      </c>
      <c r="G436">
        <f>'Actress'!O63</f>
        <v/>
      </c>
      <c r="H436" t="n">
        <v>4</v>
      </c>
      <c r="J436" t="inlineStr">
        <is>
          <t>Untitled Daniels film (Nov 19)</t>
        </is>
      </c>
      <c r="K436" t="inlineStr">
        <is>
          <t>C</t>
        </is>
      </c>
      <c r="L436" t="inlineStr">
        <is>
          <t>Wikipedia 'List of American films of 2027' casts (Actions-runner pull 2026-10-08) x comp-based box office/RT estimates; cast lists are billed leads only (cameos not captured)</t>
        </is>
      </c>
      <c r="M436" t="inlineStr">
        <is>
          <t>2026-10-08</t>
        </is>
      </c>
      <c r="N436" t="inlineStr">
        <is>
          <t>late filler</t>
        </is>
      </c>
      <c r="O436">
        <f>'Actress'!Y63</f>
        <v/>
      </c>
    </row>
    <row r="437">
      <c r="A437" t="n">
        <v>436</v>
      </c>
      <c r="B437" t="inlineStr">
        <is>
          <t>Golf</t>
        </is>
      </c>
      <c r="C437" t="inlineStr">
        <is>
          <t>Alex Noren</t>
        </is>
      </c>
      <c r="D437" t="inlineStr">
        <is>
          <t>— free</t>
        </is>
      </c>
      <c r="E437">
        <f>'Golf'!M25</f>
        <v/>
      </c>
      <c r="F437">
        <f>'Golf'!N25</f>
        <v/>
      </c>
      <c r="G437">
        <f>'Golf'!O25</f>
        <v/>
      </c>
      <c r="H437" t="n">
        <v>4</v>
      </c>
      <c r="J437" t="inlineStr">
        <is>
          <t>OWGR 21 (2026-10-08)</t>
        </is>
      </c>
      <c r="K437" t="inlineStr">
        <is>
          <t>C</t>
        </is>
      </c>
      <c r="L437" t="inlineStr">
        <is>
          <t>OWGR rank from league standings pull (A); major-win probabilities = model (rank-weighted share of 4 majors)</t>
        </is>
      </c>
      <c r="M437" t="inlineStr">
        <is>
          <t>2026-10-08</t>
        </is>
      </c>
      <c r="N437" t="inlineStr"/>
      <c r="O437">
        <f>'Golf'!Y25</f>
        <v/>
      </c>
    </row>
    <row r="438">
      <c r="A438" t="n">
        <v>437</v>
      </c>
      <c r="B438" t="inlineStr">
        <is>
          <t>Actor</t>
        </is>
      </c>
      <c r="C438" t="inlineStr">
        <is>
          <t>Jim Carrey</t>
        </is>
      </c>
      <c r="D438" t="inlineStr">
        <is>
          <t>— free</t>
        </is>
      </c>
      <c r="E438">
        <f>'Actor'!M55</f>
        <v/>
      </c>
      <c r="F438">
        <f>'Actor'!N55</f>
        <v/>
      </c>
      <c r="G438">
        <f>'Actor'!O55</f>
        <v/>
      </c>
      <c r="H438" t="n">
        <v>4</v>
      </c>
      <c r="J438" t="inlineStr">
        <is>
          <t>Sonic the Hedgehog 4 (Mar 19)</t>
        </is>
      </c>
      <c r="K438" t="inlineStr">
        <is>
          <t>C</t>
        </is>
      </c>
      <c r="L438" t="inlineStr">
        <is>
          <t>Wikipedia 'List of American films of 2027' casts (Actions-runner pull 2026-10-08) x comp-based box office/RT estimates; cast lists are billed leads only (cameos not captured)</t>
        </is>
      </c>
      <c r="M438" t="inlineStr">
        <is>
          <t>2026-10-08</t>
        </is>
      </c>
      <c r="N438" t="inlineStr">
        <is>
          <t>late filler</t>
        </is>
      </c>
      <c r="O438">
        <f>'Actor'!Y55</f>
        <v/>
      </c>
    </row>
    <row r="439">
      <c r="A439" t="n">
        <v>438</v>
      </c>
      <c r="B439" t="inlineStr">
        <is>
          <t>Actor</t>
        </is>
      </c>
      <c r="C439" t="inlineStr">
        <is>
          <t>Richard Ayoade</t>
        </is>
      </c>
      <c r="D439" t="inlineStr">
        <is>
          <t>— free</t>
        </is>
      </c>
      <c r="E439">
        <f>'Actor'!M56</f>
        <v/>
      </c>
      <c r="F439">
        <f>'Actor'!N56</f>
        <v/>
      </c>
      <c r="G439">
        <f>'Actor'!O56</f>
        <v/>
      </c>
      <c r="H439" t="n">
        <v>4</v>
      </c>
      <c r="J439" t="inlineStr">
        <is>
          <t>Sonic the Hedgehog 4 (Mar 19)</t>
        </is>
      </c>
      <c r="K439" t="inlineStr">
        <is>
          <t>C</t>
        </is>
      </c>
      <c r="L439" t="inlineStr">
        <is>
          <t>Wikipedia 'List of American films of 2027' casts (Actions-runner pull 2026-10-08) x comp-based box office/RT estimates; cast lists are billed leads only (cameos not captured)</t>
        </is>
      </c>
      <c r="M439" t="inlineStr">
        <is>
          <t>2026-10-08</t>
        </is>
      </c>
      <c r="N439" t="inlineStr">
        <is>
          <t>late filler</t>
        </is>
      </c>
      <c r="O439">
        <f>'Actor'!Y56</f>
        <v/>
      </c>
    </row>
    <row r="440">
      <c r="A440" t="n">
        <v>439</v>
      </c>
      <c r="B440" t="inlineStr">
        <is>
          <t>Country</t>
        </is>
      </c>
      <c r="C440" t="inlineStr">
        <is>
          <t>United States</t>
        </is>
      </c>
      <c r="D440" s="16" t="inlineStr">
        <is>
          <t>Wu</t>
        </is>
      </c>
      <c r="E440">
        <f>'Country'!M57</f>
        <v/>
      </c>
      <c r="F440">
        <f>'Country'!N57</f>
        <v/>
      </c>
      <c r="G440">
        <f>'Country'!O57</f>
        <v/>
      </c>
      <c r="H440" t="n">
        <v>4</v>
      </c>
      <c r="I440" t="inlineStr">
        <is>
          <t>IMF Oct-2026 2027: 2.3%</t>
        </is>
      </c>
      <c r="J440" t="inlineStr">
        <is>
          <t>IMF Oct-2026: 2025 2.344, 2026 2.328, 2027 2.293</t>
        </is>
      </c>
      <c r="K440" t="inlineStr">
        <is>
          <t>A</t>
        </is>
      </c>
      <c r="L440" t="inlineStr">
        <is>
          <t>IMF World Economic Outlook, October 2026 (published 2026-10-13), api.imf.org SDMX dataflow IMF.RES/WEO NGDP_RPCH, pulled via Actions runner</t>
        </is>
      </c>
      <c r="M440" t="inlineStr">
        <is>
          <t>2026-10-13</t>
        </is>
      </c>
      <c r="N440" t="inlineStr"/>
      <c r="O440">
        <f>'Country'!Y57</f>
        <v/>
      </c>
    </row>
    <row r="441">
      <c r="A441" t="n">
        <v>440</v>
      </c>
      <c r="B441" t="inlineStr">
        <is>
          <t>Actor</t>
        </is>
      </c>
      <c r="C441" t="inlineStr">
        <is>
          <t>Nick Offerman</t>
        </is>
      </c>
      <c r="D441" t="inlineStr">
        <is>
          <t>— free</t>
        </is>
      </c>
      <c r="E441">
        <f>'Actor'!M57</f>
        <v/>
      </c>
      <c r="F441">
        <f>'Actor'!N57</f>
        <v/>
      </c>
      <c r="G441">
        <f>'Actor'!O57</f>
        <v/>
      </c>
      <c r="H441" t="n">
        <v>4</v>
      </c>
      <c r="J441" t="inlineStr">
        <is>
          <t>Sonic the Hedgehog 4 (Mar 19)</t>
        </is>
      </c>
      <c r="K441" t="inlineStr">
        <is>
          <t>C</t>
        </is>
      </c>
      <c r="L441" t="inlineStr">
        <is>
          <t>Wikipedia 'List of American films of 2027' casts (Actions-runner pull 2026-10-08) x comp-based box office/RT estimates; cast lists are billed leads only (cameos not captured)</t>
        </is>
      </c>
      <c r="M441" t="inlineStr">
        <is>
          <t>2026-10-08</t>
        </is>
      </c>
      <c r="N441" t="inlineStr">
        <is>
          <t>late filler</t>
        </is>
      </c>
      <c r="O441">
        <f>'Actor'!Y57</f>
        <v/>
      </c>
    </row>
    <row r="442">
      <c r="A442" t="n">
        <v>441</v>
      </c>
      <c r="B442" t="inlineStr">
        <is>
          <t>Actress</t>
        </is>
      </c>
      <c r="C442" t="inlineStr">
        <is>
          <t>Emma Stone</t>
        </is>
      </c>
      <c r="D442" s="16" t="inlineStr">
        <is>
          <t>Jamzee</t>
        </is>
      </c>
      <c r="E442">
        <f>'Actress'!M64</f>
        <v/>
      </c>
      <c r="F442">
        <f>'Actress'!N64</f>
        <v/>
      </c>
      <c r="G442">
        <f>'Actress'!O64</f>
        <v/>
      </c>
      <c r="H442" t="n">
        <v>4</v>
      </c>
      <c r="J442" t="inlineStr">
        <is>
          <t>The Catch (May 21)</t>
        </is>
      </c>
      <c r="K442" t="inlineStr">
        <is>
          <t>C</t>
        </is>
      </c>
      <c r="L442" t="inlineStr">
        <is>
          <t>Wikipedia 'List of American films of 2027' casts (Actions-runner pull 2026-10-08) x comp-based box office/RT estimates; cast lists are billed leads only (cameos not captured)</t>
        </is>
      </c>
      <c r="M442" t="inlineStr">
        <is>
          <t>2026-10-08</t>
        </is>
      </c>
      <c r="N442" t="inlineStr">
        <is>
          <t>late filler</t>
        </is>
      </c>
      <c r="O442">
        <f>'Actress'!Y64</f>
        <v/>
      </c>
    </row>
    <row r="443">
      <c r="A443" t="n">
        <v>442</v>
      </c>
      <c r="B443" t="inlineStr">
        <is>
          <t>Actress</t>
        </is>
      </c>
      <c r="C443" t="inlineStr">
        <is>
          <t>Ashley Padilla</t>
        </is>
      </c>
      <c r="D443" t="inlineStr">
        <is>
          <t>— free</t>
        </is>
      </c>
      <c r="E443">
        <f>'Actress'!M65</f>
        <v/>
      </c>
      <c r="F443">
        <f>'Actress'!N65</f>
        <v/>
      </c>
      <c r="G443">
        <f>'Actress'!O65</f>
        <v/>
      </c>
      <c r="H443" t="n">
        <v>4</v>
      </c>
      <c r="J443" t="inlineStr">
        <is>
          <t>The Catch (May 21)</t>
        </is>
      </c>
      <c r="K443" t="inlineStr">
        <is>
          <t>C</t>
        </is>
      </c>
      <c r="L443" t="inlineStr">
        <is>
          <t>Wikipedia 'List of American films of 2027' casts (Actions-runner pull 2026-10-08) x comp-based box office/RT estimates; cast lists are billed leads only (cameos not captured)</t>
        </is>
      </c>
      <c r="M443" t="inlineStr">
        <is>
          <t>2026-10-08</t>
        </is>
      </c>
      <c r="N443" t="inlineStr">
        <is>
          <t>late filler</t>
        </is>
      </c>
      <c r="O443">
        <f>'Actress'!Y65</f>
        <v/>
      </c>
    </row>
    <row r="444">
      <c r="A444" t="n">
        <v>443</v>
      </c>
      <c r="B444" t="inlineStr">
        <is>
          <t>Actor</t>
        </is>
      </c>
      <c r="C444" t="inlineStr">
        <is>
          <t>James Marsden</t>
        </is>
      </c>
      <c r="D444" t="inlineStr">
        <is>
          <t>— free</t>
        </is>
      </c>
      <c r="E444">
        <f>'Actor'!M58</f>
        <v/>
      </c>
      <c r="F444">
        <f>'Actor'!N58</f>
        <v/>
      </c>
      <c r="G444">
        <f>'Actor'!O58</f>
        <v/>
      </c>
      <c r="H444" t="n">
        <v>4</v>
      </c>
      <c r="J444" t="inlineStr">
        <is>
          <t>Sonic the Hedgehog 4 (Mar 19)</t>
        </is>
      </c>
      <c r="K444" t="inlineStr">
        <is>
          <t>C</t>
        </is>
      </c>
      <c r="L444" t="inlineStr">
        <is>
          <t>Wikipedia 'List of American films of 2027' casts (Actions-runner pull 2026-10-08) x comp-based box office/RT estimates; cast lists are billed leads only (cameos not captured)</t>
        </is>
      </c>
      <c r="M444" t="inlineStr">
        <is>
          <t>2026-10-08</t>
        </is>
      </c>
      <c r="N444" t="inlineStr">
        <is>
          <t>late filler</t>
        </is>
      </c>
      <c r="O444">
        <f>'Actor'!Y58</f>
        <v/>
      </c>
    </row>
    <row r="445">
      <c r="A445" t="n">
        <v>444</v>
      </c>
      <c r="B445" t="inlineStr">
        <is>
          <t>Actor</t>
        </is>
      </c>
      <c r="C445" t="inlineStr">
        <is>
          <t>Ben Kingsley</t>
        </is>
      </c>
      <c r="D445" t="inlineStr">
        <is>
          <t>— free</t>
        </is>
      </c>
      <c r="E445">
        <f>'Actor'!M59</f>
        <v/>
      </c>
      <c r="F445">
        <f>'Actor'!N59</f>
        <v/>
      </c>
      <c r="G445">
        <f>'Actor'!O59</f>
        <v/>
      </c>
      <c r="H445" t="n">
        <v>4</v>
      </c>
      <c r="J445" t="inlineStr">
        <is>
          <t>Sonic the Hedgehog 4 (Mar 19)</t>
        </is>
      </c>
      <c r="K445" t="inlineStr">
        <is>
          <t>C</t>
        </is>
      </c>
      <c r="L445" t="inlineStr">
        <is>
          <t>Wikipedia 'List of American films of 2027' casts (Actions-runner pull 2026-10-08) x comp-based box office/RT estimates; cast lists are billed leads only (cameos not captured)</t>
        </is>
      </c>
      <c r="M445" t="inlineStr">
        <is>
          <t>2026-10-08</t>
        </is>
      </c>
      <c r="N445" t="inlineStr">
        <is>
          <t>late filler</t>
        </is>
      </c>
      <c r="O445">
        <f>'Actor'!Y59</f>
        <v/>
      </c>
    </row>
    <row r="446">
      <c r="A446" t="n">
        <v>445</v>
      </c>
      <c r="B446" t="inlineStr">
        <is>
          <t>Country</t>
        </is>
      </c>
      <c r="C446" t="inlineStr">
        <is>
          <t>Canada</t>
        </is>
      </c>
      <c r="D446" s="16" t="inlineStr">
        <is>
          <t>Buckley</t>
        </is>
      </c>
      <c r="E446">
        <f>'Country'!M58</f>
        <v/>
      </c>
      <c r="F446">
        <f>'Country'!N58</f>
        <v/>
      </c>
      <c r="G446">
        <f>'Country'!O58</f>
        <v/>
      </c>
      <c r="H446" t="n">
        <v>4</v>
      </c>
      <c r="I446" t="inlineStr">
        <is>
          <t>IMF Oct-2026 2027: 1.7%</t>
        </is>
      </c>
      <c r="J446" t="inlineStr">
        <is>
          <t>IMF Oct-2026: 2025 1.853, 2026 1.12, 2027 1.734</t>
        </is>
      </c>
      <c r="K446" t="inlineStr">
        <is>
          <t>A</t>
        </is>
      </c>
      <c r="L446" t="inlineStr">
        <is>
          <t>IMF World Economic Outlook, October 2026 (published 2026-10-13), api.imf.org SDMX dataflow IMF.RES/WEO NGDP_RPCH, pulled via Actions runner</t>
        </is>
      </c>
      <c r="M446" t="inlineStr">
        <is>
          <t>2026-10-13</t>
        </is>
      </c>
      <c r="N446" t="inlineStr"/>
      <c r="O446">
        <f>'Country'!Y58</f>
        <v/>
      </c>
    </row>
    <row r="447">
      <c r="A447" t="n">
        <v>446</v>
      </c>
      <c r="B447" t="inlineStr">
        <is>
          <t>Country</t>
        </is>
      </c>
      <c r="C447" t="inlineStr">
        <is>
          <t>Brazil</t>
        </is>
      </c>
      <c r="D447" s="16" t="inlineStr">
        <is>
          <t>Feder</t>
        </is>
      </c>
      <c r="E447">
        <f>'Country'!M59</f>
        <v/>
      </c>
      <c r="F447">
        <f>'Country'!N59</f>
        <v/>
      </c>
      <c r="G447">
        <f>'Country'!O59</f>
        <v/>
      </c>
      <c r="H447" t="n">
        <v>4</v>
      </c>
      <c r="I447" t="inlineStr">
        <is>
          <t>IMF Oct-2026 2027: 1.9%</t>
        </is>
      </c>
      <c r="J447" t="inlineStr">
        <is>
          <t>IMF Oct-2026: 2025 2.286, 2026 2.182, 2027 1.863</t>
        </is>
      </c>
      <c r="K447" t="inlineStr">
        <is>
          <t>A</t>
        </is>
      </c>
      <c r="L447" t="inlineStr">
        <is>
          <t>IMF World Economic Outlook, October 2026 (published 2026-10-13), api.imf.org SDMX dataflow IMF.RES/WEO NGDP_RPCH, pulled via Actions runner</t>
        </is>
      </c>
      <c r="M447" t="inlineStr">
        <is>
          <t>2026-10-13</t>
        </is>
      </c>
      <c r="N447" t="inlineStr"/>
      <c r="O447">
        <f>'Country'!Y59</f>
        <v/>
      </c>
    </row>
    <row r="448">
      <c r="A448" t="n">
        <v>447</v>
      </c>
      <c r="B448" t="inlineStr">
        <is>
          <t>Actress</t>
        </is>
      </c>
      <c r="C448" t="inlineStr">
        <is>
          <t>Sissy Spacek</t>
        </is>
      </c>
      <c r="D448" t="inlineStr">
        <is>
          <t>— free</t>
        </is>
      </c>
      <c r="E448">
        <f>'Actress'!M66</f>
        <v/>
      </c>
      <c r="F448">
        <f>'Actress'!N66</f>
        <v/>
      </c>
      <c r="G448">
        <f>'Actress'!O66</f>
        <v/>
      </c>
      <c r="H448" t="n">
        <v>4</v>
      </c>
      <c r="J448" t="inlineStr">
        <is>
          <t>The Catch (May 21)</t>
        </is>
      </c>
      <c r="K448" t="inlineStr">
        <is>
          <t>C</t>
        </is>
      </c>
      <c r="L448" t="inlineStr">
        <is>
          <t>Wikipedia 'List of American films of 2027' casts (Actions-runner pull 2026-10-08) x comp-based box office/RT estimates; cast lists are billed leads only (cameos not captured)</t>
        </is>
      </c>
      <c r="M448" t="inlineStr">
        <is>
          <t>2026-10-08</t>
        </is>
      </c>
      <c r="N448" t="inlineStr">
        <is>
          <t>late filler</t>
        </is>
      </c>
      <c r="O448">
        <f>'Actress'!Y66</f>
        <v/>
      </c>
    </row>
    <row r="449">
      <c r="A449" t="n">
        <v>448</v>
      </c>
      <c r="B449" t="inlineStr">
        <is>
          <t>Country</t>
        </is>
      </c>
      <c r="C449" t="inlineStr">
        <is>
          <t>Spain</t>
        </is>
      </c>
      <c r="D449" s="16" t="inlineStr">
        <is>
          <t>Jamzee</t>
        </is>
      </c>
      <c r="E449">
        <f>'Country'!M60</f>
        <v/>
      </c>
      <c r="F449">
        <f>'Country'!N60</f>
        <v/>
      </c>
      <c r="G449">
        <f>'Country'!O60</f>
        <v/>
      </c>
      <c r="H449" t="n">
        <v>4</v>
      </c>
      <c r="I449" t="inlineStr">
        <is>
          <t>IMF Oct-2026 2027: 1.8%</t>
        </is>
      </c>
      <c r="J449" t="inlineStr">
        <is>
          <t>IMF Oct-2026: 2025 2.592, 2026 2.513, 2027 1.797</t>
        </is>
      </c>
      <c r="K449" t="inlineStr">
        <is>
          <t>A</t>
        </is>
      </c>
      <c r="L449" t="inlineStr">
        <is>
          <t>IMF World Economic Outlook, October 2026 (published 2026-10-13), api.imf.org SDMX dataflow IMF.RES/WEO NGDP_RPCH, pulled via Actions runner</t>
        </is>
      </c>
      <c r="M449" t="inlineStr">
        <is>
          <t>2026-10-13</t>
        </is>
      </c>
      <c r="N449" t="inlineStr"/>
      <c r="O449">
        <f>'Country'!Y60</f>
        <v/>
      </c>
    </row>
    <row r="450">
      <c r="A450" t="n">
        <v>449</v>
      </c>
      <c r="B450" t="inlineStr">
        <is>
          <t>Actor</t>
        </is>
      </c>
      <c r="C450" t="inlineStr">
        <is>
          <t>Sam Rockwell</t>
        </is>
      </c>
      <c r="D450" t="inlineStr">
        <is>
          <t>— free</t>
        </is>
      </c>
      <c r="E450">
        <f>'Actor'!M60</f>
        <v/>
      </c>
      <c r="F450">
        <f>'Actor'!N60</f>
        <v/>
      </c>
      <c r="G450">
        <f>'Actor'!O60</f>
        <v/>
      </c>
      <c r="H450" t="n">
        <v>4</v>
      </c>
      <c r="J450" t="inlineStr">
        <is>
          <t>no 2027 film found in Wikipedia's cast lists</t>
        </is>
      </c>
      <c r="K450" t="inlineStr">
        <is>
          <t>C</t>
        </is>
      </c>
      <c r="L450" t="inlineStr">
        <is>
          <t>Wikipedia 'List of American films of 2027' casts (Actions-runner pull 2026-10-08) x comp-based box office/RT estimates; cast lists are billed leads only (cameos not captured)</t>
        </is>
      </c>
      <c r="M450" t="inlineStr">
        <is>
          <t>2026-10-08</t>
        </is>
      </c>
      <c r="N450" t="inlineStr">
        <is>
          <t>late filler</t>
        </is>
      </c>
      <c r="O450">
        <f>'Actor'!Y60</f>
        <v/>
      </c>
    </row>
    <row r="451">
      <c r="A451" t="n">
        <v>450</v>
      </c>
      <c r="B451" t="inlineStr">
        <is>
          <t>Actor</t>
        </is>
      </c>
      <c r="C451" t="inlineStr">
        <is>
          <t>Lee Majdoub</t>
        </is>
      </c>
      <c r="D451" t="inlineStr">
        <is>
          <t>— free</t>
        </is>
      </c>
      <c r="E451">
        <f>'Actor'!M61</f>
        <v/>
      </c>
      <c r="F451">
        <f>'Actor'!N61</f>
        <v/>
      </c>
      <c r="G451">
        <f>'Actor'!O61</f>
        <v/>
      </c>
      <c r="H451" t="n">
        <v>4</v>
      </c>
      <c r="J451" t="inlineStr">
        <is>
          <t>Sonic the Hedgehog 4 (Mar 19)</t>
        </is>
      </c>
      <c r="K451" t="inlineStr">
        <is>
          <t>C</t>
        </is>
      </c>
      <c r="L451" t="inlineStr">
        <is>
          <t>Wikipedia 'List of American films of 2027' casts (Actions-runner pull 2026-10-08) x comp-based box office/RT estimates; cast lists are billed leads only (cameos not captured)</t>
        </is>
      </c>
      <c r="M451" t="inlineStr">
        <is>
          <t>2026-10-08</t>
        </is>
      </c>
      <c r="N451" t="inlineStr">
        <is>
          <t>late filler</t>
        </is>
      </c>
      <c r="O451">
        <f>'Actor'!Y61</f>
        <v/>
      </c>
    </row>
    <row r="452">
      <c r="A452" t="n">
        <v>451</v>
      </c>
      <c r="B452" t="inlineStr">
        <is>
          <t>Actor</t>
        </is>
      </c>
      <c r="C452" t="inlineStr">
        <is>
          <t>Ben Schwartz</t>
        </is>
      </c>
      <c r="D452" t="inlineStr">
        <is>
          <t>— free</t>
        </is>
      </c>
      <c r="E452">
        <f>'Actor'!M62</f>
        <v/>
      </c>
      <c r="F452">
        <f>'Actor'!N62</f>
        <v/>
      </c>
      <c r="G452">
        <f>'Actor'!O62</f>
        <v/>
      </c>
      <c r="H452" t="n">
        <v>4</v>
      </c>
      <c r="J452" t="inlineStr">
        <is>
          <t>Sonic the Hedgehog 4 (Mar 19)</t>
        </is>
      </c>
      <c r="K452" t="inlineStr">
        <is>
          <t>C</t>
        </is>
      </c>
      <c r="L452" t="inlineStr">
        <is>
          <t>Wikipedia 'List of American films of 2027' casts (Actions-runner pull 2026-10-08) x comp-based box office/RT estimates; cast lists are billed leads only (cameos not captured)</t>
        </is>
      </c>
      <c r="M452" t="inlineStr">
        <is>
          <t>2026-10-08</t>
        </is>
      </c>
      <c r="N452" t="inlineStr">
        <is>
          <t>late filler</t>
        </is>
      </c>
      <c r="O452">
        <f>'Actor'!Y62</f>
        <v/>
      </c>
    </row>
    <row r="453">
      <c r="A453" t="n">
        <v>452</v>
      </c>
      <c r="B453" t="inlineStr">
        <is>
          <t>Country</t>
        </is>
      </c>
      <c r="C453" t="inlineStr">
        <is>
          <t>Netherlands</t>
        </is>
      </c>
      <c r="D453" s="16" t="inlineStr">
        <is>
          <t>Tim</t>
        </is>
      </c>
      <c r="E453">
        <f>'Country'!M61</f>
        <v/>
      </c>
      <c r="F453">
        <f>'Country'!N61</f>
        <v/>
      </c>
      <c r="G453">
        <f>'Country'!O61</f>
        <v/>
      </c>
      <c r="H453" t="n">
        <v>4</v>
      </c>
      <c r="I453" t="inlineStr">
        <is>
          <t>IMF Oct-2026 2027: 1.3%</t>
        </is>
      </c>
      <c r="J453" t="inlineStr">
        <is>
          <t>IMF Oct-2026: 2025 1.564, 2026 1.531, 2027 1.318</t>
        </is>
      </c>
      <c r="K453" t="inlineStr">
        <is>
          <t>A</t>
        </is>
      </c>
      <c r="L453" t="inlineStr">
        <is>
          <t>IMF World Economic Outlook, October 2026 (published 2026-10-13), api.imf.org SDMX dataflow IMF.RES/WEO NGDP_RPCH, pulled via Actions runner</t>
        </is>
      </c>
      <c r="M453" t="inlineStr">
        <is>
          <t>2026-10-13</t>
        </is>
      </c>
      <c r="N453" t="inlineStr"/>
      <c r="O453">
        <f>'Country'!Y61</f>
        <v/>
      </c>
    </row>
    <row r="454">
      <c r="A454" t="n">
        <v>453</v>
      </c>
      <c r="B454" t="inlineStr">
        <is>
          <t>Country</t>
        </is>
      </c>
      <c r="C454" t="inlineStr">
        <is>
          <t>Norway</t>
        </is>
      </c>
      <c r="D454" s="16" t="inlineStr">
        <is>
          <t>Fryar</t>
        </is>
      </c>
      <c r="E454">
        <f>'Country'!M62</f>
        <v/>
      </c>
      <c r="F454">
        <f>'Country'!N62</f>
        <v/>
      </c>
      <c r="G454">
        <f>'Country'!O62</f>
        <v/>
      </c>
      <c r="H454" t="n">
        <v>4</v>
      </c>
      <c r="I454" t="inlineStr">
        <is>
          <t>IMF Oct-2026 2027: 1.3%</t>
        </is>
      </c>
      <c r="J454" t="inlineStr">
        <is>
          <t>IMF Oct-2026: 2025 1.058, 2026 1.538, 2027 1.334</t>
        </is>
      </c>
      <c r="K454" t="inlineStr">
        <is>
          <t>A</t>
        </is>
      </c>
      <c r="L454" t="inlineStr">
        <is>
          <t>IMF World Economic Outlook, October 2026 (published 2026-10-13), api.imf.org SDMX dataflow IMF.RES/WEO NGDP_RPCH, pulled via Actions runner</t>
        </is>
      </c>
      <c r="M454" t="inlineStr">
        <is>
          <t>2026-10-13</t>
        </is>
      </c>
      <c r="N454" t="inlineStr"/>
      <c r="O454">
        <f>'Country'!Y62</f>
        <v/>
      </c>
    </row>
    <row r="455">
      <c r="A455" t="n">
        <v>454</v>
      </c>
      <c r="B455" t="inlineStr">
        <is>
          <t>Country</t>
        </is>
      </c>
      <c r="C455" t="inlineStr">
        <is>
          <t>Germany</t>
        </is>
      </c>
      <c r="D455" s="16" t="inlineStr">
        <is>
          <t>Jens</t>
        </is>
      </c>
      <c r="E455">
        <f>'Country'!M63</f>
        <v/>
      </c>
      <c r="F455">
        <f>'Country'!N63</f>
        <v/>
      </c>
      <c r="G455">
        <f>'Country'!O63</f>
        <v/>
      </c>
      <c r="H455" t="n">
        <v>4</v>
      </c>
      <c r="I455" t="inlineStr">
        <is>
          <t>IMF Oct-2026 2027: 1.1%</t>
        </is>
      </c>
      <c r="J455" t="inlineStr">
        <is>
          <t>IMF Oct-2026: 2025 0.229, 2026 1.32, 2027 1.088</t>
        </is>
      </c>
      <c r="K455" t="inlineStr">
        <is>
          <t>A</t>
        </is>
      </c>
      <c r="L455" t="inlineStr">
        <is>
          <t>IMF World Economic Outlook, October 2026 (published 2026-10-13), api.imf.org SDMX dataflow IMF.RES/WEO NGDP_RPCH, pulled via Actions runner</t>
        </is>
      </c>
      <c r="M455" t="inlineStr">
        <is>
          <t>2026-10-13</t>
        </is>
      </c>
      <c r="N455" t="inlineStr"/>
      <c r="O455">
        <f>'Country'!Y63</f>
        <v/>
      </c>
    </row>
    <row r="456">
      <c r="A456" t="n">
        <v>455</v>
      </c>
      <c r="B456" t="inlineStr">
        <is>
          <t>Actress</t>
        </is>
      </c>
      <c r="C456" t="inlineStr">
        <is>
          <t>Tig Notaro</t>
        </is>
      </c>
      <c r="D456" t="inlineStr">
        <is>
          <t>— free</t>
        </is>
      </c>
      <c r="E456">
        <f>'Actress'!M67</f>
        <v/>
      </c>
      <c r="F456">
        <f>'Actress'!N67</f>
        <v/>
      </c>
      <c r="G456">
        <f>'Actress'!O67</f>
        <v/>
      </c>
      <c r="H456" t="n">
        <v>4</v>
      </c>
      <c r="J456" t="inlineStr">
        <is>
          <t>The Comeback King (Feb 5); Beach Read (May 7)</t>
        </is>
      </c>
      <c r="K456" t="inlineStr">
        <is>
          <t>C</t>
        </is>
      </c>
      <c r="L456" t="inlineStr">
        <is>
          <t>Wikipedia 'List of American films of 2027' casts (Actions-runner pull 2026-10-08) x comp-based box office/RT estimates; cast lists are billed leads only (cameos not captured)</t>
        </is>
      </c>
      <c r="M456" t="inlineStr">
        <is>
          <t>2026-10-08</t>
        </is>
      </c>
      <c r="N456" t="inlineStr">
        <is>
          <t>late filler</t>
        </is>
      </c>
      <c r="O456">
        <f>'Actress'!Y67</f>
        <v/>
      </c>
    </row>
    <row r="457">
      <c r="A457" t="n">
        <v>456</v>
      </c>
      <c r="B457" t="inlineStr">
        <is>
          <t>Country</t>
        </is>
      </c>
      <c r="C457" t="inlineStr">
        <is>
          <t>Switzerland</t>
        </is>
      </c>
      <c r="D457" s="16" t="inlineStr">
        <is>
          <t>Theo</t>
        </is>
      </c>
      <c r="E457">
        <f>'Country'!M64</f>
        <v/>
      </c>
      <c r="F457">
        <f>'Country'!N64</f>
        <v/>
      </c>
      <c r="G457">
        <f>'Country'!O64</f>
        <v/>
      </c>
      <c r="H457" t="n">
        <v>4</v>
      </c>
      <c r="I457" t="inlineStr">
        <is>
          <t>IMF Oct-2026 2027: 1.2%</t>
        </is>
      </c>
      <c r="J457" t="inlineStr">
        <is>
          <t>IMF Oct-2026: 2025 1.616, 2026 1.855, 2027 1.208</t>
        </is>
      </c>
      <c r="K457" t="inlineStr">
        <is>
          <t>A</t>
        </is>
      </c>
      <c r="L457" t="inlineStr">
        <is>
          <t>IMF World Economic Outlook, October 2026 (published 2026-10-13), api.imf.org SDMX dataflow IMF.RES/WEO NGDP_RPCH, pulled via Actions runner</t>
        </is>
      </c>
      <c r="M457" t="inlineStr">
        <is>
          <t>2026-10-13</t>
        </is>
      </c>
      <c r="N457" t="inlineStr"/>
      <c r="O457">
        <f>'Country'!Y64</f>
        <v/>
      </c>
    </row>
    <row r="458">
      <c r="A458" t="n">
        <v>457</v>
      </c>
      <c r="B458" t="inlineStr">
        <is>
          <t>Country</t>
        </is>
      </c>
      <c r="C458" t="inlineStr">
        <is>
          <t>France</t>
        </is>
      </c>
      <c r="D458" s="16" t="inlineStr">
        <is>
          <t>Shep</t>
        </is>
      </c>
      <c r="E458">
        <f>'Country'!M65</f>
        <v/>
      </c>
      <c r="F458">
        <f>'Country'!N65</f>
        <v/>
      </c>
      <c r="G458">
        <f>'Country'!O65</f>
        <v/>
      </c>
      <c r="H458" t="n">
        <v>4</v>
      </c>
      <c r="I458" t="inlineStr">
        <is>
          <t>IMF Oct-2026 2027: 0.7%</t>
        </is>
      </c>
      <c r="J458" t="inlineStr">
        <is>
          <t>IMF Oct-2026: 2025 0.89, 2026 0.411, 2027 0.724</t>
        </is>
      </c>
      <c r="K458" t="inlineStr">
        <is>
          <t>A</t>
        </is>
      </c>
      <c r="L458" t="inlineStr">
        <is>
          <t>IMF World Economic Outlook, October 2026 (published 2026-10-13), api.imf.org SDMX dataflow IMF.RES/WEO NGDP_RPCH, pulled via Actions runner</t>
        </is>
      </c>
      <c r="M458" t="inlineStr">
        <is>
          <t>2026-10-13</t>
        </is>
      </c>
      <c r="N458" t="inlineStr"/>
      <c r="O458">
        <f>'Country'!Y65</f>
        <v/>
      </c>
    </row>
    <row r="459">
      <c r="A459" t="n">
        <v>458</v>
      </c>
      <c r="B459" t="inlineStr">
        <is>
          <t>NHL</t>
        </is>
      </c>
      <c r="C459" t="inlineStr">
        <is>
          <t>St. Louis Blues</t>
        </is>
      </c>
      <c r="D459" t="inlineStr">
        <is>
          <t>— free</t>
        </is>
      </c>
      <c r="E459">
        <f>'NHL'!M26</f>
        <v/>
      </c>
      <c r="F459">
        <f>'NHL'!N26</f>
        <v/>
      </c>
      <c r="G459">
        <f>'NHL'!O26</f>
        <v/>
      </c>
      <c r="H459" t="n">
        <v>4</v>
      </c>
      <c r="I459" t="inlineStr">
        <is>
          <t>Kalshi +9900</t>
        </is>
      </c>
      <c r="J459" t="inlineStr">
        <is>
          <t>West</t>
        </is>
      </c>
      <c r="K459" t="inlineStr">
        <is>
          <t>A</t>
        </is>
      </c>
      <c r="L459" t="inlineStr">
        <is>
          <t>Kalshi Cup market (~1 month old) normalised; points totals SportsBettingDime | league_sim.py: full-schedule + real playoff bracket Monte Carlo, ratings fitted to Kalshi</t>
        </is>
      </c>
      <c r="M459" t="inlineStr">
        <is>
          <t>2026-10-08</t>
        </is>
      </c>
      <c r="N459" t="inlineStr"/>
      <c r="O459">
        <f>'NHL'!Y26</f>
        <v/>
      </c>
    </row>
    <row r="460">
      <c r="A460" t="n">
        <v>459</v>
      </c>
      <c r="B460" t="inlineStr">
        <is>
          <t>Actress</t>
        </is>
      </c>
      <c r="C460" t="inlineStr">
        <is>
          <t>Madelyn Cline</t>
        </is>
      </c>
      <c r="D460" t="inlineStr">
        <is>
          <t>— free</t>
        </is>
      </c>
      <c r="E460">
        <f>'Actress'!M68</f>
        <v/>
      </c>
      <c r="F460">
        <f>'Actress'!N68</f>
        <v/>
      </c>
      <c r="G460">
        <f>'Actress'!O68</f>
        <v/>
      </c>
      <c r="H460" t="n">
        <v>4</v>
      </c>
      <c r="J460" t="inlineStr">
        <is>
          <t>The Comeback King (Feb 5); Day Drinker (Mar 26)</t>
        </is>
      </c>
      <c r="K460" t="inlineStr">
        <is>
          <t>C</t>
        </is>
      </c>
      <c r="L460" t="inlineStr">
        <is>
          <t>Wikipedia 'List of American films of 2027' casts (Actions-runner pull 2026-10-08) x comp-based box office/RT estimates; cast lists are billed leads only (cameos not captured)</t>
        </is>
      </c>
      <c r="M460" t="inlineStr">
        <is>
          <t>2026-10-08</t>
        </is>
      </c>
      <c r="N460" t="inlineStr">
        <is>
          <t>late filler</t>
        </is>
      </c>
      <c r="O460">
        <f>'Actress'!Y68</f>
        <v/>
      </c>
    </row>
    <row r="461">
      <c r="A461" t="n">
        <v>460</v>
      </c>
      <c r="B461" t="inlineStr">
        <is>
          <t>Golf</t>
        </is>
      </c>
      <c r="C461" t="inlineStr">
        <is>
          <t>Ryan Fox</t>
        </is>
      </c>
      <c r="D461" t="inlineStr">
        <is>
          <t>— free</t>
        </is>
      </c>
      <c r="E461">
        <f>'Golf'!M26</f>
        <v/>
      </c>
      <c r="F461">
        <f>'Golf'!N26</f>
        <v/>
      </c>
      <c r="G461">
        <f>'Golf'!O26</f>
        <v/>
      </c>
      <c r="H461" t="n">
        <v>4</v>
      </c>
      <c r="J461" t="inlineStr">
        <is>
          <t>OWGR 22 (2026-10-08)</t>
        </is>
      </c>
      <c r="K461" t="inlineStr">
        <is>
          <t>C</t>
        </is>
      </c>
      <c r="L461" t="inlineStr">
        <is>
          <t>OWGR rank from league standings pull (A); major-win probabilities = model (rank-weighted share of 4 majors)</t>
        </is>
      </c>
      <c r="M461" t="inlineStr">
        <is>
          <t>2026-10-08</t>
        </is>
      </c>
      <c r="N461" t="inlineStr"/>
      <c r="O461">
        <f>'Golf'!Y26</f>
        <v/>
      </c>
    </row>
    <row r="462">
      <c r="A462" t="n">
        <v>461</v>
      </c>
      <c r="B462" t="inlineStr">
        <is>
          <t>Tennis</t>
        </is>
      </c>
      <c r="C462" t="inlineStr">
        <is>
          <t>Jasmine Paolini</t>
        </is>
      </c>
      <c r="D462" s="16" t="inlineStr">
        <is>
          <t>Jens</t>
        </is>
      </c>
      <c r="E462">
        <f>'Tennis'!M28</f>
        <v/>
      </c>
      <c r="F462">
        <f>'Tennis'!N28</f>
        <v/>
      </c>
      <c r="G462">
        <f>'Tennis'!O28</f>
        <v/>
      </c>
      <c r="H462" t="n">
        <v>4</v>
      </c>
      <c r="J462" t="inlineStr">
        <is>
          <t>owned (Jens); WTA rank not pulled</t>
        </is>
      </c>
      <c r="K462" t="inlineStr">
        <is>
          <t>C</t>
        </is>
      </c>
      <c r="L462" t="inlineStr">
        <is>
          <t>added because a league member currently owns this pick (draft_picks_2026.py); not in the first-pass pool, so figures are placeholders (conf C)</t>
        </is>
      </c>
      <c r="M462" t="inlineStr">
        <is>
          <t>2026-10-08</t>
        </is>
      </c>
      <c r="N462" t="inlineStr"/>
      <c r="O462">
        <f>'Tennis'!Y28</f>
        <v/>
      </c>
    </row>
    <row r="463">
      <c r="A463" t="n">
        <v>462</v>
      </c>
      <c r="B463" t="inlineStr">
        <is>
          <t>Actress</t>
        </is>
      </c>
      <c r="C463" t="inlineStr">
        <is>
          <t>Scarlett Johansson</t>
        </is>
      </c>
      <c r="D463" t="inlineStr">
        <is>
          <t>— free</t>
        </is>
      </c>
      <c r="E463">
        <f>'Actress'!M69</f>
        <v/>
      </c>
      <c r="F463">
        <f>'Actress'!N69</f>
        <v/>
      </c>
      <c r="G463">
        <f>'Actress'!O69</f>
        <v/>
      </c>
      <c r="H463" t="n">
        <v>4</v>
      </c>
      <c r="J463" t="inlineStr">
        <is>
          <t>The Exorcist: Martyrs (Mar 12)</t>
        </is>
      </c>
      <c r="K463" t="inlineStr">
        <is>
          <t>C</t>
        </is>
      </c>
      <c r="L463" t="inlineStr">
        <is>
          <t>Wikipedia 'List of American films of 2027' casts (Actions-runner pull 2026-10-08) x comp-based box office/RT estimates; cast lists are billed leads only (cameos not captured)</t>
        </is>
      </c>
      <c r="M463" t="inlineStr">
        <is>
          <t>2026-10-08</t>
        </is>
      </c>
      <c r="N463" t="inlineStr">
        <is>
          <t>late filler</t>
        </is>
      </c>
      <c r="O463">
        <f>'Actress'!Y69</f>
        <v/>
      </c>
    </row>
    <row r="464">
      <c r="A464" t="n">
        <v>463</v>
      </c>
      <c r="B464" t="inlineStr">
        <is>
          <t>Actress</t>
        </is>
      </c>
      <c r="C464" t="inlineStr">
        <is>
          <t>Jenna Ortega</t>
        </is>
      </c>
      <c r="D464" t="inlineStr">
        <is>
          <t>— free</t>
        </is>
      </c>
      <c r="E464">
        <f>'Actress'!M70</f>
        <v/>
      </c>
      <c r="F464">
        <f>'Actress'!N70</f>
        <v/>
      </c>
      <c r="G464">
        <f>'Actress'!O70</f>
        <v/>
      </c>
      <c r="H464" t="n">
        <v>4</v>
      </c>
      <c r="J464" t="inlineStr">
        <is>
          <t>The Great Beyond (Oct 1)</t>
        </is>
      </c>
      <c r="K464" t="inlineStr">
        <is>
          <t>C</t>
        </is>
      </c>
      <c r="L464" t="inlineStr">
        <is>
          <t>Wikipedia 'List of American films of 2027' casts (Actions-runner pull 2026-10-08) x comp-based box office/RT estimates; cast lists are billed leads only (cameos not captured)</t>
        </is>
      </c>
      <c r="M464" t="inlineStr">
        <is>
          <t>2026-10-08</t>
        </is>
      </c>
      <c r="N464" t="inlineStr">
        <is>
          <t>late filler</t>
        </is>
      </c>
      <c r="O464">
        <f>'Actress'!Y70</f>
        <v/>
      </c>
    </row>
    <row r="465">
      <c r="A465" t="n">
        <v>464</v>
      </c>
      <c r="B465" t="inlineStr">
        <is>
          <t>Actress</t>
        </is>
      </c>
      <c r="C465" t="inlineStr">
        <is>
          <t>Sasha Calle</t>
        </is>
      </c>
      <c r="D465" t="inlineStr">
        <is>
          <t>— free</t>
        </is>
      </c>
      <c r="E465">
        <f>'Actress'!M71</f>
        <v/>
      </c>
      <c r="F465">
        <f>'Actress'!N71</f>
        <v/>
      </c>
      <c r="G465">
        <f>'Actress'!O71</f>
        <v/>
      </c>
      <c r="H465" t="n">
        <v>4</v>
      </c>
      <c r="J465" t="inlineStr">
        <is>
          <t>The Exorcist: Martyrs (Mar 12)</t>
        </is>
      </c>
      <c r="K465" t="inlineStr">
        <is>
          <t>C</t>
        </is>
      </c>
      <c r="L465" t="inlineStr">
        <is>
          <t>Wikipedia 'List of American films of 2027' casts (Actions-runner pull 2026-10-08) x comp-based box office/RT estimates; cast lists are billed leads only (cameos not captured)</t>
        </is>
      </c>
      <c r="M465" t="inlineStr">
        <is>
          <t>2026-10-08</t>
        </is>
      </c>
      <c r="N465" t="inlineStr">
        <is>
          <t>late filler</t>
        </is>
      </c>
      <c r="O465">
        <f>'Actress'!Y71</f>
        <v/>
      </c>
    </row>
    <row r="466">
      <c r="A466" t="n">
        <v>465</v>
      </c>
      <c r="B466" t="inlineStr">
        <is>
          <t>Actor</t>
        </is>
      </c>
      <c r="C466" t="inlineStr">
        <is>
          <t>Jason Momoa</t>
        </is>
      </c>
      <c r="D466" t="inlineStr">
        <is>
          <t>— free</t>
        </is>
      </c>
      <c r="E466">
        <f>'Actor'!M63</f>
        <v/>
      </c>
      <c r="F466">
        <f>'Actor'!N63</f>
        <v/>
      </c>
      <c r="G466">
        <f>'Actor'!O63</f>
        <v/>
      </c>
      <c r="H466" t="n">
        <v>4</v>
      </c>
      <c r="J466" t="inlineStr">
        <is>
          <t>A Minecraft Movie Squared (Jul 23); Animal Friends (Jan 22)</t>
        </is>
      </c>
      <c r="K466" t="inlineStr">
        <is>
          <t>C</t>
        </is>
      </c>
      <c r="L466" t="inlineStr">
        <is>
          <t>Wikipedia 'List of American films of 2027' casts (Actions-runner pull 2026-10-08) x comp-based box office/RT estimates; cast lists are billed leads only (cameos not captured)</t>
        </is>
      </c>
      <c r="M466" t="inlineStr">
        <is>
          <t>2026-10-08</t>
        </is>
      </c>
      <c r="N466" t="inlineStr">
        <is>
          <t>late filler</t>
        </is>
      </c>
      <c r="O466">
        <f>'Actor'!Y63</f>
        <v/>
      </c>
    </row>
    <row r="467">
      <c r="A467" t="n">
        <v>466</v>
      </c>
      <c r="B467" t="inlineStr">
        <is>
          <t>Actress</t>
        </is>
      </c>
      <c r="C467" t="inlineStr">
        <is>
          <t>Merritt Wever</t>
        </is>
      </c>
      <c r="D467" t="inlineStr">
        <is>
          <t>— free</t>
        </is>
      </c>
      <c r="E467">
        <f>'Actress'!M72</f>
        <v/>
      </c>
      <c r="F467">
        <f>'Actress'!N72</f>
        <v/>
      </c>
      <c r="G467">
        <f>'Actress'!O72</f>
        <v/>
      </c>
      <c r="H467" t="n">
        <v>4</v>
      </c>
      <c r="J467" t="inlineStr">
        <is>
          <t>The Great Beyond (Oct 1)</t>
        </is>
      </c>
      <c r="K467" t="inlineStr">
        <is>
          <t>C</t>
        </is>
      </c>
      <c r="L467" t="inlineStr">
        <is>
          <t>Wikipedia 'List of American films of 2027' casts (Actions-runner pull 2026-10-08) x comp-based box office/RT estimates; cast lists are billed leads only (cameos not captured)</t>
        </is>
      </c>
      <c r="M467" t="inlineStr">
        <is>
          <t>2026-10-08</t>
        </is>
      </c>
      <c r="N467" t="inlineStr">
        <is>
          <t>late filler</t>
        </is>
      </c>
      <c r="O467">
        <f>'Actress'!Y72</f>
        <v/>
      </c>
    </row>
    <row r="468">
      <c r="A468" t="n">
        <v>467</v>
      </c>
      <c r="B468" t="inlineStr">
        <is>
          <t>Actress</t>
        </is>
      </c>
      <c r="C468" t="inlineStr">
        <is>
          <t>Sophie Okonedo</t>
        </is>
      </c>
      <c r="D468" t="inlineStr">
        <is>
          <t>— free</t>
        </is>
      </c>
      <c r="E468">
        <f>'Actress'!M73</f>
        <v/>
      </c>
      <c r="F468">
        <f>'Actress'!N73</f>
        <v/>
      </c>
      <c r="G468">
        <f>'Actress'!O73</f>
        <v/>
      </c>
      <c r="H468" t="n">
        <v>4</v>
      </c>
      <c r="J468" t="inlineStr">
        <is>
          <t>The Great Beyond (Oct 1)</t>
        </is>
      </c>
      <c r="K468" t="inlineStr">
        <is>
          <t>C</t>
        </is>
      </c>
      <c r="L468" t="inlineStr">
        <is>
          <t>Wikipedia 'List of American films of 2027' casts (Actions-runner pull 2026-10-08) x comp-based box office/RT estimates; cast lists are billed leads only (cameos not captured)</t>
        </is>
      </c>
      <c r="M468" t="inlineStr">
        <is>
          <t>2026-10-08</t>
        </is>
      </c>
      <c r="N468" t="inlineStr">
        <is>
          <t>late filler</t>
        </is>
      </c>
      <c r="O468">
        <f>'Actress'!Y73</f>
        <v/>
      </c>
    </row>
    <row r="469">
      <c r="A469" t="n">
        <v>468</v>
      </c>
      <c r="B469" t="inlineStr">
        <is>
          <t>Actress</t>
        </is>
      </c>
      <c r="C469" t="inlineStr">
        <is>
          <t>Rachel Weisz</t>
        </is>
      </c>
      <c r="D469" t="inlineStr">
        <is>
          <t>— free</t>
        </is>
      </c>
      <c r="E469">
        <f>'Actress'!M74</f>
        <v/>
      </c>
      <c r="F469">
        <f>'Actress'!N74</f>
        <v/>
      </c>
      <c r="G469">
        <f>'Actress'!O74</f>
        <v/>
      </c>
      <c r="H469" t="n">
        <v>4</v>
      </c>
      <c r="J469" t="inlineStr">
        <is>
          <t>Untitled The Mummy Returns sequel (Oct 15)</t>
        </is>
      </c>
      <c r="K469" t="inlineStr">
        <is>
          <t>C</t>
        </is>
      </c>
      <c r="L469" t="inlineStr">
        <is>
          <t>Wikipedia 'List of American films of 2027' casts (Actions-runner pull 2026-10-08) x comp-based box office/RT estimates; cast lists are billed leads only (cameos not captured)</t>
        </is>
      </c>
      <c r="M469" t="inlineStr">
        <is>
          <t>2026-10-08</t>
        </is>
      </c>
      <c r="N469" t="inlineStr">
        <is>
          <t>late filler</t>
        </is>
      </c>
      <c r="O469">
        <f>'Actress'!Y74</f>
        <v/>
      </c>
    </row>
    <row r="470">
      <c r="A470" t="n">
        <v>469</v>
      </c>
      <c r="B470" t="inlineStr">
        <is>
          <t>Tennis</t>
        </is>
      </c>
      <c r="C470" t="inlineStr">
        <is>
          <t>Madison Keys</t>
        </is>
      </c>
      <c r="D470" s="16" t="inlineStr">
        <is>
          <t>Tim</t>
        </is>
      </c>
      <c r="E470">
        <f>'Tennis'!M29</f>
        <v/>
      </c>
      <c r="F470">
        <f>'Tennis'!N29</f>
        <v/>
      </c>
      <c r="G470">
        <f>'Tennis'!O29</f>
        <v/>
      </c>
      <c r="H470" t="n">
        <v>4</v>
      </c>
      <c r="J470" t="inlineStr">
        <is>
          <t>owned (Tim); WTA rank not pulled</t>
        </is>
      </c>
      <c r="K470" t="inlineStr">
        <is>
          <t>C</t>
        </is>
      </c>
      <c r="L470" t="inlineStr">
        <is>
          <t>added because a league member currently owns this pick (draft_picks_2026.py); not in the first-pass pool, so figures are placeholders (conf C)</t>
        </is>
      </c>
      <c r="M470" t="inlineStr">
        <is>
          <t>2026-10-08</t>
        </is>
      </c>
      <c r="N470" t="inlineStr"/>
      <c r="O470">
        <f>'Tennis'!Y29</f>
        <v/>
      </c>
    </row>
    <row r="471">
      <c r="A471" t="n">
        <v>470</v>
      </c>
      <c r="B471" t="inlineStr">
        <is>
          <t>Actress</t>
        </is>
      </c>
      <c r="C471" t="inlineStr">
        <is>
          <t>Lily Gladstone</t>
        </is>
      </c>
      <c r="D471" t="inlineStr">
        <is>
          <t>— free</t>
        </is>
      </c>
      <c r="E471">
        <f>'Actress'!M75</f>
        <v/>
      </c>
      <c r="F471">
        <f>'Actress'!N75</f>
        <v/>
      </c>
      <c r="G471">
        <f>'Actress'!O75</f>
        <v/>
      </c>
      <c r="H471" t="n">
        <v>4</v>
      </c>
      <c r="J471" t="inlineStr">
        <is>
          <t>The Thomas Crown Affair (Mar 5)</t>
        </is>
      </c>
      <c r="K471" t="inlineStr">
        <is>
          <t>C</t>
        </is>
      </c>
      <c r="L471" t="inlineStr">
        <is>
          <t>Wikipedia 'List of American films of 2027' casts (Actions-runner pull 2026-10-08) x comp-based box office/RT estimates; cast lists are billed leads only (cameos not captured)</t>
        </is>
      </c>
      <c r="M471" t="inlineStr">
        <is>
          <t>2026-10-08</t>
        </is>
      </c>
      <c r="N471" t="inlineStr">
        <is>
          <t>late filler</t>
        </is>
      </c>
      <c r="O471">
        <f>'Actress'!Y75</f>
        <v/>
      </c>
    </row>
    <row r="472">
      <c r="A472" t="n">
        <v>471</v>
      </c>
      <c r="B472" t="inlineStr">
        <is>
          <t>Actress</t>
        </is>
      </c>
      <c r="C472" t="inlineStr">
        <is>
          <t>Danai Gurira</t>
        </is>
      </c>
      <c r="D472" t="inlineStr">
        <is>
          <t>— free</t>
        </is>
      </c>
      <c r="E472">
        <f>'Actress'!M76</f>
        <v/>
      </c>
      <c r="F472">
        <f>'Actress'!N76</f>
        <v/>
      </c>
      <c r="G472">
        <f>'Actress'!O76</f>
        <v/>
      </c>
      <c r="H472" t="n">
        <v>4</v>
      </c>
      <c r="J472" t="inlineStr">
        <is>
          <t>The Thomas Crown Affair (Mar 5)</t>
        </is>
      </c>
      <c r="K472" t="inlineStr">
        <is>
          <t>C</t>
        </is>
      </c>
      <c r="L472" t="inlineStr">
        <is>
          <t>Wikipedia 'List of American films of 2027' casts (Actions-runner pull 2026-10-08) x comp-based box office/RT estimates; cast lists are billed leads only (cameos not captured)</t>
        </is>
      </c>
      <c r="M472" t="inlineStr">
        <is>
          <t>2026-10-08</t>
        </is>
      </c>
      <c r="N472" t="inlineStr">
        <is>
          <t>late filler</t>
        </is>
      </c>
      <c r="O472">
        <f>'Actress'!Y76</f>
        <v/>
      </c>
    </row>
    <row r="473">
      <c r="A473" t="n">
        <v>472</v>
      </c>
      <c r="B473" t="inlineStr">
        <is>
          <t>Actress</t>
        </is>
      </c>
      <c r="C473" t="inlineStr">
        <is>
          <t>Yara Shahidi</t>
        </is>
      </c>
      <c r="D473" t="inlineStr">
        <is>
          <t>— free</t>
        </is>
      </c>
      <c r="E473">
        <f>'Actress'!M77</f>
        <v/>
      </c>
      <c r="F473">
        <f>'Actress'!N77</f>
        <v/>
      </c>
      <c r="G473">
        <f>'Actress'!O77</f>
        <v/>
      </c>
      <c r="H473" t="n">
        <v>4</v>
      </c>
      <c r="J473" t="inlineStr">
        <is>
          <t>The Beekeeper 2 (Jan 15)</t>
        </is>
      </c>
      <c r="K473" t="inlineStr">
        <is>
          <t>C</t>
        </is>
      </c>
      <c r="L473" t="inlineStr">
        <is>
          <t>Wikipedia 'List of American films of 2027' casts (Actions-runner pull 2026-10-08) x comp-based box office/RT estimates; cast lists are billed leads only (cameos not captured)</t>
        </is>
      </c>
      <c r="M473" t="inlineStr">
        <is>
          <t>2026-10-08</t>
        </is>
      </c>
      <c r="N473" t="inlineStr">
        <is>
          <t>late filler</t>
        </is>
      </c>
      <c r="O473">
        <f>'Actress'!Y77</f>
        <v/>
      </c>
    </row>
    <row r="474">
      <c r="A474" t="n">
        <v>473</v>
      </c>
      <c r="B474" t="inlineStr">
        <is>
          <t>NCAAB</t>
        </is>
      </c>
      <c r="C474" t="inlineStr">
        <is>
          <t>Missouri</t>
        </is>
      </c>
      <c r="D474" t="inlineStr">
        <is>
          <t>— free</t>
        </is>
      </c>
      <c r="E474">
        <f>'NCAAB'!M33</f>
        <v/>
      </c>
      <c r="F474">
        <f>'NCAAB'!N33</f>
        <v/>
      </c>
      <c r="G474">
        <f>'NCAAB'!O33</f>
        <v/>
      </c>
      <c r="H474" t="n">
        <v>4</v>
      </c>
      <c r="J474" t="inlineStr"/>
      <c r="K474" t="inlineStr">
        <is>
          <t>C</t>
        </is>
      </c>
      <c r="L474" t="inlineStr">
        <is>
          <t>estimate</t>
        </is>
      </c>
      <c r="M474" t="inlineStr">
        <is>
          <t>2026-10-08</t>
        </is>
      </c>
      <c r="N474" t="inlineStr">
        <is>
          <t>low confidence: far-out event</t>
        </is>
      </c>
      <c r="O474">
        <f>'NCAAB'!Y33</f>
        <v/>
      </c>
    </row>
    <row r="475">
      <c r="A475" t="n">
        <v>474</v>
      </c>
      <c r="B475" t="inlineStr">
        <is>
          <t>NCAAB</t>
        </is>
      </c>
      <c r="C475" t="inlineStr">
        <is>
          <t>UCLA</t>
        </is>
      </c>
      <c r="D475" s="16" t="inlineStr">
        <is>
          <t>Todd</t>
        </is>
      </c>
      <c r="E475">
        <f>'NCAAB'!M34</f>
        <v/>
      </c>
      <c r="F475">
        <f>'NCAAB'!N34</f>
        <v/>
      </c>
      <c r="G475">
        <f>'NCAAB'!O34</f>
        <v/>
      </c>
      <c r="H475" t="n">
        <v>4</v>
      </c>
      <c r="J475" t="inlineStr">
        <is>
          <t>owned (Todd)</t>
        </is>
      </c>
      <c r="K475" t="inlineStr">
        <is>
          <t>C</t>
        </is>
      </c>
      <c r="L475" t="inlineStr">
        <is>
          <t>added because a league member currently owns this pick (draft_picks_2026.py); not in the first-pass pool, so figures are placeholders (conf C)</t>
        </is>
      </c>
      <c r="M475" t="inlineStr">
        <is>
          <t>2026-10-08</t>
        </is>
      </c>
      <c r="N475" t="inlineStr">
        <is>
          <t>low confidence: far-out event</t>
        </is>
      </c>
      <c r="O475">
        <f>'NCAAB'!Y34</f>
        <v/>
      </c>
    </row>
    <row r="476">
      <c r="A476" t="n">
        <v>475</v>
      </c>
      <c r="B476" t="inlineStr">
        <is>
          <t>Actress</t>
        </is>
      </c>
      <c r="C476" t="inlineStr">
        <is>
          <t>Vanessa Bayer</t>
        </is>
      </c>
      <c r="D476" t="inlineStr">
        <is>
          <t>— free</t>
        </is>
      </c>
      <c r="E476">
        <f>'Actress'!M78</f>
        <v/>
      </c>
      <c r="F476">
        <f>'Actress'!N78</f>
        <v/>
      </c>
      <c r="G476">
        <f>'Actress'!O78</f>
        <v/>
      </c>
      <c r="H476" t="n">
        <v>4</v>
      </c>
      <c r="J476" t="inlineStr">
        <is>
          <t>The Comeback King (Feb 5)</t>
        </is>
      </c>
      <c r="K476" t="inlineStr">
        <is>
          <t>C</t>
        </is>
      </c>
      <c r="L476" t="inlineStr">
        <is>
          <t>Wikipedia 'List of American films of 2027' casts (Actions-runner pull 2026-10-08) x comp-based box office/RT estimates; cast lists are billed leads only (cameos not captured)</t>
        </is>
      </c>
      <c r="M476" t="inlineStr">
        <is>
          <t>2026-10-08</t>
        </is>
      </c>
      <c r="N476" t="inlineStr">
        <is>
          <t>late filler</t>
        </is>
      </c>
      <c r="O476">
        <f>'Actress'!Y78</f>
        <v/>
      </c>
    </row>
    <row r="477">
      <c r="A477" t="n">
        <v>476</v>
      </c>
      <c r="B477" t="inlineStr">
        <is>
          <t>Actress</t>
        </is>
      </c>
      <c r="C477" t="inlineStr">
        <is>
          <t>Phoebe Dynevor</t>
        </is>
      </c>
      <c r="D477" t="inlineStr">
        <is>
          <t>— free</t>
        </is>
      </c>
      <c r="E477">
        <f>'Actress'!M79</f>
        <v/>
      </c>
      <c r="F477">
        <f>'Actress'!N79</f>
        <v/>
      </c>
      <c r="G477">
        <f>'Actress'!O79</f>
        <v/>
      </c>
      <c r="H477" t="n">
        <v>4</v>
      </c>
      <c r="J477" t="inlineStr">
        <is>
          <t>Remain (Feb 5); Beach Read (May 7); Pendulum (Jan 1)</t>
        </is>
      </c>
      <c r="K477" t="inlineStr">
        <is>
          <t>C</t>
        </is>
      </c>
      <c r="L477" t="inlineStr">
        <is>
          <t>Wikipedia 'List of American films of 2027' casts (Actions-runner pull 2026-10-08) x comp-based box office/RT estimates; cast lists are billed leads only (cameos not captured)</t>
        </is>
      </c>
      <c r="M477" t="inlineStr">
        <is>
          <t>2026-10-08</t>
        </is>
      </c>
      <c r="N477" t="inlineStr">
        <is>
          <t>late filler</t>
        </is>
      </c>
      <c r="O477">
        <f>'Actress'!Y79</f>
        <v/>
      </c>
    </row>
    <row r="478">
      <c r="A478" t="n">
        <v>477</v>
      </c>
      <c r="B478" t="inlineStr">
        <is>
          <t>Actress</t>
        </is>
      </c>
      <c r="C478" t="inlineStr">
        <is>
          <t>Pom Klementieff</t>
        </is>
      </c>
      <c r="D478" t="inlineStr">
        <is>
          <t>— free</t>
        </is>
      </c>
      <c r="E478">
        <f>'Actress'!M80</f>
        <v/>
      </c>
      <c r="F478">
        <f>'Actress'!N80</f>
        <v/>
      </c>
      <c r="G478">
        <f>'Actress'!O80</f>
        <v/>
      </c>
      <c r="H478" t="n">
        <v>4</v>
      </c>
      <c r="J478" t="inlineStr">
        <is>
          <t>The Beekeeper 2 (Jan 15)</t>
        </is>
      </c>
      <c r="K478" t="inlineStr">
        <is>
          <t>C</t>
        </is>
      </c>
      <c r="L478" t="inlineStr">
        <is>
          <t>Wikipedia 'List of American films of 2027' casts (Actions-runner pull 2026-10-08) x comp-based box office/RT estimates; cast lists are billed leads only (cameos not captured)</t>
        </is>
      </c>
      <c r="M478" t="inlineStr">
        <is>
          <t>2026-10-08</t>
        </is>
      </c>
      <c r="N478" t="inlineStr">
        <is>
          <t>late filler</t>
        </is>
      </c>
      <c r="O478">
        <f>'Actress'!Y80</f>
        <v/>
      </c>
    </row>
    <row r="479">
      <c r="A479" t="n">
        <v>478</v>
      </c>
      <c r="B479" t="inlineStr">
        <is>
          <t>Actress</t>
        </is>
      </c>
      <c r="C479" t="inlineStr">
        <is>
          <t>Emmy Raver-Lampman</t>
        </is>
      </c>
      <c r="D479" t="inlineStr">
        <is>
          <t>— free</t>
        </is>
      </c>
      <c r="E479">
        <f>'Actress'!M81</f>
        <v/>
      </c>
      <c r="F479">
        <f>'Actress'!N81</f>
        <v/>
      </c>
      <c r="G479">
        <f>'Actress'!O81</f>
        <v/>
      </c>
      <c r="H479" t="n">
        <v>4</v>
      </c>
      <c r="J479" t="inlineStr">
        <is>
          <t>The Beekeeper 2 (Jan 15)</t>
        </is>
      </c>
      <c r="K479" t="inlineStr">
        <is>
          <t>C</t>
        </is>
      </c>
      <c r="L479" t="inlineStr">
        <is>
          <t>Wikipedia 'List of American films of 2027' casts (Actions-runner pull 2026-10-08) x comp-based box office/RT estimates; cast lists are billed leads only (cameos not captured)</t>
        </is>
      </c>
      <c r="M479" t="inlineStr">
        <is>
          <t>2026-10-08</t>
        </is>
      </c>
      <c r="N479" t="inlineStr">
        <is>
          <t>late filler</t>
        </is>
      </c>
      <c r="O479">
        <f>'Actress'!Y81</f>
        <v/>
      </c>
    </row>
    <row r="480">
      <c r="A480" t="n">
        <v>479</v>
      </c>
      <c r="B480" t="inlineStr">
        <is>
          <t>Actress</t>
        </is>
      </c>
      <c r="C480" t="inlineStr">
        <is>
          <t>Brittany Snow</t>
        </is>
      </c>
      <c r="D480" t="inlineStr">
        <is>
          <t>— free</t>
        </is>
      </c>
      <c r="E480">
        <f>'Actress'!M82</f>
        <v/>
      </c>
      <c r="F480">
        <f>'Actress'!N82</f>
        <v/>
      </c>
      <c r="G480">
        <f>'Actress'!O82</f>
        <v/>
      </c>
      <c r="H480" t="n">
        <v>4</v>
      </c>
      <c r="J480" t="inlineStr">
        <is>
          <t>The Housemaid's Secret (Dec 17)</t>
        </is>
      </c>
      <c r="K480" t="inlineStr">
        <is>
          <t>C</t>
        </is>
      </c>
      <c r="L480" t="inlineStr">
        <is>
          <t>Wikipedia 'List of American films of 2027' casts (Actions-runner pull 2026-10-08) x comp-based box office/RT estimates; cast lists are billed leads only (cameos not captured)</t>
        </is>
      </c>
      <c r="M480" t="inlineStr">
        <is>
          <t>2026-10-08</t>
        </is>
      </c>
      <c r="N480" t="inlineStr">
        <is>
          <t>late filler</t>
        </is>
      </c>
      <c r="O480">
        <f>'Actress'!Y82</f>
        <v/>
      </c>
    </row>
    <row r="481">
      <c r="A481" t="n">
        <v>480</v>
      </c>
      <c r="B481" t="inlineStr">
        <is>
          <t>Actress</t>
        </is>
      </c>
      <c r="C481" t="inlineStr">
        <is>
          <t>Cristin Milioti</t>
        </is>
      </c>
      <c r="D481" t="inlineStr">
        <is>
          <t>— free</t>
        </is>
      </c>
      <c r="E481">
        <f>'Actress'!M83</f>
        <v/>
      </c>
      <c r="F481">
        <f>'Actress'!N83</f>
        <v/>
      </c>
      <c r="G481">
        <f>'Actress'!O83</f>
        <v/>
      </c>
      <c r="H481" t="n">
        <v>4</v>
      </c>
      <c r="J481" t="inlineStr">
        <is>
          <t>The Comeback King (Feb 5)</t>
        </is>
      </c>
      <c r="K481" t="inlineStr">
        <is>
          <t>C</t>
        </is>
      </c>
      <c r="L481" t="inlineStr">
        <is>
          <t>Wikipedia 'List of American films of 2027' casts (Actions-runner pull 2026-10-08) x comp-based box office/RT estimates; cast lists are billed leads only (cameos not captured)</t>
        </is>
      </c>
      <c r="M481" t="inlineStr">
        <is>
          <t>2026-10-08</t>
        </is>
      </c>
      <c r="N481" t="inlineStr">
        <is>
          <t>late filler</t>
        </is>
      </c>
      <c r="O481">
        <f>'Actress'!Y83</f>
        <v/>
      </c>
    </row>
    <row r="482">
      <c r="A482" t="n">
        <v>481</v>
      </c>
      <c r="B482" t="inlineStr">
        <is>
          <t>Actress</t>
        </is>
      </c>
      <c r="C482" t="inlineStr">
        <is>
          <t>Sydney Sweeney</t>
        </is>
      </c>
      <c r="D482" s="16" t="inlineStr">
        <is>
          <t>Theo</t>
        </is>
      </c>
      <c r="E482">
        <f>'Actress'!M84</f>
        <v/>
      </c>
      <c r="F482">
        <f>'Actress'!N84</f>
        <v/>
      </c>
      <c r="G482">
        <f>'Actress'!O84</f>
        <v/>
      </c>
      <c r="H482" t="n">
        <v>4</v>
      </c>
      <c r="J482" t="inlineStr">
        <is>
          <t>The Housemaid's Secret (Dec 17)</t>
        </is>
      </c>
      <c r="K482" t="inlineStr">
        <is>
          <t>C</t>
        </is>
      </c>
      <c r="L482" t="inlineStr">
        <is>
          <t>Wikipedia 'List of American films of 2027' casts (Actions-runner pull 2026-10-08) x comp-based box office/RT estimates; cast lists are billed leads only (cameos not captured)</t>
        </is>
      </c>
      <c r="M482" t="inlineStr">
        <is>
          <t>2026-10-08</t>
        </is>
      </c>
      <c r="N482" t="inlineStr">
        <is>
          <t>late filler</t>
        </is>
      </c>
      <c r="O482">
        <f>'Actress'!Y84</f>
        <v/>
      </c>
    </row>
    <row r="483">
      <c r="A483" t="n">
        <v>482</v>
      </c>
      <c r="B483" t="inlineStr">
        <is>
          <t>Actor</t>
        </is>
      </c>
      <c r="C483" t="inlineStr">
        <is>
          <t>Pedro Pascal</t>
        </is>
      </c>
      <c r="D483" s="16" t="inlineStr">
        <is>
          <t>Mitchell</t>
        </is>
      </c>
      <c r="E483">
        <f>'Actor'!M64</f>
        <v/>
      </c>
      <c r="F483">
        <f>'Actor'!N64</f>
        <v/>
      </c>
      <c r="G483">
        <f>'Actor'!O64</f>
        <v/>
      </c>
      <c r="H483" t="n">
        <v>4</v>
      </c>
      <c r="J483" t="inlineStr">
        <is>
          <t>Avengers: Secret Wars (Dec 17)</t>
        </is>
      </c>
      <c r="K483" t="inlineStr">
        <is>
          <t>C</t>
        </is>
      </c>
      <c r="L483" t="inlineStr">
        <is>
          <t>Wikipedia 'List of American films of 2027' casts (Actions-runner pull 2026-10-08) x comp-based box office/RT estimates; cast lists are billed leads only (cameos not captured)</t>
        </is>
      </c>
      <c r="M483" t="inlineStr">
        <is>
          <t>2026-10-08</t>
        </is>
      </c>
      <c r="N483" t="inlineStr">
        <is>
          <t>late filler</t>
        </is>
      </c>
      <c r="O483">
        <f>'Actor'!Y64</f>
        <v/>
      </c>
    </row>
    <row r="484">
      <c r="A484" t="n">
        <v>483</v>
      </c>
      <c r="B484" t="inlineStr">
        <is>
          <t>NFL</t>
        </is>
      </c>
      <c r="C484" t="inlineStr">
        <is>
          <t>New York Giants</t>
        </is>
      </c>
      <c r="D484" t="inlineStr">
        <is>
          <t>— free</t>
        </is>
      </c>
      <c r="E484">
        <f>'NFL'!M24</f>
        <v/>
      </c>
      <c r="F484">
        <f>'NFL'!N24</f>
        <v/>
      </c>
      <c r="G484">
        <f>'NFL'!O24</f>
        <v/>
      </c>
      <c r="H484" t="n">
        <v>4</v>
      </c>
      <c r="I484" t="inlineStr">
        <is>
          <t>+15000 (stale?)</t>
        </is>
      </c>
      <c r="J484" t="inlineStr">
        <is>
          <t>3-1, NFC East</t>
        </is>
      </c>
      <c r="K484" t="inlineStr">
        <is>
          <t>A</t>
        </is>
      </c>
      <c r="L484" t="inlineStr">
        <is>
          <t>Fox Sports ~10-06 | league_sim.py: full-schedule + real playoff bracket Monte Carlo, ratings fitted to Kalshi</t>
        </is>
      </c>
      <c r="M484" t="inlineStr">
        <is>
          <t>2026-10-08</t>
        </is>
      </c>
      <c r="N484" t="inlineStr"/>
      <c r="O484">
        <f>'NFL'!Y24</f>
        <v/>
      </c>
    </row>
    <row r="485">
      <c r="A485" t="n">
        <v>484</v>
      </c>
      <c r="B485" t="inlineStr">
        <is>
          <t>Actress</t>
        </is>
      </c>
      <c r="C485" t="inlineStr">
        <is>
          <t>Amy Madigan</t>
        </is>
      </c>
      <c r="D485" t="inlineStr">
        <is>
          <t>— free</t>
        </is>
      </c>
      <c r="E485">
        <f>'Actress'!M85</f>
        <v/>
      </c>
      <c r="F485">
        <f>'Actress'!N85</f>
        <v/>
      </c>
      <c r="G485">
        <f>'Actress'!O85</f>
        <v/>
      </c>
      <c r="H485" t="n">
        <v>4</v>
      </c>
      <c r="J485" t="inlineStr">
        <is>
          <t>The Comebacker (Jul 30)</t>
        </is>
      </c>
      <c r="K485" t="inlineStr">
        <is>
          <t>C</t>
        </is>
      </c>
      <c r="L485" t="inlineStr">
        <is>
          <t>Wikipedia 'List of American films of 2027' casts (Actions-runner pull 2026-10-08) x comp-based box office/RT estimates; cast lists are billed leads only (cameos not captured)</t>
        </is>
      </c>
      <c r="M485" t="inlineStr">
        <is>
          <t>2026-10-08</t>
        </is>
      </c>
      <c r="N485" t="inlineStr">
        <is>
          <t>late filler</t>
        </is>
      </c>
      <c r="O485">
        <f>'Actress'!Y85</f>
        <v/>
      </c>
    </row>
    <row r="486">
      <c r="A486" t="n">
        <v>485</v>
      </c>
      <c r="B486" t="inlineStr">
        <is>
          <t>Actress</t>
        </is>
      </c>
      <c r="C486" t="inlineStr">
        <is>
          <t>Julia Roberts</t>
        </is>
      </c>
      <c r="D486" t="inlineStr">
        <is>
          <t>— free</t>
        </is>
      </c>
      <c r="E486">
        <f>'Actress'!M86</f>
        <v/>
      </c>
      <c r="F486">
        <f>'Actress'!N86</f>
        <v/>
      </c>
      <c r="G486">
        <f>'Actress'!O86</f>
        <v/>
      </c>
      <c r="H486" t="n">
        <v>4</v>
      </c>
      <c r="J486" t="inlineStr">
        <is>
          <t>Panic Carefully (Apr 9)</t>
        </is>
      </c>
      <c r="K486" t="inlineStr">
        <is>
          <t>C</t>
        </is>
      </c>
      <c r="L486" t="inlineStr">
        <is>
          <t>Wikipedia 'List of American films of 2027' casts (Actions-runner pull 2026-10-08) x comp-based box office/RT estimates; cast lists are billed leads only (cameos not captured)</t>
        </is>
      </c>
      <c r="M486" t="inlineStr">
        <is>
          <t>2026-10-08</t>
        </is>
      </c>
      <c r="N486" t="inlineStr">
        <is>
          <t>late filler</t>
        </is>
      </c>
      <c r="O486">
        <f>'Actress'!Y86</f>
        <v/>
      </c>
    </row>
    <row r="487">
      <c r="A487" t="n">
        <v>486</v>
      </c>
      <c r="B487" t="inlineStr">
        <is>
          <t>NBA</t>
        </is>
      </c>
      <c r="C487" t="inlineStr">
        <is>
          <t>Los Angeles Clippers</t>
        </is>
      </c>
      <c r="D487" s="16" t="inlineStr">
        <is>
          <t>Fryar</t>
        </is>
      </c>
      <c r="E487">
        <f>'NBA'!M29</f>
        <v/>
      </c>
      <c r="F487">
        <f>'NBA'!N29</f>
        <v/>
      </c>
      <c r="G487">
        <f>'NBA'!O29</f>
        <v/>
      </c>
      <c r="H487" t="n">
        <v>4</v>
      </c>
      <c r="J487" t="inlineStr">
        <is>
          <t>West; win total 30.5</t>
        </is>
      </c>
      <c r="K487" t="inlineStr">
        <is>
          <t>A</t>
        </is>
      </c>
      <c r="L487" t="inlineStr">
        <is>
          <t>BetMGM win total; title price estimated | league_sim.py: full-schedule + real playoff bracket Monte Carlo, ratings fitted to Kalshi</t>
        </is>
      </c>
      <c r="M487" t="inlineStr">
        <is>
          <t>2026-10-08</t>
        </is>
      </c>
      <c r="N487" t="inlineStr"/>
      <c r="O487">
        <f>'NBA'!Y29</f>
        <v/>
      </c>
    </row>
    <row r="488">
      <c r="A488" t="n">
        <v>487</v>
      </c>
      <c r="B488" t="inlineStr">
        <is>
          <t>Musician</t>
        </is>
      </c>
      <c r="C488" t="inlineStr">
        <is>
          <t>Kendrick Lamar</t>
        </is>
      </c>
      <c r="D488" s="16" t="inlineStr">
        <is>
          <t>Tim</t>
        </is>
      </c>
      <c r="E488">
        <f>'Musician'!M21</f>
        <v/>
      </c>
      <c r="F488">
        <f>'Musician'!N21</f>
        <v/>
      </c>
      <c r="G488">
        <f>'Musician'!O21</f>
        <v/>
      </c>
      <c r="H488" t="n">
        <v>4</v>
      </c>
      <c r="I488" t="inlineStr">
        <is>
          <t>Grammy EV 0.9</t>
        </is>
      </c>
      <c r="J488" t="inlineStr">
        <is>
          <t>2026 raw 0; charting now: none charting; carry-over 0.0 + new hits 1.3 (lambda 0.15, P(~0) 86%)</t>
        </is>
      </c>
      <c r="K488" t="inlineStr">
        <is>
          <t>C</t>
        </is>
      </c>
      <c r="L488" t="inlineStr">
        <is>
          <t>2027 Hot 100 baseline = my estimate; Grammy: estimate (C)</t>
        </is>
      </c>
      <c r="M488" t="inlineStr">
        <is>
          <t>2026-10-08</t>
        </is>
      </c>
      <c r="N488" t="inlineStr">
        <is>
          <t>late filler</t>
        </is>
      </c>
      <c r="O488">
        <f>'Musician'!Y21</f>
        <v/>
      </c>
    </row>
    <row r="489">
      <c r="A489" t="n">
        <v>488</v>
      </c>
      <c r="B489" t="inlineStr">
        <is>
          <t>Golf</t>
        </is>
      </c>
      <c r="C489" t="inlineStr">
        <is>
          <t>Ryan Gerard</t>
        </is>
      </c>
      <c r="D489" t="inlineStr">
        <is>
          <t>— free</t>
        </is>
      </c>
      <c r="E489">
        <f>'Golf'!M27</f>
        <v/>
      </c>
      <c r="F489">
        <f>'Golf'!N27</f>
        <v/>
      </c>
      <c r="G489">
        <f>'Golf'!O27</f>
        <v/>
      </c>
      <c r="H489" t="n">
        <v>4</v>
      </c>
      <c r="J489" t="inlineStr">
        <is>
          <t>OWGR 23 (2026-10-08)</t>
        </is>
      </c>
      <c r="K489" t="inlineStr">
        <is>
          <t>C</t>
        </is>
      </c>
      <c r="L489" t="inlineStr">
        <is>
          <t>OWGR rank from league standings pull (A); major-win probabilities = model (rank-weighted share of 4 majors)</t>
        </is>
      </c>
      <c r="M489" t="inlineStr">
        <is>
          <t>2026-10-08</t>
        </is>
      </c>
      <c r="N489" t="inlineStr"/>
      <c r="O489">
        <f>'Golf'!Y27</f>
        <v/>
      </c>
    </row>
    <row r="490">
      <c r="A490" t="n">
        <v>489</v>
      </c>
      <c r="B490" t="inlineStr">
        <is>
          <t>Musician</t>
        </is>
      </c>
      <c r="C490" t="inlineStr">
        <is>
          <t>Sabrina Carpenter</t>
        </is>
      </c>
      <c r="D490" s="16" t="inlineStr">
        <is>
          <t>Jens</t>
        </is>
      </c>
      <c r="E490">
        <f>'Musician'!M22</f>
        <v/>
      </c>
      <c r="F490">
        <f>'Musician'!N22</f>
        <v/>
      </c>
      <c r="G490">
        <f>'Musician'!O22</f>
        <v/>
      </c>
      <c r="H490" t="n">
        <v>4</v>
      </c>
      <c r="I490" t="inlineStr">
        <is>
          <t>Grammy EV 1.0</t>
        </is>
      </c>
      <c r="J490" t="inlineStr">
        <is>
          <t>2026 raw 0; charting now: none charting; carry-over 0.0 + new hits 1.2 (lambda 0.15, P(~0) 86%)</t>
        </is>
      </c>
      <c r="K490" t="inlineStr">
        <is>
          <t>C</t>
        </is>
      </c>
      <c r="L490" t="inlineStr">
        <is>
          <t>2027 Hot 100 baseline = my estimate; Grammy: estimate (C)</t>
        </is>
      </c>
      <c r="M490" t="inlineStr">
        <is>
          <t>2026-10-08</t>
        </is>
      </c>
      <c r="N490" t="inlineStr">
        <is>
          <t>late filler</t>
        </is>
      </c>
      <c r="O490">
        <f>'Musician'!Y22</f>
        <v/>
      </c>
    </row>
    <row r="491">
      <c r="A491" t="n">
        <v>490</v>
      </c>
      <c r="B491" t="inlineStr">
        <is>
          <t>NHL</t>
        </is>
      </c>
      <c r="C491" t="inlineStr">
        <is>
          <t>New York Islanders</t>
        </is>
      </c>
      <c r="D491" t="inlineStr">
        <is>
          <t>— free</t>
        </is>
      </c>
      <c r="E491">
        <f>'NHL'!M27</f>
        <v/>
      </c>
      <c r="F491">
        <f>'NHL'!N27</f>
        <v/>
      </c>
      <c r="G491">
        <f>'NHL'!O27</f>
        <v/>
      </c>
      <c r="H491" t="n">
        <v>4</v>
      </c>
      <c r="I491" t="inlineStr">
        <is>
          <t>Kalshi +9900</t>
        </is>
      </c>
      <c r="J491" t="inlineStr">
        <is>
          <t>East</t>
        </is>
      </c>
      <c r="K491" t="inlineStr">
        <is>
          <t>A</t>
        </is>
      </c>
      <c r="L491" t="inlineStr">
        <is>
          <t>Kalshi Cup market (~1 month old) normalised; points totals SportsBettingDime | league_sim.py: full-schedule + real playoff bracket Monte Carlo, ratings fitted to Kalshi</t>
        </is>
      </c>
      <c r="M491" t="inlineStr">
        <is>
          <t>2026-10-08</t>
        </is>
      </c>
      <c r="N491" t="inlineStr"/>
      <c r="O491">
        <f>'NHL'!Y27</f>
        <v/>
      </c>
    </row>
    <row r="492">
      <c r="A492" t="n">
        <v>491</v>
      </c>
      <c r="B492" t="inlineStr">
        <is>
          <t>Actor</t>
        </is>
      </c>
      <c r="C492" t="inlineStr">
        <is>
          <t>Jack O'Connell</t>
        </is>
      </c>
      <c r="D492" t="inlineStr">
        <is>
          <t>— free</t>
        </is>
      </c>
      <c r="E492">
        <f>'Actor'!M65</f>
        <v/>
      </c>
      <c r="F492">
        <f>'Actor'!N65</f>
        <v/>
      </c>
      <c r="G492">
        <f>'Actor'!O65</f>
        <v/>
      </c>
      <c r="H492" t="n">
        <v>4</v>
      </c>
      <c r="J492" t="inlineStr">
        <is>
          <t>A Quiet Place Part III (Jul 30); Godzilla x Kong: Supernova (Mar 26)</t>
        </is>
      </c>
      <c r="K492" t="inlineStr">
        <is>
          <t>C</t>
        </is>
      </c>
      <c r="L492" t="inlineStr">
        <is>
          <t>Wikipedia 'List of American films of 2027' casts (Actions-runner pull 2026-10-08) x comp-based box office/RT estimates; cast lists are billed leads only (cameos not captured)</t>
        </is>
      </c>
      <c r="M492" t="inlineStr">
        <is>
          <t>2026-10-08</t>
        </is>
      </c>
      <c r="N492" t="inlineStr">
        <is>
          <t>late filler</t>
        </is>
      </c>
      <c r="O492">
        <f>'Actor'!Y65</f>
        <v/>
      </c>
    </row>
    <row r="493">
      <c r="A493" t="n">
        <v>492</v>
      </c>
      <c r="B493" t="inlineStr">
        <is>
          <t>NBA</t>
        </is>
      </c>
      <c r="C493" t="inlineStr">
        <is>
          <t>New Orleans Pelicans</t>
        </is>
      </c>
      <c r="D493" t="inlineStr">
        <is>
          <t>— free</t>
        </is>
      </c>
      <c r="E493">
        <f>'NBA'!M30</f>
        <v/>
      </c>
      <c r="F493">
        <f>'NBA'!N30</f>
        <v/>
      </c>
      <c r="G493">
        <f>'NBA'!O30</f>
        <v/>
      </c>
      <c r="H493" t="n">
        <v>4</v>
      </c>
      <c r="J493" t="inlineStr">
        <is>
          <t>West; win total 27.5</t>
        </is>
      </c>
      <c r="K493" t="inlineStr">
        <is>
          <t>A</t>
        </is>
      </c>
      <c r="L493" t="inlineStr">
        <is>
          <t>BetMGM win total; title price estimated | league_sim.py: full-schedule + real playoff bracket Monte Carlo, ratings fitted to Kalshi</t>
        </is>
      </c>
      <c r="M493" t="inlineStr">
        <is>
          <t>2026-10-08</t>
        </is>
      </c>
      <c r="N493" t="inlineStr"/>
      <c r="O493">
        <f>'NBA'!Y30</f>
        <v/>
      </c>
    </row>
    <row r="494">
      <c r="A494" t="n">
        <v>493</v>
      </c>
      <c r="B494" t="inlineStr">
        <is>
          <t>Actor</t>
        </is>
      </c>
      <c r="C494" t="inlineStr">
        <is>
          <t>Jack Black</t>
        </is>
      </c>
      <c r="D494" t="inlineStr">
        <is>
          <t>— free</t>
        </is>
      </c>
      <c r="E494">
        <f>'Actor'!M66</f>
        <v/>
      </c>
      <c r="F494">
        <f>'Actor'!N66</f>
        <v/>
      </c>
      <c r="G494">
        <f>'Actor'!O66</f>
        <v/>
      </c>
      <c r="H494" t="n">
        <v>4</v>
      </c>
      <c r="J494" t="inlineStr">
        <is>
          <t>A Minecraft Movie Squared (Jul 23)</t>
        </is>
      </c>
      <c r="K494" t="inlineStr">
        <is>
          <t>C</t>
        </is>
      </c>
      <c r="L494" t="inlineStr">
        <is>
          <t>Wikipedia 'List of American films of 2027' casts (Actions-runner pull 2026-10-08) x comp-based box office/RT estimates; cast lists are billed leads only (cameos not captured)</t>
        </is>
      </c>
      <c r="M494" t="inlineStr">
        <is>
          <t>2026-10-08</t>
        </is>
      </c>
      <c r="N494" t="inlineStr">
        <is>
          <t>late filler</t>
        </is>
      </c>
      <c r="O494">
        <f>'Actor'!Y66</f>
        <v/>
      </c>
    </row>
    <row r="495">
      <c r="A495" t="n">
        <v>494</v>
      </c>
      <c r="B495" t="inlineStr">
        <is>
          <t>Golf</t>
        </is>
      </c>
      <c r="C495" t="inlineStr">
        <is>
          <t>Tyrrell Hatton</t>
        </is>
      </c>
      <c r="D495" t="inlineStr">
        <is>
          <t>— free</t>
        </is>
      </c>
      <c r="E495">
        <f>'Golf'!M28</f>
        <v/>
      </c>
      <c r="F495">
        <f>'Golf'!N28</f>
        <v/>
      </c>
      <c r="G495">
        <f>'Golf'!O28</f>
        <v/>
      </c>
      <c r="H495" t="n">
        <v>4</v>
      </c>
      <c r="J495" t="inlineStr">
        <is>
          <t>OWGR 24 (2026-10-08)</t>
        </is>
      </c>
      <c r="K495" t="inlineStr">
        <is>
          <t>C</t>
        </is>
      </c>
      <c r="L495" t="inlineStr">
        <is>
          <t>OWGR rank from league standings pull (A); major-win probabilities = model (rank-weighted share of 4 majors)</t>
        </is>
      </c>
      <c r="M495" t="inlineStr">
        <is>
          <t>2026-10-08</t>
        </is>
      </c>
      <c r="N495" t="inlineStr"/>
      <c r="O495">
        <f>'Golf'!Y28</f>
        <v/>
      </c>
    </row>
    <row r="496">
      <c r="A496" t="n">
        <v>495</v>
      </c>
      <c r="B496" t="inlineStr">
        <is>
          <t>Actor</t>
        </is>
      </c>
      <c r="C496" t="inlineStr">
        <is>
          <t>Timothée Chalamet</t>
        </is>
      </c>
      <c r="D496" s="16" t="inlineStr">
        <is>
          <t>Jamzee</t>
        </is>
      </c>
      <c r="E496">
        <f>'Actor'!M67</f>
        <v/>
      </c>
      <c r="F496">
        <f>'Actor'!N67</f>
        <v/>
      </c>
      <c r="G496">
        <f>'Actor'!O67</f>
        <v/>
      </c>
      <c r="H496" t="n">
        <v>4</v>
      </c>
      <c r="J496" t="inlineStr">
        <is>
          <t>Not Alone (Apr 16)</t>
        </is>
      </c>
      <c r="K496" t="inlineStr">
        <is>
          <t>C</t>
        </is>
      </c>
      <c r="L496" t="inlineStr">
        <is>
          <t>Wikipedia 'List of American films of 2027' casts (Actions-runner pull 2026-10-08) x comp-based box office/RT estimates; cast lists are billed leads only (cameos not captured)</t>
        </is>
      </c>
      <c r="M496" t="inlineStr">
        <is>
          <t>2026-10-08</t>
        </is>
      </c>
      <c r="N496" t="inlineStr">
        <is>
          <t>late filler</t>
        </is>
      </c>
      <c r="O496">
        <f>'Actor'!Y67</f>
        <v/>
      </c>
    </row>
    <row r="497">
      <c r="A497" t="n">
        <v>496</v>
      </c>
      <c r="B497" t="inlineStr">
        <is>
          <t>Actress</t>
        </is>
      </c>
      <c r="C497" t="inlineStr">
        <is>
          <t>Tessa Thompson</t>
        </is>
      </c>
      <c r="D497" s="16" t="inlineStr">
        <is>
          <t>Shep</t>
        </is>
      </c>
      <c r="E497">
        <f>'Actress'!M87</f>
        <v/>
      </c>
      <c r="F497">
        <f>'Actress'!N87</f>
        <v/>
      </c>
      <c r="G497">
        <f>'Actress'!O87</f>
        <v/>
      </c>
      <c r="H497" t="n">
        <v>4</v>
      </c>
      <c r="J497" t="inlineStr">
        <is>
          <t>no 2027 film found in Wikipedia's cast lists</t>
        </is>
      </c>
      <c r="K497" t="inlineStr">
        <is>
          <t>C</t>
        </is>
      </c>
      <c r="L497" t="inlineStr">
        <is>
          <t>Wikipedia 'List of American films of 2027' casts (Actions-runner pull 2026-10-08) x comp-based box office/RT estimates; cast lists are billed leads only (cameos not captured)</t>
        </is>
      </c>
      <c r="M497" t="inlineStr">
        <is>
          <t>2026-10-08</t>
        </is>
      </c>
      <c r="N497" t="inlineStr">
        <is>
          <t>late filler</t>
        </is>
      </c>
      <c r="O497">
        <f>'Actress'!Y87</f>
        <v/>
      </c>
    </row>
    <row r="498">
      <c r="A498" t="n">
        <v>497</v>
      </c>
      <c r="B498" t="inlineStr">
        <is>
          <t>Actress</t>
        </is>
      </c>
      <c r="C498" t="inlineStr">
        <is>
          <t>Florence Pugh</t>
        </is>
      </c>
      <c r="D498" s="16" t="inlineStr">
        <is>
          <t>Fryar</t>
        </is>
      </c>
      <c r="E498">
        <f>'Actress'!M88</f>
        <v/>
      </c>
      <c r="F498">
        <f>'Actress'!N88</f>
        <v/>
      </c>
      <c r="G498">
        <f>'Actress'!O88</f>
        <v/>
      </c>
      <c r="H498" t="n">
        <v>4</v>
      </c>
      <c r="J498" t="inlineStr">
        <is>
          <t>no 2027 film found in Wikipedia's cast lists</t>
        </is>
      </c>
      <c r="K498" t="inlineStr">
        <is>
          <t>C</t>
        </is>
      </c>
      <c r="L498" t="inlineStr">
        <is>
          <t>Wikipedia 'List of American films of 2027' casts (Actions-runner pull 2026-10-08) x comp-based box office/RT estimates; cast lists are billed leads only (cameos not captured)</t>
        </is>
      </c>
      <c r="M498" t="inlineStr">
        <is>
          <t>2026-10-08</t>
        </is>
      </c>
      <c r="N498" t="inlineStr">
        <is>
          <t>late filler</t>
        </is>
      </c>
      <c r="O498">
        <f>'Actress'!Y88</f>
        <v/>
      </c>
    </row>
    <row r="499">
      <c r="A499" t="n">
        <v>498</v>
      </c>
      <c r="B499" t="inlineStr">
        <is>
          <t>Actress</t>
        </is>
      </c>
      <c r="C499" t="inlineStr">
        <is>
          <t>Teyana Taylor</t>
        </is>
      </c>
      <c r="D499" s="16" t="inlineStr">
        <is>
          <t>Todd</t>
        </is>
      </c>
      <c r="E499">
        <f>'Actress'!M89</f>
        <v/>
      </c>
      <c r="F499">
        <f>'Actress'!N89</f>
        <v/>
      </c>
      <c r="G499">
        <f>'Actress'!O89</f>
        <v/>
      </c>
      <c r="H499" t="n">
        <v>4</v>
      </c>
      <c r="J499" t="inlineStr">
        <is>
          <t>no 2027 film found in Wikipedia's cast lists</t>
        </is>
      </c>
      <c r="K499" t="inlineStr">
        <is>
          <t>C</t>
        </is>
      </c>
      <c r="L499" t="inlineStr">
        <is>
          <t>Wikipedia 'List of American films of 2027' casts (Actions-runner pull 2026-10-08) x comp-based box office/RT estimates; cast lists are billed leads only (cameos not captured)</t>
        </is>
      </c>
      <c r="M499" t="inlineStr">
        <is>
          <t>2026-10-08</t>
        </is>
      </c>
      <c r="N499" t="inlineStr">
        <is>
          <t>late filler</t>
        </is>
      </c>
      <c r="O499">
        <f>'Actress'!Y89</f>
        <v/>
      </c>
    </row>
    <row r="500">
      <c r="A500" t="n">
        <v>499</v>
      </c>
      <c r="B500" t="inlineStr">
        <is>
          <t>Actress</t>
        </is>
      </c>
      <c r="C500" t="inlineStr">
        <is>
          <t>Charlize Theron</t>
        </is>
      </c>
      <c r="D500" s="16" t="inlineStr">
        <is>
          <t>Mitchell</t>
        </is>
      </c>
      <c r="E500">
        <f>'Actress'!M90</f>
        <v/>
      </c>
      <c r="F500">
        <f>'Actress'!N90</f>
        <v/>
      </c>
      <c r="G500">
        <f>'Actress'!O90</f>
        <v/>
      </c>
      <c r="H500" t="n">
        <v>4</v>
      </c>
      <c r="J500" t="inlineStr">
        <is>
          <t>no 2027 film found in Wikipedia's cast lists</t>
        </is>
      </c>
      <c r="K500" t="inlineStr">
        <is>
          <t>C</t>
        </is>
      </c>
      <c r="L500" t="inlineStr">
        <is>
          <t>Wikipedia 'List of American films of 2027' casts (Actions-runner pull 2026-10-08) x comp-based box office/RT estimates; cast lists are billed leads only (cameos not captured)</t>
        </is>
      </c>
      <c r="M500" t="inlineStr">
        <is>
          <t>2026-10-08</t>
        </is>
      </c>
      <c r="N500" t="inlineStr">
        <is>
          <t>late filler</t>
        </is>
      </c>
      <c r="O500">
        <f>'Actress'!Y90</f>
        <v/>
      </c>
    </row>
    <row r="501">
      <c r="A501" t="n">
        <v>500</v>
      </c>
      <c r="B501" t="inlineStr">
        <is>
          <t>Actress</t>
        </is>
      </c>
      <c r="C501" t="inlineStr">
        <is>
          <t>Jessie Buckley</t>
        </is>
      </c>
      <c r="D501" s="16" t="inlineStr">
        <is>
          <t>Molmen</t>
        </is>
      </c>
      <c r="E501">
        <f>'Actress'!M91</f>
        <v/>
      </c>
      <c r="F501">
        <f>'Actress'!N91</f>
        <v/>
      </c>
      <c r="G501">
        <f>'Actress'!O91</f>
        <v/>
      </c>
      <c r="H501" t="n">
        <v>4</v>
      </c>
      <c r="J501" t="inlineStr">
        <is>
          <t>no 2027 film found in Wikipedia's cast lists</t>
        </is>
      </c>
      <c r="K501" t="inlineStr">
        <is>
          <t>C</t>
        </is>
      </c>
      <c r="L501" t="inlineStr">
        <is>
          <t>Wikipedia 'List of American films of 2027' casts (Actions-runner pull 2026-10-08) x comp-based box office/RT estimates; cast lists are billed leads only (cameos not captured)</t>
        </is>
      </c>
      <c r="M501" t="inlineStr">
        <is>
          <t>2026-10-08</t>
        </is>
      </c>
      <c r="N501" t="inlineStr">
        <is>
          <t>late filler</t>
        </is>
      </c>
      <c r="O501">
        <f>'Actress'!Y91</f>
        <v/>
      </c>
    </row>
    <row r="502">
      <c r="A502" t="n">
        <v>501</v>
      </c>
      <c r="B502" t="inlineStr">
        <is>
          <t>Actress</t>
        </is>
      </c>
      <c r="C502" t="inlineStr">
        <is>
          <t>Ariana Grande</t>
        </is>
      </c>
      <c r="D502" s="16" t="inlineStr">
        <is>
          <t>Tim</t>
        </is>
      </c>
      <c r="E502">
        <f>'Actress'!M92</f>
        <v/>
      </c>
      <c r="F502">
        <f>'Actress'!N92</f>
        <v/>
      </c>
      <c r="G502">
        <f>'Actress'!O92</f>
        <v/>
      </c>
      <c r="H502" t="n">
        <v>4</v>
      </c>
      <c r="J502" t="inlineStr">
        <is>
          <t>no 2027 film found in Wikipedia's cast lists</t>
        </is>
      </c>
      <c r="K502" t="inlineStr">
        <is>
          <t>C</t>
        </is>
      </c>
      <c r="L502" t="inlineStr">
        <is>
          <t>Wikipedia 'List of American films of 2027' casts (Actions-runner pull 2026-10-08) x comp-based box office/RT estimates; cast lists are billed leads only (cameos not captured)</t>
        </is>
      </c>
      <c r="M502" t="inlineStr">
        <is>
          <t>2026-10-08</t>
        </is>
      </c>
      <c r="N502" t="inlineStr">
        <is>
          <t>late filler</t>
        </is>
      </c>
      <c r="O502">
        <f>'Actress'!Y92</f>
        <v/>
      </c>
    </row>
    <row r="503">
      <c r="A503" t="n">
        <v>502</v>
      </c>
      <c r="B503" t="inlineStr">
        <is>
          <t>NBA</t>
        </is>
      </c>
      <c r="C503" t="inlineStr">
        <is>
          <t>Brooklyn Nets</t>
        </is>
      </c>
      <c r="D503" t="inlineStr">
        <is>
          <t>— free</t>
        </is>
      </c>
      <c r="E503">
        <f>'NBA'!M31</f>
        <v/>
      </c>
      <c r="F503">
        <f>'NBA'!N31</f>
        <v/>
      </c>
      <c r="G503">
        <f>'NBA'!O31</f>
        <v/>
      </c>
      <c r="H503" t="n">
        <v>4</v>
      </c>
      <c r="J503" t="inlineStr">
        <is>
          <t>East; win total 24.5</t>
        </is>
      </c>
      <c r="K503" t="inlineStr">
        <is>
          <t>A</t>
        </is>
      </c>
      <c r="L503" t="inlineStr">
        <is>
          <t>BetMGM win total; title price estimated | league_sim.py: full-schedule + real playoff bracket Monte Carlo, ratings fitted to Kalshi</t>
        </is>
      </c>
      <c r="M503" t="inlineStr">
        <is>
          <t>2026-10-08</t>
        </is>
      </c>
      <c r="N503" t="inlineStr"/>
      <c r="O503">
        <f>'NBA'!Y31</f>
        <v/>
      </c>
    </row>
    <row r="504">
      <c r="A504" t="n">
        <v>503</v>
      </c>
      <c r="B504" t="inlineStr">
        <is>
          <t>Actor</t>
        </is>
      </c>
      <c r="C504" t="inlineStr">
        <is>
          <t>Laurence Fishburne</t>
        </is>
      </c>
      <c r="D504" t="inlineStr">
        <is>
          <t>— free</t>
        </is>
      </c>
      <c r="E504">
        <f>'Actor'!M68</f>
        <v/>
      </c>
      <c r="F504">
        <f>'Actor'!N68</f>
        <v/>
      </c>
      <c r="G504">
        <f>'Actor'!O68</f>
        <v/>
      </c>
      <c r="H504" t="n">
        <v>4</v>
      </c>
      <c r="J504" t="inlineStr">
        <is>
          <t>Gatto (Mar 5); The Exorcist: Martyrs (Mar 12)</t>
        </is>
      </c>
      <c r="K504" t="inlineStr">
        <is>
          <t>C</t>
        </is>
      </c>
      <c r="L504" t="inlineStr">
        <is>
          <t>Wikipedia 'List of American films of 2027' casts (Actions-runner pull 2026-10-08) x comp-based box office/RT estimates; cast lists are billed leads only (cameos not captured)</t>
        </is>
      </c>
      <c r="M504" t="inlineStr">
        <is>
          <t>2026-10-08</t>
        </is>
      </c>
      <c r="N504" t="inlineStr">
        <is>
          <t>late filler</t>
        </is>
      </c>
      <c r="O504">
        <f>'Actor'!Y68</f>
        <v/>
      </c>
    </row>
    <row r="505">
      <c r="A505" t="n">
        <v>504</v>
      </c>
      <c r="B505" t="inlineStr">
        <is>
          <t>Golf</t>
        </is>
      </c>
      <c r="C505" t="inlineStr">
        <is>
          <t>Ben Griffin</t>
        </is>
      </c>
      <c r="D505" t="inlineStr">
        <is>
          <t>— free</t>
        </is>
      </c>
      <c r="E505">
        <f>'Golf'!M29</f>
        <v/>
      </c>
      <c r="F505">
        <f>'Golf'!N29</f>
        <v/>
      </c>
      <c r="G505">
        <f>'Golf'!O29</f>
        <v/>
      </c>
      <c r="H505" t="n">
        <v>4</v>
      </c>
      <c r="J505" t="inlineStr">
        <is>
          <t>OWGR 25 (2026-10-08)</t>
        </is>
      </c>
      <c r="K505" t="inlineStr">
        <is>
          <t>C</t>
        </is>
      </c>
      <c r="L505" t="inlineStr">
        <is>
          <t>OWGR rank from league standings pull (A); major-win probabilities = model (rank-weighted share of 4 majors)</t>
        </is>
      </c>
      <c r="M505" t="inlineStr">
        <is>
          <t>2026-10-08</t>
        </is>
      </c>
      <c r="N505" t="inlineStr"/>
      <c r="O505">
        <f>'Golf'!Y29</f>
        <v/>
      </c>
    </row>
    <row r="506">
      <c r="A506" t="n">
        <v>505</v>
      </c>
      <c r="B506" t="inlineStr">
        <is>
          <t>Actor</t>
        </is>
      </c>
      <c r="C506" t="inlineStr">
        <is>
          <t>John Turturro</t>
        </is>
      </c>
      <c r="D506" t="inlineStr">
        <is>
          <t>— free</t>
        </is>
      </c>
      <c r="E506">
        <f>'Actor'!M69</f>
        <v/>
      </c>
      <c r="F506">
        <f>'Actor'!N69</f>
        <v/>
      </c>
      <c r="G506">
        <f>'Actor'!O69</f>
        <v/>
      </c>
      <c r="H506" t="n">
        <v>4</v>
      </c>
      <c r="J506" t="inlineStr">
        <is>
          <t>no 2027 film found in Wikipedia's cast lists</t>
        </is>
      </c>
      <c r="K506" t="inlineStr">
        <is>
          <t>C</t>
        </is>
      </c>
      <c r="L506" t="inlineStr">
        <is>
          <t>Wikipedia 'List of American films of 2027' casts (Actions-runner pull 2026-10-08) x comp-based box office/RT estimates; cast lists are billed leads only (cameos not captured)</t>
        </is>
      </c>
      <c r="M506" t="inlineStr">
        <is>
          <t>2026-10-08</t>
        </is>
      </c>
      <c r="N506" t="inlineStr">
        <is>
          <t>late filler</t>
        </is>
      </c>
      <c r="O506">
        <f>'Actor'!Y69</f>
        <v/>
      </c>
    </row>
    <row r="507">
      <c r="A507" t="n">
        <v>506</v>
      </c>
      <c r="B507" t="inlineStr">
        <is>
          <t>NHL</t>
        </is>
      </c>
      <c r="C507" t="inlineStr">
        <is>
          <t>Columbus Blue Jackets</t>
        </is>
      </c>
      <c r="D507" t="inlineStr">
        <is>
          <t>— free</t>
        </is>
      </c>
      <c r="E507">
        <f>'NHL'!M28</f>
        <v/>
      </c>
      <c r="F507">
        <f>'NHL'!N28</f>
        <v/>
      </c>
      <c r="G507">
        <f>'NHL'!O28</f>
        <v/>
      </c>
      <c r="H507" t="n">
        <v>4</v>
      </c>
      <c r="I507" t="inlineStr">
        <is>
          <t>Kalshi +6567</t>
        </is>
      </c>
      <c r="J507" t="inlineStr">
        <is>
          <t>East</t>
        </is>
      </c>
      <c r="K507" t="inlineStr">
        <is>
          <t>A</t>
        </is>
      </c>
      <c r="L507" t="inlineStr">
        <is>
          <t>Kalshi Cup market (~1 month old) normalised; points totals SportsBettingDime | league_sim.py: full-schedule + real playoff bracket Monte Carlo, ratings fitted to Kalshi</t>
        </is>
      </c>
      <c r="M507" t="inlineStr">
        <is>
          <t>2026-10-08</t>
        </is>
      </c>
      <c r="N507" t="inlineStr"/>
      <c r="O507">
        <f>'NHL'!Y28</f>
        <v/>
      </c>
    </row>
    <row r="508">
      <c r="A508" t="n">
        <v>507</v>
      </c>
      <c r="B508" t="inlineStr">
        <is>
          <t>Musician</t>
        </is>
      </c>
      <c r="C508" t="inlineStr">
        <is>
          <t>The Weeknd</t>
        </is>
      </c>
      <c r="D508" s="16" t="inlineStr">
        <is>
          <t>Jamzee</t>
        </is>
      </c>
      <c r="E508">
        <f>'Musician'!M23</f>
        <v/>
      </c>
      <c r="F508">
        <f>'Musician'!N23</f>
        <v/>
      </c>
      <c r="G508">
        <f>'Musician'!O23</f>
        <v/>
      </c>
      <c r="H508" t="n">
        <v>4</v>
      </c>
      <c r="I508" t="inlineStr">
        <is>
          <t>Grammy EV 0.5</t>
        </is>
      </c>
      <c r="J508" t="inlineStr">
        <is>
          <t>2026 raw 0; charting now: none charting; carry-over 0.0 + new hits 1.2 (lambda 0.15, P(~0) 86%)</t>
        </is>
      </c>
      <c r="K508" t="inlineStr">
        <is>
          <t>C</t>
        </is>
      </c>
      <c r="L508" t="inlineStr">
        <is>
          <t>2027 Hot 100 baseline = my estimate; Grammy: estimate (C)</t>
        </is>
      </c>
      <c r="M508" t="inlineStr">
        <is>
          <t>2026-10-08</t>
        </is>
      </c>
      <c r="N508" t="inlineStr">
        <is>
          <t>late filler</t>
        </is>
      </c>
      <c r="O508">
        <f>'Musician'!Y23</f>
        <v/>
      </c>
    </row>
    <row r="509">
      <c r="A509" t="n">
        <v>508</v>
      </c>
      <c r="B509" t="inlineStr">
        <is>
          <t>Actor</t>
        </is>
      </c>
      <c r="C509" t="inlineStr">
        <is>
          <t>Anthony Ippolito</t>
        </is>
      </c>
      <c r="D509" t="inlineStr">
        <is>
          <t>— free</t>
        </is>
      </c>
      <c r="E509">
        <f>'Actor'!M70</f>
        <v/>
      </c>
      <c r="F509">
        <f>'Actor'!N70</f>
        <v/>
      </c>
      <c r="G509">
        <f>'Actor'!O70</f>
        <v/>
      </c>
      <c r="H509" t="n">
        <v>4</v>
      </c>
      <c r="J509" t="inlineStr">
        <is>
          <t>no 2027 film found in Wikipedia's cast lists</t>
        </is>
      </c>
      <c r="K509" t="inlineStr">
        <is>
          <t>C</t>
        </is>
      </c>
      <c r="L509" t="inlineStr">
        <is>
          <t>Wikipedia 'List of American films of 2027' casts (Actions-runner pull 2026-10-08) x comp-based box office/RT estimates; cast lists are billed leads only (cameos not captured)</t>
        </is>
      </c>
      <c r="M509" t="inlineStr">
        <is>
          <t>2026-10-08</t>
        </is>
      </c>
      <c r="N509" t="inlineStr">
        <is>
          <t>late filler</t>
        </is>
      </c>
      <c r="O509">
        <f>'Actor'!Y70</f>
        <v/>
      </c>
    </row>
    <row r="510">
      <c r="A510" t="n">
        <v>509</v>
      </c>
      <c r="B510" t="inlineStr">
        <is>
          <t>Actor</t>
        </is>
      </c>
      <c r="C510" t="inlineStr">
        <is>
          <t>Benedict Cumberbatch</t>
        </is>
      </c>
      <c r="D510" t="inlineStr">
        <is>
          <t>— free</t>
        </is>
      </c>
      <c r="E510">
        <f>'Actor'!M71</f>
        <v/>
      </c>
      <c r="F510">
        <f>'Actor'!N71</f>
        <v/>
      </c>
      <c r="G510">
        <f>'Actor'!O71</f>
        <v/>
      </c>
      <c r="H510" t="n">
        <v>4</v>
      </c>
      <c r="J510" t="inlineStr">
        <is>
          <t>Avengers: Secret Wars (Dec 17); Wife &amp; Dog (Feb 19)</t>
        </is>
      </c>
      <c r="K510" t="inlineStr">
        <is>
          <t>C</t>
        </is>
      </c>
      <c r="L510" t="inlineStr">
        <is>
          <t>Wikipedia 'List of American films of 2027' casts (Actions-runner pull 2026-10-08) x comp-based box office/RT estimates; cast lists are billed leads only (cameos not captured)</t>
        </is>
      </c>
      <c r="M510" t="inlineStr">
        <is>
          <t>2026-10-08</t>
        </is>
      </c>
      <c r="N510" t="inlineStr">
        <is>
          <t>late filler</t>
        </is>
      </c>
      <c r="O510">
        <f>'Actor'!Y71</f>
        <v/>
      </c>
    </row>
    <row r="511">
      <c r="A511" t="n">
        <v>510</v>
      </c>
      <c r="B511" t="inlineStr">
        <is>
          <t>NFL</t>
        </is>
      </c>
      <c r="C511" t="inlineStr">
        <is>
          <t>Las Vegas Raiders</t>
        </is>
      </c>
      <c r="D511" t="inlineStr">
        <is>
          <t>— free</t>
        </is>
      </c>
      <c r="E511">
        <f>'NFL'!M25</f>
        <v/>
      </c>
      <c r="F511">
        <f>'NFL'!N25</f>
        <v/>
      </c>
      <c r="G511">
        <f>'NFL'!O25</f>
        <v/>
      </c>
      <c r="H511" t="n">
        <v>4</v>
      </c>
      <c r="I511" t="inlineStr">
        <is>
          <t>+6500</t>
        </is>
      </c>
      <c r="J511" t="inlineStr">
        <is>
          <t>3-1, AFC West</t>
        </is>
      </c>
      <c r="K511" t="inlineStr">
        <is>
          <t>A</t>
        </is>
      </c>
      <c r="L511" t="inlineStr">
        <is>
          <t>estimate | league_sim.py: full-schedule + real playoff bracket Monte Carlo, ratings fitted to Kalshi</t>
        </is>
      </c>
      <c r="M511" t="inlineStr">
        <is>
          <t>2026-10-08</t>
        </is>
      </c>
      <c r="N511" t="inlineStr"/>
      <c r="O511">
        <f>'NFL'!Y25</f>
        <v/>
      </c>
    </row>
    <row r="512">
      <c r="A512" t="n">
        <v>511</v>
      </c>
      <c r="B512" t="inlineStr">
        <is>
          <t>Musician</t>
        </is>
      </c>
      <c r="C512" t="inlineStr">
        <is>
          <t>SZA</t>
        </is>
      </c>
      <c r="D512" s="16" t="inlineStr">
        <is>
          <t>Korch</t>
        </is>
      </c>
      <c r="E512">
        <f>'Musician'!M24</f>
        <v/>
      </c>
      <c r="F512">
        <f>'Musician'!N24</f>
        <v/>
      </c>
      <c r="G512">
        <f>'Musician'!O24</f>
        <v/>
      </c>
      <c r="H512" t="n">
        <v>4</v>
      </c>
      <c r="I512" t="inlineStr">
        <is>
          <t>Grammy EV 0.5</t>
        </is>
      </c>
      <c r="J512" t="inlineStr">
        <is>
          <t>2026 raw 0; charting now: none charting; carry-over 0.0 + new hits 1.2 (lambda 0.15, P(~0) 86%)</t>
        </is>
      </c>
      <c r="K512" t="inlineStr">
        <is>
          <t>C</t>
        </is>
      </c>
      <c r="L512" t="inlineStr">
        <is>
          <t>2027 Hot 100 baseline = my estimate; Grammy: estimate (C)</t>
        </is>
      </c>
      <c r="M512" t="inlineStr">
        <is>
          <t>2026-10-08</t>
        </is>
      </c>
      <c r="N512" t="inlineStr">
        <is>
          <t>late filler</t>
        </is>
      </c>
      <c r="O512">
        <f>'Musician'!Y24</f>
        <v/>
      </c>
    </row>
    <row r="513">
      <c r="A513" t="n">
        <v>512</v>
      </c>
      <c r="B513" t="inlineStr">
        <is>
          <t>NHL</t>
        </is>
      </c>
      <c r="C513" t="inlineStr">
        <is>
          <t>Winnipeg Jets</t>
        </is>
      </c>
      <c r="D513" t="inlineStr">
        <is>
          <t>— free</t>
        </is>
      </c>
      <c r="E513">
        <f>'NHL'!M29</f>
        <v/>
      </c>
      <c r="F513">
        <f>'NHL'!N29</f>
        <v/>
      </c>
      <c r="G513">
        <f>'NHL'!O29</f>
        <v/>
      </c>
      <c r="H513" t="n">
        <v>4</v>
      </c>
      <c r="I513" t="inlineStr">
        <is>
          <t>Kalshi +9900</t>
        </is>
      </c>
      <c r="J513" t="inlineStr">
        <is>
          <t>West</t>
        </is>
      </c>
      <c r="K513" t="inlineStr">
        <is>
          <t>A</t>
        </is>
      </c>
      <c r="L513" t="inlineStr">
        <is>
          <t>Kalshi Cup market (~1 month old) normalised; points totals SportsBettingDime | league_sim.py: full-schedule + real playoff bracket Monte Carlo, ratings fitted to Kalshi</t>
        </is>
      </c>
      <c r="M513" t="inlineStr">
        <is>
          <t>2026-10-08</t>
        </is>
      </c>
      <c r="N513" t="inlineStr"/>
      <c r="O513">
        <f>'NHL'!Y29</f>
        <v/>
      </c>
    </row>
    <row r="514">
      <c r="A514" t="n">
        <v>513</v>
      </c>
      <c r="B514" t="inlineStr">
        <is>
          <t>Musician</t>
        </is>
      </c>
      <c r="C514" t="inlineStr">
        <is>
          <t>Lady Gaga</t>
        </is>
      </c>
      <c r="D514" s="16" t="inlineStr">
        <is>
          <t>Feder</t>
        </is>
      </c>
      <c r="E514">
        <f>'Musician'!M25</f>
        <v/>
      </c>
      <c r="F514">
        <f>'Musician'!N25</f>
        <v/>
      </c>
      <c r="G514">
        <f>'Musician'!O25</f>
        <v/>
      </c>
      <c r="H514" t="n">
        <v>4</v>
      </c>
      <c r="I514" t="inlineStr">
        <is>
          <t>Grammy EV 0.5</t>
        </is>
      </c>
      <c r="J514" t="inlineStr">
        <is>
          <t>2026 raw 0; charting now: none charting; carry-over 0.0 + new hits 1.3 (lambda 0.15, P(~0) 86%)</t>
        </is>
      </c>
      <c r="K514" t="inlineStr">
        <is>
          <t>C</t>
        </is>
      </c>
      <c r="L514" t="inlineStr">
        <is>
          <t>2027 Hot 100 baseline = my estimate; Grammy: estimate (C)</t>
        </is>
      </c>
      <c r="M514" t="inlineStr">
        <is>
          <t>2026-10-08</t>
        </is>
      </c>
      <c r="N514" t="inlineStr">
        <is>
          <t>late filler</t>
        </is>
      </c>
      <c r="O514">
        <f>'Musician'!Y25</f>
        <v/>
      </c>
    </row>
    <row r="515">
      <c r="A515" t="n">
        <v>514</v>
      </c>
      <c r="B515" t="inlineStr">
        <is>
          <t>Musician</t>
        </is>
      </c>
      <c r="C515" t="inlineStr">
        <is>
          <t>Beyoncé</t>
        </is>
      </c>
      <c r="D515" s="16" t="inlineStr">
        <is>
          <t>Buckley</t>
        </is>
      </c>
      <c r="E515">
        <f>'Musician'!M26</f>
        <v/>
      </c>
      <c r="F515">
        <f>'Musician'!N26</f>
        <v/>
      </c>
      <c r="G515">
        <f>'Musician'!O26</f>
        <v/>
      </c>
      <c r="H515" t="n">
        <v>4</v>
      </c>
      <c r="I515" t="inlineStr">
        <is>
          <t>Grammy EV 0.5</t>
        </is>
      </c>
      <c r="J515" t="inlineStr">
        <is>
          <t>2026 raw 0; charting now: none charting; carry-over 0.0 + new hits 1.2 (lambda 0.15, P(~0) 86%)</t>
        </is>
      </c>
      <c r="K515" t="inlineStr">
        <is>
          <t>C</t>
        </is>
      </c>
      <c r="L515" t="inlineStr">
        <is>
          <t>2027 Hot 100 baseline = my estimate; Grammy: estimate (C)</t>
        </is>
      </c>
      <c r="M515" t="inlineStr">
        <is>
          <t>2026-10-08</t>
        </is>
      </c>
      <c r="N515" t="inlineStr">
        <is>
          <t>late filler</t>
        </is>
      </c>
      <c r="O515">
        <f>'Musician'!Y26</f>
        <v/>
      </c>
    </row>
    <row r="516">
      <c r="A516" t="n">
        <v>515</v>
      </c>
      <c r="B516" t="inlineStr">
        <is>
          <t>Musician</t>
        </is>
      </c>
      <c r="C516" t="inlineStr">
        <is>
          <t>Billie Eilish</t>
        </is>
      </c>
      <c r="D516" t="inlineStr">
        <is>
          <t>— free</t>
        </is>
      </c>
      <c r="E516">
        <f>'Musician'!M27</f>
        <v/>
      </c>
      <c r="F516">
        <f>'Musician'!N27</f>
        <v/>
      </c>
      <c r="G516">
        <f>'Musician'!O27</f>
        <v/>
      </c>
      <c r="H516" t="n">
        <v>4</v>
      </c>
      <c r="I516" t="inlineStr">
        <is>
          <t>Grammy EV 0.5</t>
        </is>
      </c>
      <c r="J516" t="inlineStr">
        <is>
          <t>2026 raw 0; charting now: none charting; carry-over 0.0 + new hits 1.2 (lambda 0.15, P(~0) 86%)</t>
        </is>
      </c>
      <c r="K516" t="inlineStr">
        <is>
          <t>C</t>
        </is>
      </c>
      <c r="L516" t="inlineStr">
        <is>
          <t>2027 Hot 100 baseline = my estimate; Grammy: estimate (C)</t>
        </is>
      </c>
      <c r="M516" t="inlineStr">
        <is>
          <t>2026-10-08</t>
        </is>
      </c>
      <c r="N516" t="inlineStr">
        <is>
          <t>late filler</t>
        </is>
      </c>
      <c r="O516">
        <f>'Musician'!Y27</f>
        <v/>
      </c>
    </row>
    <row r="517">
      <c r="A517" t="n">
        <v>516</v>
      </c>
      <c r="B517" t="inlineStr">
        <is>
          <t>Actor</t>
        </is>
      </c>
      <c r="C517" t="inlineStr">
        <is>
          <t>Edward Norton</t>
        </is>
      </c>
      <c r="D517" t="inlineStr">
        <is>
          <t>— free</t>
        </is>
      </c>
      <c r="E517">
        <f>'Actor'!M72</f>
        <v/>
      </c>
      <c r="F517">
        <f>'Actor'!N72</f>
        <v/>
      </c>
      <c r="G517">
        <f>'Actor'!O72</f>
        <v/>
      </c>
      <c r="H517" t="n">
        <v>4</v>
      </c>
      <c r="J517" t="inlineStr">
        <is>
          <t>no 2027 film found in Wikipedia's cast lists</t>
        </is>
      </c>
      <c r="K517" t="inlineStr">
        <is>
          <t>C</t>
        </is>
      </c>
      <c r="L517" t="inlineStr">
        <is>
          <t>Wikipedia 'List of American films of 2027' casts (Actions-runner pull 2026-10-08) x comp-based box office/RT estimates; cast lists are billed leads only (cameos not captured)</t>
        </is>
      </c>
      <c r="M517" t="inlineStr">
        <is>
          <t>2026-10-08</t>
        </is>
      </c>
      <c r="N517" t="inlineStr">
        <is>
          <t>late filler</t>
        </is>
      </c>
      <c r="O517">
        <f>'Actor'!Y72</f>
        <v/>
      </c>
    </row>
    <row r="518">
      <c r="A518" t="n">
        <v>517</v>
      </c>
      <c r="B518" t="inlineStr">
        <is>
          <t>Golf</t>
        </is>
      </c>
      <c r="C518" t="inlineStr">
        <is>
          <t>Hideki Matsuyama</t>
        </is>
      </c>
      <c r="D518" t="inlineStr">
        <is>
          <t>— free</t>
        </is>
      </c>
      <c r="E518">
        <f>'Golf'!M30</f>
        <v/>
      </c>
      <c r="F518">
        <f>'Golf'!N30</f>
        <v/>
      </c>
      <c r="G518">
        <f>'Golf'!O30</f>
        <v/>
      </c>
      <c r="H518" t="n">
        <v>4</v>
      </c>
      <c r="J518" t="inlineStr">
        <is>
          <t>OWGR 26 (2026-10-08)</t>
        </is>
      </c>
      <c r="K518" t="inlineStr">
        <is>
          <t>C</t>
        </is>
      </c>
      <c r="L518" t="inlineStr">
        <is>
          <t>OWGR rank from league standings pull (A); major-win probabilities = model (rank-weighted share of 4 majors)</t>
        </is>
      </c>
      <c r="M518" t="inlineStr">
        <is>
          <t>2026-10-08</t>
        </is>
      </c>
      <c r="N518" t="inlineStr"/>
      <c r="O518">
        <f>'Golf'!Y30</f>
        <v/>
      </c>
    </row>
    <row r="519">
      <c r="A519" t="n">
        <v>518</v>
      </c>
      <c r="B519" t="inlineStr">
        <is>
          <t>Actor</t>
        </is>
      </c>
      <c r="C519" t="inlineStr">
        <is>
          <t>Ian McKellen</t>
        </is>
      </c>
      <c r="D519" t="inlineStr">
        <is>
          <t>— free</t>
        </is>
      </c>
      <c r="E519">
        <f>'Actor'!M73</f>
        <v/>
      </c>
      <c r="F519">
        <f>'Actor'!N73</f>
        <v/>
      </c>
      <c r="G519">
        <f>'Actor'!O73</f>
        <v/>
      </c>
      <c r="H519" t="n">
        <v>4</v>
      </c>
      <c r="J519" t="inlineStr">
        <is>
          <t>The Lord of the Rings: The Hunt for Gollum (Dec 17)</t>
        </is>
      </c>
      <c r="K519" t="inlineStr">
        <is>
          <t>C</t>
        </is>
      </c>
      <c r="L519" t="inlineStr">
        <is>
          <t>Wikipedia 'List of American films of 2027' casts (Actions-runner pull 2026-10-08) x comp-based box office/RT estimates; cast lists are billed leads only (cameos not captured)</t>
        </is>
      </c>
      <c r="M519" t="inlineStr">
        <is>
          <t>2026-10-08</t>
        </is>
      </c>
      <c r="N519" t="inlineStr">
        <is>
          <t>late filler</t>
        </is>
      </c>
      <c r="O519">
        <f>'Actor'!Y73</f>
        <v/>
      </c>
    </row>
    <row r="520">
      <c r="A520" t="n">
        <v>519</v>
      </c>
      <c r="B520" t="inlineStr">
        <is>
          <t>NCAAF</t>
        </is>
      </c>
      <c r="C520" t="inlineStr">
        <is>
          <t>Tennessee</t>
        </is>
      </c>
      <c r="D520" t="inlineStr">
        <is>
          <t>— free</t>
        </is>
      </c>
      <c r="E520">
        <f>'NCAAF'!M19</f>
        <v/>
      </c>
      <c r="F520">
        <f>'NCAAF'!N19</f>
        <v/>
      </c>
      <c r="G520">
        <f>'NCAAF'!O19</f>
        <v/>
      </c>
      <c r="H520" t="n">
        <v>4</v>
      </c>
      <c r="I520" t="inlineStr">
        <is>
          <t>Kalshi 1.5%</t>
        </is>
      </c>
      <c r="J520" t="inlineStr">
        <is>
          <t>AP #15, 4-1, SEC</t>
        </is>
      </c>
      <c r="K520" t="inlineStr">
        <is>
          <t>A</t>
        </is>
      </c>
      <c r="L520" t="inlineStr">
        <is>
          <t>KXNCAAF-27 exchange mid-price, pulled 2026-10-22</t>
        </is>
      </c>
      <c r="M520" t="inlineStr">
        <is>
          <t>2026-10-22</t>
        </is>
      </c>
      <c r="N520" t="inlineStr"/>
      <c r="O520">
        <f>'NCAAF'!Y19</f>
        <v/>
      </c>
    </row>
    <row r="521">
      <c r="A521" t="n">
        <v>520</v>
      </c>
      <c r="B521" t="inlineStr">
        <is>
          <t>Actor</t>
        </is>
      </c>
      <c r="C521" t="inlineStr">
        <is>
          <t>Jamie Dornan</t>
        </is>
      </c>
      <c r="D521" t="inlineStr">
        <is>
          <t>— free</t>
        </is>
      </c>
      <c r="E521">
        <f>'Actor'!M74</f>
        <v/>
      </c>
      <c r="F521">
        <f>'Actor'!N74</f>
        <v/>
      </c>
      <c r="G521">
        <f>'Actor'!O74</f>
        <v/>
      </c>
      <c r="H521" t="n">
        <v>4</v>
      </c>
      <c r="J521" t="inlineStr">
        <is>
          <t>The Lord of the Rings: The Hunt for Gollum (Dec 17)</t>
        </is>
      </c>
      <c r="K521" t="inlineStr">
        <is>
          <t>C</t>
        </is>
      </c>
      <c r="L521" t="inlineStr">
        <is>
          <t>Wikipedia 'List of American films of 2027' casts (Actions-runner pull 2026-10-08) x comp-based box office/RT estimates; cast lists are billed leads only (cameos not captured)</t>
        </is>
      </c>
      <c r="M521" t="inlineStr">
        <is>
          <t>2026-10-08</t>
        </is>
      </c>
      <c r="N521" t="inlineStr">
        <is>
          <t>late filler</t>
        </is>
      </c>
      <c r="O521">
        <f>'Actor'!Y74</f>
        <v/>
      </c>
    </row>
    <row r="522">
      <c r="A522" t="n">
        <v>521</v>
      </c>
      <c r="B522" t="inlineStr">
        <is>
          <t>Actor</t>
        </is>
      </c>
      <c r="C522" t="inlineStr">
        <is>
          <t>Lee Pace</t>
        </is>
      </c>
      <c r="D522" t="inlineStr">
        <is>
          <t>— free</t>
        </is>
      </c>
      <c r="E522">
        <f>'Actor'!M75</f>
        <v/>
      </c>
      <c r="F522">
        <f>'Actor'!N75</f>
        <v/>
      </c>
      <c r="G522">
        <f>'Actor'!O75</f>
        <v/>
      </c>
      <c r="H522" t="n">
        <v>4</v>
      </c>
      <c r="J522" t="inlineStr">
        <is>
          <t>The Lord of the Rings: The Hunt for Gollum (Dec 17)</t>
        </is>
      </c>
      <c r="K522" t="inlineStr">
        <is>
          <t>C</t>
        </is>
      </c>
      <c r="L522" t="inlineStr">
        <is>
          <t>Wikipedia 'List of American films of 2027' casts (Actions-runner pull 2026-10-08) x comp-based box office/RT estimates; cast lists are billed leads only (cameos not captured)</t>
        </is>
      </c>
      <c r="M522" t="inlineStr">
        <is>
          <t>2026-10-08</t>
        </is>
      </c>
      <c r="N522" t="inlineStr">
        <is>
          <t>late filler</t>
        </is>
      </c>
      <c r="O522">
        <f>'Actor'!Y75</f>
        <v/>
      </c>
    </row>
    <row r="523">
      <c r="A523" t="n">
        <v>522</v>
      </c>
      <c r="B523" t="inlineStr">
        <is>
          <t>Actor</t>
        </is>
      </c>
      <c r="C523" t="inlineStr">
        <is>
          <t>Leo Woodall</t>
        </is>
      </c>
      <c r="D523" t="inlineStr">
        <is>
          <t>— free</t>
        </is>
      </c>
      <c r="E523">
        <f>'Actor'!M76</f>
        <v/>
      </c>
      <c r="F523">
        <f>'Actor'!N76</f>
        <v/>
      </c>
      <c r="G523">
        <f>'Actor'!O76</f>
        <v/>
      </c>
      <c r="H523" t="n">
        <v>4</v>
      </c>
      <c r="J523" t="inlineStr">
        <is>
          <t>The Lord of the Rings: The Hunt for Gollum (Dec 17)</t>
        </is>
      </c>
      <c r="K523" t="inlineStr">
        <is>
          <t>C</t>
        </is>
      </c>
      <c r="L523" t="inlineStr">
        <is>
          <t>Wikipedia 'List of American films of 2027' casts (Actions-runner pull 2026-10-08) x comp-based box office/RT estimates; cast lists are billed leads only (cameos not captured)</t>
        </is>
      </c>
      <c r="M523" t="inlineStr">
        <is>
          <t>2026-10-08</t>
        </is>
      </c>
      <c r="N523" t="inlineStr">
        <is>
          <t>late filler</t>
        </is>
      </c>
      <c r="O523">
        <f>'Actor'!Y76</f>
        <v/>
      </c>
    </row>
    <row r="524">
      <c r="A524" t="n">
        <v>523</v>
      </c>
      <c r="B524" t="inlineStr">
        <is>
          <t>Actor</t>
        </is>
      </c>
      <c r="C524" t="inlineStr">
        <is>
          <t>Anthony Mackie</t>
        </is>
      </c>
      <c r="D524" t="inlineStr">
        <is>
          <t>— free</t>
        </is>
      </c>
      <c r="E524">
        <f>'Actor'!M77</f>
        <v/>
      </c>
      <c r="F524">
        <f>'Actor'!N77</f>
        <v/>
      </c>
      <c r="G524">
        <f>'Actor'!O77</f>
        <v/>
      </c>
      <c r="H524" t="n">
        <v>4</v>
      </c>
      <c r="J524" t="inlineStr">
        <is>
          <t>Avengers: Secret Wars (Dec 17)</t>
        </is>
      </c>
      <c r="K524" t="inlineStr">
        <is>
          <t>C</t>
        </is>
      </c>
      <c r="L524" t="inlineStr">
        <is>
          <t>Wikipedia 'List of American films of 2027' casts (Actions-runner pull 2026-10-08) x comp-based box office/RT estimates; cast lists are billed leads only (cameos not captured)</t>
        </is>
      </c>
      <c r="M524" t="inlineStr">
        <is>
          <t>2026-10-08</t>
        </is>
      </c>
      <c r="N524" t="inlineStr">
        <is>
          <t>late filler</t>
        </is>
      </c>
      <c r="O524">
        <f>'Actor'!Y77</f>
        <v/>
      </c>
    </row>
    <row r="525">
      <c r="A525" t="n">
        <v>524</v>
      </c>
      <c r="B525" t="inlineStr">
        <is>
          <t>Actor</t>
        </is>
      </c>
      <c r="C525" t="inlineStr">
        <is>
          <t>Elijah Wood</t>
        </is>
      </c>
      <c r="D525" t="inlineStr">
        <is>
          <t>— free</t>
        </is>
      </c>
      <c r="E525">
        <f>'Actor'!M78</f>
        <v/>
      </c>
      <c r="F525">
        <f>'Actor'!N78</f>
        <v/>
      </c>
      <c r="G525">
        <f>'Actor'!O78</f>
        <v/>
      </c>
      <c r="H525" t="n">
        <v>4</v>
      </c>
      <c r="J525" t="inlineStr">
        <is>
          <t>The Lord of the Rings: The Hunt for Gollum (Dec 17)</t>
        </is>
      </c>
      <c r="K525" t="inlineStr">
        <is>
          <t>C</t>
        </is>
      </c>
      <c r="L525" t="inlineStr">
        <is>
          <t>Wikipedia 'List of American films of 2027' casts (Actions-runner pull 2026-10-08) x comp-based box office/RT estimates; cast lists are billed leads only (cameos not captured)</t>
        </is>
      </c>
      <c r="M525" t="inlineStr">
        <is>
          <t>2026-10-08</t>
        </is>
      </c>
      <c r="N525" t="inlineStr">
        <is>
          <t>late filler</t>
        </is>
      </c>
      <c r="O525">
        <f>'Actor'!Y78</f>
        <v/>
      </c>
    </row>
    <row r="526">
      <c r="A526" t="n">
        <v>525</v>
      </c>
      <c r="B526" t="inlineStr">
        <is>
          <t>Actor</t>
        </is>
      </c>
      <c r="C526" t="inlineStr">
        <is>
          <t>Andy Serkis</t>
        </is>
      </c>
      <c r="D526" t="inlineStr">
        <is>
          <t>— free</t>
        </is>
      </c>
      <c r="E526">
        <f>'Actor'!M79</f>
        <v/>
      </c>
      <c r="F526">
        <f>'Actor'!N79</f>
        <v/>
      </c>
      <c r="G526">
        <f>'Actor'!O79</f>
        <v/>
      </c>
      <c r="H526" t="n">
        <v>4</v>
      </c>
      <c r="J526" t="inlineStr">
        <is>
          <t>The Lord of the Rings: The Hunt for Gollum (Dec 17)</t>
        </is>
      </c>
      <c r="K526" t="inlineStr">
        <is>
          <t>C</t>
        </is>
      </c>
      <c r="L526" t="inlineStr">
        <is>
          <t>Wikipedia 'List of American films of 2027' casts (Actions-runner pull 2026-10-08) x comp-based box office/RT estimates; cast lists are billed leads only (cameos not captured)</t>
        </is>
      </c>
      <c r="M526" t="inlineStr">
        <is>
          <t>2026-10-08</t>
        </is>
      </c>
      <c r="N526" t="inlineStr">
        <is>
          <t>late filler</t>
        </is>
      </c>
      <c r="O526">
        <f>'Actor'!Y79</f>
        <v/>
      </c>
    </row>
    <row r="527">
      <c r="A527" t="n">
        <v>526</v>
      </c>
      <c r="B527" t="inlineStr">
        <is>
          <t>Actor</t>
        </is>
      </c>
      <c r="C527" t="inlineStr">
        <is>
          <t>Ebon Moss-Bachrach</t>
        </is>
      </c>
      <c r="D527" t="inlineStr">
        <is>
          <t>— free</t>
        </is>
      </c>
      <c r="E527">
        <f>'Actor'!M80</f>
        <v/>
      </c>
      <c r="F527">
        <f>'Actor'!N80</f>
        <v/>
      </c>
      <c r="G527">
        <f>'Actor'!O80</f>
        <v/>
      </c>
      <c r="H527" t="n">
        <v>4</v>
      </c>
      <c r="J527" t="inlineStr">
        <is>
          <t>Avengers: Secret Wars (Dec 17)</t>
        </is>
      </c>
      <c r="K527" t="inlineStr">
        <is>
          <t>C</t>
        </is>
      </c>
      <c r="L527" t="inlineStr">
        <is>
          <t>Wikipedia 'List of American films of 2027' casts (Actions-runner pull 2026-10-08) x comp-based box office/RT estimates; cast lists are billed leads only (cameos not captured)</t>
        </is>
      </c>
      <c r="M527" t="inlineStr">
        <is>
          <t>2026-10-08</t>
        </is>
      </c>
      <c r="N527" t="inlineStr">
        <is>
          <t>late filler</t>
        </is>
      </c>
      <c r="O527">
        <f>'Actor'!Y80</f>
        <v/>
      </c>
    </row>
    <row r="528">
      <c r="A528" t="n">
        <v>527</v>
      </c>
      <c r="B528" t="inlineStr">
        <is>
          <t>Musician</t>
        </is>
      </c>
      <c r="C528" t="inlineStr">
        <is>
          <t>Doechii</t>
        </is>
      </c>
      <c r="D528" t="inlineStr">
        <is>
          <t>— free</t>
        </is>
      </c>
      <c r="E528">
        <f>'Musician'!M28</f>
        <v/>
      </c>
      <c r="F528">
        <f>'Musician'!N28</f>
        <v/>
      </c>
      <c r="G528">
        <f>'Musician'!O28</f>
        <v/>
      </c>
      <c r="H528" t="n">
        <v>4</v>
      </c>
      <c r="I528" t="inlineStr">
        <is>
          <t>Grammy EV 0.3</t>
        </is>
      </c>
      <c r="J528" t="inlineStr">
        <is>
          <t>2026 raw 0; charting now: none charting; carry-over 0.0 + new hits 1.3 (lambda 0.15, P(~0) 86%)</t>
        </is>
      </c>
      <c r="K528" t="inlineStr">
        <is>
          <t>C</t>
        </is>
      </c>
      <c r="L528" t="inlineStr">
        <is>
          <t>2027 Hot 100 baseline = my estimate; Grammy: estimate (C)</t>
        </is>
      </c>
      <c r="M528" t="inlineStr">
        <is>
          <t>2026-10-08</t>
        </is>
      </c>
      <c r="N528" t="inlineStr">
        <is>
          <t>late filler</t>
        </is>
      </c>
      <c r="O528">
        <f>'Musician'!Y28</f>
        <v/>
      </c>
    </row>
    <row r="529">
      <c r="A529" t="n">
        <v>528</v>
      </c>
      <c r="B529" t="inlineStr">
        <is>
          <t>Actor</t>
        </is>
      </c>
      <c r="C529" t="inlineStr">
        <is>
          <t>Simu Liu</t>
        </is>
      </c>
      <c r="D529" t="inlineStr">
        <is>
          <t>— free</t>
        </is>
      </c>
      <c r="E529">
        <f>'Actor'!M81</f>
        <v/>
      </c>
      <c r="F529">
        <f>'Actor'!N81</f>
        <v/>
      </c>
      <c r="G529">
        <f>'Actor'!O81</f>
        <v/>
      </c>
      <c r="H529" t="n">
        <v>4</v>
      </c>
      <c r="J529" t="inlineStr">
        <is>
          <t>Avengers: Secret Wars (Dec 17)</t>
        </is>
      </c>
      <c r="K529" t="inlineStr">
        <is>
          <t>C</t>
        </is>
      </c>
      <c r="L529" t="inlineStr">
        <is>
          <t>Wikipedia 'List of American films of 2027' casts (Actions-runner pull 2026-10-08) x comp-based box office/RT estimates; cast lists are billed leads only (cameos not captured)</t>
        </is>
      </c>
      <c r="M529" t="inlineStr">
        <is>
          <t>2026-10-08</t>
        </is>
      </c>
      <c r="N529" t="inlineStr">
        <is>
          <t>late filler</t>
        </is>
      </c>
      <c r="O529">
        <f>'Actor'!Y81</f>
        <v/>
      </c>
    </row>
    <row r="530">
      <c r="A530" t="n">
        <v>529</v>
      </c>
      <c r="B530" t="inlineStr">
        <is>
          <t>Actor</t>
        </is>
      </c>
      <c r="C530" t="inlineStr">
        <is>
          <t>Robert Downey Jr.</t>
        </is>
      </c>
      <c r="D530" t="inlineStr">
        <is>
          <t>— free</t>
        </is>
      </c>
      <c r="E530">
        <f>'Actor'!M82</f>
        <v/>
      </c>
      <c r="F530">
        <f>'Actor'!N82</f>
        <v/>
      </c>
      <c r="G530">
        <f>'Actor'!O82</f>
        <v/>
      </c>
      <c r="H530" t="n">
        <v>4</v>
      </c>
      <c r="J530" t="inlineStr">
        <is>
          <t>Avengers: Secret Wars (Dec 17)</t>
        </is>
      </c>
      <c r="K530" t="inlineStr">
        <is>
          <t>C</t>
        </is>
      </c>
      <c r="L530" t="inlineStr">
        <is>
          <t>Wikipedia 'List of American films of 2027' casts (Actions-runner pull 2026-10-08) x comp-based box office/RT estimates; cast lists are billed leads only (cameos not captured)</t>
        </is>
      </c>
      <c r="M530" t="inlineStr">
        <is>
          <t>2026-10-08</t>
        </is>
      </c>
      <c r="N530" t="inlineStr">
        <is>
          <t>late filler</t>
        </is>
      </c>
      <c r="O530">
        <f>'Actor'!Y82</f>
        <v/>
      </c>
    </row>
    <row r="531">
      <c r="A531" t="n">
        <v>530</v>
      </c>
      <c r="B531" t="inlineStr">
        <is>
          <t>Musician</t>
        </is>
      </c>
      <c r="C531" t="inlineStr">
        <is>
          <t>Tate McRae</t>
        </is>
      </c>
      <c r="D531" t="inlineStr">
        <is>
          <t>— free</t>
        </is>
      </c>
      <c r="E531">
        <f>'Musician'!M29</f>
        <v/>
      </c>
      <c r="F531">
        <f>'Musician'!N29</f>
        <v/>
      </c>
      <c r="G531">
        <f>'Musician'!O29</f>
        <v/>
      </c>
      <c r="H531" t="n">
        <v>4</v>
      </c>
      <c r="I531" t="inlineStr">
        <is>
          <t>Grammy EV 0.3</t>
        </is>
      </c>
      <c r="J531" t="inlineStr">
        <is>
          <t>2026 raw 0; charting now: none charting; carry-over 0.0 + new hits 1.3 (lambda 0.15, P(~0) 86%)</t>
        </is>
      </c>
      <c r="K531" t="inlineStr">
        <is>
          <t>C</t>
        </is>
      </c>
      <c r="L531" t="inlineStr">
        <is>
          <t>2027 Hot 100 baseline = my estimate; Grammy: estimate (C)</t>
        </is>
      </c>
      <c r="M531" t="inlineStr">
        <is>
          <t>2026-10-08</t>
        </is>
      </c>
      <c r="N531" t="inlineStr">
        <is>
          <t>late filler</t>
        </is>
      </c>
      <c r="O531">
        <f>'Musician'!Y29</f>
        <v/>
      </c>
    </row>
    <row r="532">
      <c r="A532" t="n">
        <v>531</v>
      </c>
      <c r="B532" t="inlineStr">
        <is>
          <t>Actor</t>
        </is>
      </c>
      <c r="C532" t="inlineStr">
        <is>
          <t>Joseph Quinn</t>
        </is>
      </c>
      <c r="D532" t="inlineStr">
        <is>
          <t>— free</t>
        </is>
      </c>
      <c r="E532">
        <f>'Actor'!M83</f>
        <v/>
      </c>
      <c r="F532">
        <f>'Actor'!N83</f>
        <v/>
      </c>
      <c r="G532">
        <f>'Actor'!O83</f>
        <v/>
      </c>
      <c r="H532" t="n">
        <v>4</v>
      </c>
      <c r="J532" t="inlineStr">
        <is>
          <t>Avengers: Secret Wars (Dec 17)</t>
        </is>
      </c>
      <c r="K532" t="inlineStr">
        <is>
          <t>C</t>
        </is>
      </c>
      <c r="L532" t="inlineStr">
        <is>
          <t>Wikipedia 'List of American films of 2027' casts (Actions-runner pull 2026-10-08) x comp-based box office/RT estimates; cast lists are billed leads only (cameos not captured)</t>
        </is>
      </c>
      <c r="M532" t="inlineStr">
        <is>
          <t>2026-10-08</t>
        </is>
      </c>
      <c r="N532" t="inlineStr">
        <is>
          <t>late filler</t>
        </is>
      </c>
      <c r="O532">
        <f>'Actor'!Y83</f>
        <v/>
      </c>
    </row>
    <row r="533">
      <c r="A533" t="n">
        <v>532</v>
      </c>
      <c r="B533" t="inlineStr">
        <is>
          <t>NBA</t>
        </is>
      </c>
      <c r="C533" t="inlineStr">
        <is>
          <t>Chicago Bulls</t>
        </is>
      </c>
      <c r="D533" t="inlineStr">
        <is>
          <t>— free</t>
        </is>
      </c>
      <c r="E533">
        <f>'NBA'!M32</f>
        <v/>
      </c>
      <c r="F533">
        <f>'NBA'!N32</f>
        <v/>
      </c>
      <c r="G533">
        <f>'NBA'!O32</f>
        <v/>
      </c>
      <c r="H533" t="n">
        <v>4</v>
      </c>
      <c r="J533" t="inlineStr">
        <is>
          <t>East; win total 29.5</t>
        </is>
      </c>
      <c r="K533" t="inlineStr">
        <is>
          <t>A</t>
        </is>
      </c>
      <c r="L533" t="inlineStr">
        <is>
          <t>BetMGM win total; title price estimated | league_sim.py: full-schedule + real playoff bracket Monte Carlo, ratings fitted to Kalshi</t>
        </is>
      </c>
      <c r="M533" t="inlineStr">
        <is>
          <t>2026-10-08</t>
        </is>
      </c>
      <c r="N533" t="inlineStr"/>
      <c r="O533">
        <f>'NBA'!Y32</f>
        <v/>
      </c>
    </row>
    <row r="534">
      <c r="A534" t="n">
        <v>533</v>
      </c>
      <c r="B534" t="inlineStr">
        <is>
          <t>Actor</t>
        </is>
      </c>
      <c r="C534" t="inlineStr">
        <is>
          <t>Paul Bettany</t>
        </is>
      </c>
      <c r="D534" t="inlineStr">
        <is>
          <t>— free</t>
        </is>
      </c>
      <c r="E534">
        <f>'Actor'!M84</f>
        <v/>
      </c>
      <c r="F534">
        <f>'Actor'!N84</f>
        <v/>
      </c>
      <c r="G534">
        <f>'Actor'!O84</f>
        <v/>
      </c>
      <c r="H534" t="n">
        <v>4</v>
      </c>
      <c r="J534" t="inlineStr">
        <is>
          <t>Avengers: Secret Wars (Dec 17)</t>
        </is>
      </c>
      <c r="K534" t="inlineStr">
        <is>
          <t>C</t>
        </is>
      </c>
      <c r="L534" t="inlineStr">
        <is>
          <t>Wikipedia 'List of American films of 2027' casts (Actions-runner pull 2026-10-08) x comp-based box office/RT estimates; cast lists are billed leads only (cameos not captured)</t>
        </is>
      </c>
      <c r="M534" t="inlineStr">
        <is>
          <t>2026-10-08</t>
        </is>
      </c>
      <c r="N534" t="inlineStr">
        <is>
          <t>late filler</t>
        </is>
      </c>
      <c r="O534">
        <f>'Actor'!Y84</f>
        <v/>
      </c>
    </row>
    <row r="535">
      <c r="A535" t="n">
        <v>534</v>
      </c>
      <c r="B535" t="inlineStr">
        <is>
          <t>Musician</t>
        </is>
      </c>
      <c r="C535" t="inlineStr">
        <is>
          <t>Zach Bryan</t>
        </is>
      </c>
      <c r="D535" t="inlineStr">
        <is>
          <t>— free</t>
        </is>
      </c>
      <c r="E535">
        <f>'Musician'!M30</f>
        <v/>
      </c>
      <c r="F535">
        <f>'Musician'!N30</f>
        <v/>
      </c>
      <c r="G535">
        <f>'Musician'!O30</f>
        <v/>
      </c>
      <c r="H535" t="n">
        <v>4</v>
      </c>
      <c r="I535" t="inlineStr">
        <is>
          <t>Grammy EV 0.3</t>
        </is>
      </c>
      <c r="J535" t="inlineStr">
        <is>
          <t>2026 raw 0; charting now: none charting; carry-over 0.0 + new hits 1.3 (lambda 0.15, P(~0) 86%)</t>
        </is>
      </c>
      <c r="K535" t="inlineStr">
        <is>
          <t>C</t>
        </is>
      </c>
      <c r="L535" t="inlineStr">
        <is>
          <t>2027 Hot 100 baseline = my estimate; Grammy: estimate (C)</t>
        </is>
      </c>
      <c r="M535" t="inlineStr">
        <is>
          <t>2026-10-08</t>
        </is>
      </c>
      <c r="N535" t="inlineStr">
        <is>
          <t>late filler</t>
        </is>
      </c>
      <c r="O535">
        <f>'Musician'!Y30</f>
        <v/>
      </c>
    </row>
    <row r="536">
      <c r="A536" t="n">
        <v>535</v>
      </c>
      <c r="B536" t="inlineStr">
        <is>
          <t>Actor</t>
        </is>
      </c>
      <c r="C536" t="inlineStr">
        <is>
          <t>Chris Evans</t>
        </is>
      </c>
      <c r="D536" t="inlineStr">
        <is>
          <t>— free</t>
        </is>
      </c>
      <c r="E536">
        <f>'Actor'!M85</f>
        <v/>
      </c>
      <c r="F536">
        <f>'Actor'!N85</f>
        <v/>
      </c>
      <c r="G536">
        <f>'Actor'!O85</f>
        <v/>
      </c>
      <c r="H536" t="n">
        <v>4</v>
      </c>
      <c r="J536" t="inlineStr">
        <is>
          <t>Avengers: Secret Wars (Dec 17)</t>
        </is>
      </c>
      <c r="K536" t="inlineStr">
        <is>
          <t>C</t>
        </is>
      </c>
      <c r="L536" t="inlineStr">
        <is>
          <t>Wikipedia 'List of American films of 2027' casts (Actions-runner pull 2026-10-08) x comp-based box office/RT estimates; cast lists are billed leads only (cameos not captured)</t>
        </is>
      </c>
      <c r="M536" t="inlineStr">
        <is>
          <t>2026-10-08</t>
        </is>
      </c>
      <c r="N536" t="inlineStr">
        <is>
          <t>late filler</t>
        </is>
      </c>
      <c r="O536">
        <f>'Actor'!Y85</f>
        <v/>
      </c>
    </row>
    <row r="537">
      <c r="A537" t="n">
        <v>536</v>
      </c>
      <c r="B537" t="inlineStr">
        <is>
          <t>Golf</t>
        </is>
      </c>
      <c r="C537" t="inlineStr">
        <is>
          <t>Justin Thomas</t>
        </is>
      </c>
      <c r="D537" s="16" t="inlineStr">
        <is>
          <t>Theo</t>
        </is>
      </c>
      <c r="E537">
        <f>'Golf'!M31</f>
        <v/>
      </c>
      <c r="F537">
        <f>'Golf'!N31</f>
        <v/>
      </c>
      <c r="G537">
        <f>'Golf'!O31</f>
        <v/>
      </c>
      <c r="H537" t="n">
        <v>4</v>
      </c>
      <c r="J537" t="inlineStr">
        <is>
          <t>OWGR 27 (2026-10-08)</t>
        </is>
      </c>
      <c r="K537" t="inlineStr">
        <is>
          <t>C</t>
        </is>
      </c>
      <c r="L537" t="inlineStr">
        <is>
          <t>OWGR rank from league standings pull (A); major-win probabilities = model (rank-weighted share of 4 majors)</t>
        </is>
      </c>
      <c r="M537" t="inlineStr">
        <is>
          <t>2026-10-08</t>
        </is>
      </c>
      <c r="N537" t="inlineStr"/>
      <c r="O537">
        <f>'Golf'!Y31</f>
        <v/>
      </c>
    </row>
    <row r="538">
      <c r="A538" t="n">
        <v>537</v>
      </c>
      <c r="B538" t="inlineStr">
        <is>
          <t>Musician</t>
        </is>
      </c>
      <c r="C538" t="inlineStr">
        <is>
          <t>Tyler, the Creator</t>
        </is>
      </c>
      <c r="D538" t="inlineStr">
        <is>
          <t>— free</t>
        </is>
      </c>
      <c r="E538">
        <f>'Musician'!M31</f>
        <v/>
      </c>
      <c r="F538">
        <f>'Musician'!N31</f>
        <v/>
      </c>
      <c r="G538">
        <f>'Musician'!O31</f>
        <v/>
      </c>
      <c r="H538" t="n">
        <v>4</v>
      </c>
      <c r="I538" t="inlineStr">
        <is>
          <t>Grammy EV 0.3</t>
        </is>
      </c>
      <c r="J538" t="inlineStr">
        <is>
          <t>2026 raw 0; charting now: none charting; carry-over 0.0 + new hits 1.2 (lambda 0.15, P(~0) 86%)</t>
        </is>
      </c>
      <c r="K538" t="inlineStr">
        <is>
          <t>C</t>
        </is>
      </c>
      <c r="L538" t="inlineStr">
        <is>
          <t>2027 Hot 100 baseline = my estimate; Grammy: estimate (C)</t>
        </is>
      </c>
      <c r="M538" t="inlineStr">
        <is>
          <t>2026-10-08</t>
        </is>
      </c>
      <c r="N538" t="inlineStr">
        <is>
          <t>late filler</t>
        </is>
      </c>
      <c r="O538">
        <f>'Musician'!Y31</f>
        <v/>
      </c>
    </row>
    <row r="539">
      <c r="A539" t="n">
        <v>538</v>
      </c>
      <c r="B539" t="inlineStr">
        <is>
          <t>Musician</t>
        </is>
      </c>
      <c r="C539" t="inlineStr">
        <is>
          <t>Chappell Roan</t>
        </is>
      </c>
      <c r="D539" t="inlineStr">
        <is>
          <t>— free</t>
        </is>
      </c>
      <c r="E539">
        <f>'Musician'!M32</f>
        <v/>
      </c>
      <c r="F539">
        <f>'Musician'!N32</f>
        <v/>
      </c>
      <c r="G539">
        <f>'Musician'!O32</f>
        <v/>
      </c>
      <c r="H539" t="n">
        <v>4</v>
      </c>
      <c r="I539" t="inlineStr">
        <is>
          <t>Grammy EV 0.3</t>
        </is>
      </c>
      <c r="J539" t="inlineStr">
        <is>
          <t>2026 raw 0; charting now: none charting; carry-over 0.0 + new hits 1.3 (lambda 0.15, P(~0) 86%)</t>
        </is>
      </c>
      <c r="K539" t="inlineStr">
        <is>
          <t>C</t>
        </is>
      </c>
      <c r="L539" t="inlineStr">
        <is>
          <t>2027 Hot 100 baseline = my estimate; Grammy: estimate (C)</t>
        </is>
      </c>
      <c r="M539" t="inlineStr">
        <is>
          <t>2026-10-08</t>
        </is>
      </c>
      <c r="N539" t="inlineStr">
        <is>
          <t>late filler</t>
        </is>
      </c>
      <c r="O539">
        <f>'Musician'!Y32</f>
        <v/>
      </c>
    </row>
    <row r="540">
      <c r="A540" t="n">
        <v>539</v>
      </c>
      <c r="B540" t="inlineStr">
        <is>
          <t>Musician</t>
        </is>
      </c>
      <c r="C540" t="inlineStr">
        <is>
          <t>Travis Scott</t>
        </is>
      </c>
      <c r="D540" t="inlineStr">
        <is>
          <t>— free</t>
        </is>
      </c>
      <c r="E540">
        <f>'Musician'!M33</f>
        <v/>
      </c>
      <c r="F540">
        <f>'Musician'!N33</f>
        <v/>
      </c>
      <c r="G540">
        <f>'Musician'!O33</f>
        <v/>
      </c>
      <c r="H540" t="n">
        <v>4</v>
      </c>
      <c r="I540" t="inlineStr">
        <is>
          <t>Grammy EV 0.3</t>
        </is>
      </c>
      <c r="J540" t="inlineStr">
        <is>
          <t>2026 raw 0; charting now: none charting; carry-over 0.0 + new hits 1.2 (lambda 0.15, P(~0) 86%)</t>
        </is>
      </c>
      <c r="K540" t="inlineStr">
        <is>
          <t>C</t>
        </is>
      </c>
      <c r="L540" t="inlineStr">
        <is>
          <t>2027 Hot 100 baseline = my estimate; Grammy: estimate (C)</t>
        </is>
      </c>
      <c r="M540" t="inlineStr">
        <is>
          <t>2026-10-08</t>
        </is>
      </c>
      <c r="N540" t="inlineStr">
        <is>
          <t>late filler</t>
        </is>
      </c>
      <c r="O540">
        <f>'Musician'!Y33</f>
        <v/>
      </c>
    </row>
    <row r="541">
      <c r="A541" t="n">
        <v>540</v>
      </c>
      <c r="B541" t="inlineStr">
        <is>
          <t>Musician</t>
        </is>
      </c>
      <c r="C541" t="inlineStr">
        <is>
          <t>FKA Twigs</t>
        </is>
      </c>
      <c r="D541" s="16" t="inlineStr">
        <is>
          <t>Wu</t>
        </is>
      </c>
      <c r="E541">
        <f>'Musician'!M34</f>
        <v/>
      </c>
      <c r="F541">
        <f>'Musician'!N34</f>
        <v/>
      </c>
      <c r="G541">
        <f>'Musician'!O34</f>
        <v/>
      </c>
      <c r="H541" t="n">
        <v>4</v>
      </c>
      <c r="J541" t="inlineStr">
        <is>
          <t>2026 raw 0; charting now: none charting; carry-over 0.0 + new hits 1.2 (lambda 0.15, P(~0) 86%)</t>
        </is>
      </c>
      <c r="K541" t="inlineStr">
        <is>
          <t>C</t>
        </is>
      </c>
      <c r="L541" t="inlineStr">
        <is>
          <t>added because a league member currently owns this pick (draft_picks_2026.py); not in the first-pass pool, so figures are placeholders (conf C)</t>
        </is>
      </c>
      <c r="M541" t="inlineStr">
        <is>
          <t>2026-10-08</t>
        </is>
      </c>
      <c r="N541" t="inlineStr">
        <is>
          <t>late filler</t>
        </is>
      </c>
      <c r="O541">
        <f>'Musician'!Y34</f>
        <v/>
      </c>
    </row>
    <row r="542">
      <c r="A542" t="n">
        <v>541</v>
      </c>
      <c r="B542" t="inlineStr">
        <is>
          <t>Musician</t>
        </is>
      </c>
      <c r="C542" t="inlineStr">
        <is>
          <t>Doja Cat</t>
        </is>
      </c>
      <c r="D542" t="inlineStr">
        <is>
          <t>— free</t>
        </is>
      </c>
      <c r="E542">
        <f>'Musician'!M35</f>
        <v/>
      </c>
      <c r="F542">
        <f>'Musician'!N35</f>
        <v/>
      </c>
      <c r="G542">
        <f>'Musician'!O35</f>
        <v/>
      </c>
      <c r="H542" t="n">
        <v>4</v>
      </c>
      <c r="I542" t="inlineStr">
        <is>
          <t>Grammy EV 0.3</t>
        </is>
      </c>
      <c r="J542" t="inlineStr">
        <is>
          <t>2026 raw 0; charting now: none charting; carry-over 0.0 + new hits 1.2 (lambda 0.15, P(~0) 86%)</t>
        </is>
      </c>
      <c r="K542" t="inlineStr">
        <is>
          <t>C</t>
        </is>
      </c>
      <c r="L542" t="inlineStr">
        <is>
          <t>2027 Hot 100 baseline = my estimate; Grammy: estimate (C)</t>
        </is>
      </c>
      <c r="M542" t="inlineStr">
        <is>
          <t>2026-10-08</t>
        </is>
      </c>
      <c r="N542" t="inlineStr">
        <is>
          <t>late filler</t>
        </is>
      </c>
      <c r="O542">
        <f>'Musician'!Y35</f>
        <v/>
      </c>
    </row>
    <row r="543">
      <c r="A543" t="n">
        <v>542</v>
      </c>
      <c r="B543" t="inlineStr">
        <is>
          <t>NBA</t>
        </is>
      </c>
      <c r="C543" t="inlineStr">
        <is>
          <t>Milwaukee Bucks</t>
        </is>
      </c>
      <c r="D543" s="16" t="inlineStr">
        <is>
          <t>Molmen</t>
        </is>
      </c>
      <c r="E543">
        <f>'NBA'!M33</f>
        <v/>
      </c>
      <c r="F543">
        <f>'NBA'!N33</f>
        <v/>
      </c>
      <c r="G543">
        <f>'NBA'!O33</f>
        <v/>
      </c>
      <c r="H543" t="n">
        <v>4</v>
      </c>
      <c r="J543" t="inlineStr">
        <is>
          <t>East; win total 25.5</t>
        </is>
      </c>
      <c r="K543" t="inlineStr">
        <is>
          <t>A</t>
        </is>
      </c>
      <c r="L543" t="inlineStr">
        <is>
          <t>BetMGM win total; title price estimated | league_sim.py: full-schedule + real playoff bracket Monte Carlo, ratings fitted to Kalshi</t>
        </is>
      </c>
      <c r="M543" t="inlineStr">
        <is>
          <t>2026-10-08</t>
        </is>
      </c>
      <c r="N543" t="inlineStr"/>
      <c r="O543">
        <f>'NBA'!Y33</f>
        <v/>
      </c>
    </row>
    <row r="544">
      <c r="A544" t="n">
        <v>543</v>
      </c>
      <c r="B544" t="inlineStr">
        <is>
          <t>Musician</t>
        </is>
      </c>
      <c r="C544" t="inlineStr">
        <is>
          <t>Post Malone</t>
        </is>
      </c>
      <c r="D544" t="inlineStr">
        <is>
          <t>— free</t>
        </is>
      </c>
      <c r="E544">
        <f>'Musician'!M36</f>
        <v/>
      </c>
      <c r="F544">
        <f>'Musician'!N36</f>
        <v/>
      </c>
      <c r="G544">
        <f>'Musician'!O36</f>
        <v/>
      </c>
      <c r="H544" t="n">
        <v>4</v>
      </c>
      <c r="I544" t="inlineStr">
        <is>
          <t>Grammy EV 0.3</t>
        </is>
      </c>
      <c r="J544" t="inlineStr">
        <is>
          <t>2026 raw 0; charting now: none charting; carry-over 0.0 + new hits 1.2 (lambda 0.15, P(~0) 86%)</t>
        </is>
      </c>
      <c r="K544" t="inlineStr">
        <is>
          <t>C</t>
        </is>
      </c>
      <c r="L544" t="inlineStr">
        <is>
          <t>2027 Hot 100 baseline = my estimate; Grammy: estimate (C)</t>
        </is>
      </c>
      <c r="M544" t="inlineStr">
        <is>
          <t>2026-10-08</t>
        </is>
      </c>
      <c r="N544" t="inlineStr">
        <is>
          <t>late filler</t>
        </is>
      </c>
      <c r="O544">
        <f>'Musician'!Y36</f>
        <v/>
      </c>
    </row>
    <row r="545">
      <c r="A545" t="n">
        <v>544</v>
      </c>
      <c r="B545" t="inlineStr">
        <is>
          <t>NCAAF</t>
        </is>
      </c>
      <c r="C545" t="inlineStr">
        <is>
          <t>Missouri</t>
        </is>
      </c>
      <c r="D545" t="inlineStr">
        <is>
          <t>— free</t>
        </is>
      </c>
      <c r="E545">
        <f>'NCAAF'!M18</f>
        <v/>
      </c>
      <c r="F545">
        <f>'NCAAF'!N18</f>
        <v/>
      </c>
      <c r="G545">
        <f>'NCAAF'!O18</f>
        <v/>
      </c>
      <c r="H545" t="n">
        <v>4</v>
      </c>
      <c r="I545" t="inlineStr">
        <is>
          <t>+10000</t>
        </is>
      </c>
      <c r="J545" t="inlineStr">
        <is>
          <t>AP #14, 4-1, SEC</t>
        </is>
      </c>
      <c r="K545" t="inlineStr">
        <is>
          <t>C</t>
        </is>
      </c>
      <c r="L545" t="inlineStr">
        <is>
          <t>estimate</t>
        </is>
      </c>
      <c r="M545" t="inlineStr">
        <is>
          <t>2026-10-08</t>
        </is>
      </c>
      <c r="N545" t="inlineStr"/>
      <c r="O545">
        <f>'NCAAF'!Y18</f>
        <v/>
      </c>
    </row>
    <row r="546">
      <c r="A546" t="n">
        <v>545</v>
      </c>
      <c r="B546" t="inlineStr">
        <is>
          <t>NCAAF</t>
        </is>
      </c>
      <c r="C546" t="inlineStr">
        <is>
          <t>Florida</t>
        </is>
      </c>
      <c r="D546" t="inlineStr">
        <is>
          <t>— free</t>
        </is>
      </c>
      <c r="E546">
        <f>'NCAAF'!M20</f>
        <v/>
      </c>
      <c r="F546">
        <f>'NCAAF'!N20</f>
        <v/>
      </c>
      <c r="G546">
        <f>'NCAAF'!O20</f>
        <v/>
      </c>
      <c r="H546" t="n">
        <v>4</v>
      </c>
      <c r="I546" t="inlineStr">
        <is>
          <t>Kalshi 1.5%</t>
        </is>
      </c>
      <c r="J546" t="inlineStr">
        <is>
          <t>AP #16, 4-1, SEC</t>
        </is>
      </c>
      <c r="K546" t="inlineStr">
        <is>
          <t>A</t>
        </is>
      </c>
      <c r="L546" t="inlineStr">
        <is>
          <t>KXNCAAF-27 exchange mid-price, pulled 2026-10-22</t>
        </is>
      </c>
      <c r="M546" t="inlineStr">
        <is>
          <t>2026-10-22</t>
        </is>
      </c>
      <c r="N546" t="inlineStr"/>
      <c r="O546">
        <f>'NCAAF'!Y20</f>
        <v/>
      </c>
    </row>
    <row r="547">
      <c r="A547" t="n">
        <v>546</v>
      </c>
      <c r="B547" t="inlineStr">
        <is>
          <t>Golf</t>
        </is>
      </c>
      <c r="C547" t="inlineStr">
        <is>
          <t>Patrick Cantlay</t>
        </is>
      </c>
      <c r="D547" s="16" t="inlineStr">
        <is>
          <t>Todd</t>
        </is>
      </c>
      <c r="E547">
        <f>'Golf'!M32</f>
        <v/>
      </c>
      <c r="F547">
        <f>'Golf'!N32</f>
        <v/>
      </c>
      <c r="G547">
        <f>'Golf'!O32</f>
        <v/>
      </c>
      <c r="H547" t="n">
        <v>4</v>
      </c>
      <c r="J547" t="inlineStr">
        <is>
          <t>OWGR 28 (2026-10-08)</t>
        </is>
      </c>
      <c r="K547" t="inlineStr">
        <is>
          <t>C</t>
        </is>
      </c>
      <c r="L547" t="inlineStr">
        <is>
          <t>OWGR rank from league standings pull (A); major-win probabilities = model (rank-weighted share of 4 majors)</t>
        </is>
      </c>
      <c r="M547" t="inlineStr">
        <is>
          <t>2026-10-08</t>
        </is>
      </c>
      <c r="N547" t="inlineStr"/>
      <c r="O547">
        <f>'Golf'!Y32</f>
        <v/>
      </c>
    </row>
    <row r="548">
      <c r="A548" t="n">
        <v>547</v>
      </c>
      <c r="B548" t="inlineStr">
        <is>
          <t>NHL</t>
        </is>
      </c>
      <c r="C548" t="inlineStr">
        <is>
          <t>Philadelphia Flyers</t>
        </is>
      </c>
      <c r="D548" t="inlineStr">
        <is>
          <t>— free</t>
        </is>
      </c>
      <c r="E548">
        <f>'NHL'!M30</f>
        <v/>
      </c>
      <c r="F548">
        <f>'NHL'!N30</f>
        <v/>
      </c>
      <c r="G548">
        <f>'NHL'!O30</f>
        <v/>
      </c>
      <c r="H548" t="n">
        <v>4</v>
      </c>
      <c r="I548" t="inlineStr">
        <is>
          <t>Kalshi +6567</t>
        </is>
      </c>
      <c r="J548" t="inlineStr">
        <is>
          <t>East</t>
        </is>
      </c>
      <c r="K548" t="inlineStr">
        <is>
          <t>A</t>
        </is>
      </c>
      <c r="L548" t="inlineStr">
        <is>
          <t>Kalshi Cup market (~1 month old) normalised; points totals SportsBettingDime | league_sim.py: full-schedule + real playoff bracket Monte Carlo, ratings fitted to Kalshi</t>
        </is>
      </c>
      <c r="M548" t="inlineStr">
        <is>
          <t>2026-10-08</t>
        </is>
      </c>
      <c r="N548" t="inlineStr"/>
      <c r="O548">
        <f>'NHL'!Y30</f>
        <v/>
      </c>
    </row>
    <row r="549">
      <c r="A549" t="n">
        <v>548</v>
      </c>
      <c r="B549" t="inlineStr">
        <is>
          <t>Golf</t>
        </is>
      </c>
      <c r="C549" t="inlineStr">
        <is>
          <t>Patrick Reed</t>
        </is>
      </c>
      <c r="D549" t="inlineStr">
        <is>
          <t>— free</t>
        </is>
      </c>
      <c r="E549">
        <f>'Golf'!M33</f>
        <v/>
      </c>
      <c r="F549">
        <f>'Golf'!N33</f>
        <v/>
      </c>
      <c r="G549">
        <f>'Golf'!O33</f>
        <v/>
      </c>
      <c r="H549" t="n">
        <v>4</v>
      </c>
      <c r="J549" t="inlineStr">
        <is>
          <t>OWGR 29 (2026-10-08)</t>
        </is>
      </c>
      <c r="K549" t="inlineStr">
        <is>
          <t>C</t>
        </is>
      </c>
      <c r="L549" t="inlineStr">
        <is>
          <t>OWGR rank from league standings pull (A); major-win probabilities = model (rank-weighted share of 4 majors)</t>
        </is>
      </c>
      <c r="M549" t="inlineStr">
        <is>
          <t>2026-10-08</t>
        </is>
      </c>
      <c r="N549" t="inlineStr"/>
      <c r="O549">
        <f>'Golf'!Y33</f>
        <v/>
      </c>
    </row>
    <row r="550">
      <c r="A550" t="n">
        <v>549</v>
      </c>
      <c r="B550" t="inlineStr">
        <is>
          <t>Actor</t>
        </is>
      </c>
      <c r="C550" t="inlineStr">
        <is>
          <t>Mark Ruffalo</t>
        </is>
      </c>
      <c r="D550" t="inlineStr">
        <is>
          <t>— free</t>
        </is>
      </c>
      <c r="E550">
        <f>'Actor'!M86</f>
        <v/>
      </c>
      <c r="F550">
        <f>'Actor'!N86</f>
        <v/>
      </c>
      <c r="G550">
        <f>'Actor'!O86</f>
        <v/>
      </c>
      <c r="H550" t="n">
        <v>4</v>
      </c>
      <c r="J550" t="inlineStr">
        <is>
          <t>Gatto (Mar 5)</t>
        </is>
      </c>
      <c r="K550" t="inlineStr">
        <is>
          <t>C</t>
        </is>
      </c>
      <c r="L550" t="inlineStr">
        <is>
          <t>Wikipedia 'List of American films of 2027' casts (Actions-runner pull 2026-10-08) x comp-based box office/RT estimates; cast lists are billed leads only (cameos not captured)</t>
        </is>
      </c>
      <c r="M550" t="inlineStr">
        <is>
          <t>2026-10-08</t>
        </is>
      </c>
      <c r="N550" t="inlineStr">
        <is>
          <t>late filler</t>
        </is>
      </c>
      <c r="O550">
        <f>'Actor'!Y86</f>
        <v/>
      </c>
    </row>
    <row r="551">
      <c r="A551" t="n">
        <v>550</v>
      </c>
      <c r="B551" t="inlineStr">
        <is>
          <t>NHL</t>
        </is>
      </c>
      <c r="C551" t="inlineStr">
        <is>
          <t>Pittsburgh Penguins</t>
        </is>
      </c>
      <c r="D551" t="inlineStr">
        <is>
          <t>— free</t>
        </is>
      </c>
      <c r="E551">
        <f>'NHL'!M31</f>
        <v/>
      </c>
      <c r="F551">
        <f>'NHL'!N31</f>
        <v/>
      </c>
      <c r="G551">
        <f>'NHL'!O31</f>
        <v/>
      </c>
      <c r="H551" t="n">
        <v>4</v>
      </c>
      <c r="I551" t="inlineStr">
        <is>
          <t>Kalshi +4900</t>
        </is>
      </c>
      <c r="J551" t="inlineStr">
        <is>
          <t>East</t>
        </is>
      </c>
      <c r="K551" t="inlineStr">
        <is>
          <t>A</t>
        </is>
      </c>
      <c r="L551" t="inlineStr">
        <is>
          <t>Kalshi Cup market (~1 month old) normalised; points totals SportsBettingDime | league_sim.py: full-schedule + real playoff bracket Monte Carlo, ratings fitted to Kalshi</t>
        </is>
      </c>
      <c r="M551" t="inlineStr">
        <is>
          <t>2026-10-08</t>
        </is>
      </c>
      <c r="N551" t="inlineStr"/>
      <c r="O551">
        <f>'NHL'!Y31</f>
        <v/>
      </c>
    </row>
    <row r="552">
      <c r="A552" t="n">
        <v>551</v>
      </c>
      <c r="B552" t="inlineStr">
        <is>
          <t>NFL</t>
        </is>
      </c>
      <c r="C552" t="inlineStr">
        <is>
          <t>New Orleans Saints</t>
        </is>
      </c>
      <c r="D552" t="inlineStr">
        <is>
          <t>— free</t>
        </is>
      </c>
      <c r="E552">
        <f>'NFL'!M26</f>
        <v/>
      </c>
      <c r="F552">
        <f>'NFL'!N26</f>
        <v/>
      </c>
      <c r="G552">
        <f>'NFL'!O26</f>
        <v/>
      </c>
      <c r="H552" t="n">
        <v>4</v>
      </c>
      <c r="I552" t="inlineStr">
        <is>
          <t>+25000</t>
        </is>
      </c>
      <c r="J552" t="inlineStr">
        <is>
          <t>1-3, NFC South</t>
        </is>
      </c>
      <c r="K552" t="inlineStr">
        <is>
          <t>A</t>
        </is>
      </c>
      <c r="L552" t="inlineStr">
        <is>
          <t>estimate | league_sim.py: full-schedule + real playoff bracket Monte Carlo, ratings fitted to Kalshi</t>
        </is>
      </c>
      <c r="M552" t="inlineStr">
        <is>
          <t>2026-10-08</t>
        </is>
      </c>
      <c r="N552" t="inlineStr"/>
      <c r="O552">
        <f>'NFL'!Y26</f>
        <v/>
      </c>
    </row>
    <row r="553">
      <c r="A553" t="n">
        <v>552</v>
      </c>
      <c r="B553" t="inlineStr">
        <is>
          <t>Golf</t>
        </is>
      </c>
      <c r="C553" t="inlineStr">
        <is>
          <t>Kristoffer Reitan</t>
        </is>
      </c>
      <c r="D553" t="inlineStr">
        <is>
          <t>— free</t>
        </is>
      </c>
      <c r="E553">
        <f>'Golf'!M34</f>
        <v/>
      </c>
      <c r="F553">
        <f>'Golf'!N34</f>
        <v/>
      </c>
      <c r="G553">
        <f>'Golf'!O34</f>
        <v/>
      </c>
      <c r="H553" t="n">
        <v>4</v>
      </c>
      <c r="J553" t="inlineStr">
        <is>
          <t>OWGR 30 (2026-10-08)</t>
        </is>
      </c>
      <c r="K553" t="inlineStr">
        <is>
          <t>C</t>
        </is>
      </c>
      <c r="L553" t="inlineStr">
        <is>
          <t>OWGR rank from league standings pull (A); major-win probabilities = model (rank-weighted share of 4 majors)</t>
        </is>
      </c>
      <c r="M553" t="inlineStr">
        <is>
          <t>2026-10-08</t>
        </is>
      </c>
      <c r="N553" t="inlineStr"/>
      <c r="O553">
        <f>'Golf'!Y34</f>
        <v/>
      </c>
    </row>
    <row r="554">
      <c r="A554" t="n">
        <v>553</v>
      </c>
      <c r="B554" t="inlineStr">
        <is>
          <t>NBA</t>
        </is>
      </c>
      <c r="C554" t="inlineStr">
        <is>
          <t>Sacramento Kings</t>
        </is>
      </c>
      <c r="D554" t="inlineStr">
        <is>
          <t>— free</t>
        </is>
      </c>
      <c r="E554">
        <f>'NBA'!M34</f>
        <v/>
      </c>
      <c r="F554">
        <f>'NBA'!N34</f>
        <v/>
      </c>
      <c r="G554">
        <f>'NBA'!O34</f>
        <v/>
      </c>
      <c r="H554" t="n">
        <v>4</v>
      </c>
      <c r="J554" t="inlineStr">
        <is>
          <t>West; win total 21.5</t>
        </is>
      </c>
      <c r="K554" t="inlineStr">
        <is>
          <t>A</t>
        </is>
      </c>
      <c r="L554" t="inlineStr">
        <is>
          <t>BetMGM win total; title price estimated | league_sim.py: full-schedule + real playoff bracket Monte Carlo, ratings fitted to Kalshi</t>
        </is>
      </c>
      <c r="M554" t="inlineStr">
        <is>
          <t>2026-10-08</t>
        </is>
      </c>
      <c r="N554" t="inlineStr"/>
      <c r="O554">
        <f>'NBA'!Y34</f>
        <v/>
      </c>
    </row>
    <row r="555">
      <c r="A555" t="n">
        <v>554</v>
      </c>
      <c r="B555" t="inlineStr">
        <is>
          <t>Golf</t>
        </is>
      </c>
      <c r="C555" t="inlineStr">
        <is>
          <t>Min Woo Lee</t>
        </is>
      </c>
      <c r="D555" t="inlineStr">
        <is>
          <t>— free</t>
        </is>
      </c>
      <c r="E555">
        <f>'Golf'!M35</f>
        <v/>
      </c>
      <c r="F555">
        <f>'Golf'!N35</f>
        <v/>
      </c>
      <c r="G555">
        <f>'Golf'!O35</f>
        <v/>
      </c>
      <c r="H555" t="n">
        <v>4</v>
      </c>
      <c r="J555" t="inlineStr">
        <is>
          <t>OWGR 31 (2026-10-08)</t>
        </is>
      </c>
      <c r="K555" t="inlineStr">
        <is>
          <t>C</t>
        </is>
      </c>
      <c r="L555" t="inlineStr">
        <is>
          <t>OWGR rank from league standings pull (A); major-win probabilities = model (rank-weighted share of 4 majors)</t>
        </is>
      </c>
      <c r="M555" t="inlineStr">
        <is>
          <t>2026-10-08</t>
        </is>
      </c>
      <c r="N555" t="inlineStr"/>
      <c r="O555">
        <f>'Golf'!Y35</f>
        <v/>
      </c>
    </row>
    <row r="556">
      <c r="A556" t="n">
        <v>555</v>
      </c>
      <c r="B556" t="inlineStr">
        <is>
          <t>NHL</t>
        </is>
      </c>
      <c r="C556" t="inlineStr">
        <is>
          <t>Chicago Blackhawks</t>
        </is>
      </c>
      <c r="D556" t="inlineStr">
        <is>
          <t>— free</t>
        </is>
      </c>
      <c r="E556">
        <f>'NHL'!M32</f>
        <v/>
      </c>
      <c r="F556">
        <f>'NHL'!N32</f>
        <v/>
      </c>
      <c r="G556">
        <f>'NHL'!O32</f>
        <v/>
      </c>
      <c r="H556" t="n">
        <v>4</v>
      </c>
      <c r="I556" t="inlineStr">
        <is>
          <t>Kalshi +9900</t>
        </is>
      </c>
      <c r="J556" t="inlineStr">
        <is>
          <t>West</t>
        </is>
      </c>
      <c r="K556" t="inlineStr">
        <is>
          <t>A</t>
        </is>
      </c>
      <c r="L556" t="inlineStr">
        <is>
          <t>Kalshi Cup market (~1 month old) normalised; points totals SportsBettingDime | league_sim.py: full-schedule + real playoff bracket Monte Carlo, ratings fitted to Kalshi</t>
        </is>
      </c>
      <c r="M556" t="inlineStr">
        <is>
          <t>2026-10-08</t>
        </is>
      </c>
      <c r="N556" t="inlineStr"/>
      <c r="O556">
        <f>'NHL'!Y32</f>
        <v/>
      </c>
    </row>
    <row r="557">
      <c r="A557" t="n">
        <v>556</v>
      </c>
      <c r="B557" t="inlineStr">
        <is>
          <t>Golf</t>
        </is>
      </c>
      <c r="C557" t="inlineStr">
        <is>
          <t>Tom Kim</t>
        </is>
      </c>
      <c r="D557" t="inlineStr">
        <is>
          <t>— free</t>
        </is>
      </c>
      <c r="E557">
        <f>'Golf'!M36</f>
        <v/>
      </c>
      <c r="F557">
        <f>'Golf'!N36</f>
        <v/>
      </c>
      <c r="G557">
        <f>'Golf'!O36</f>
        <v/>
      </c>
      <c r="H557" t="n">
        <v>4</v>
      </c>
      <c r="J557" t="inlineStr">
        <is>
          <t>OWGR 32 (2026-10-08)</t>
        </is>
      </c>
      <c r="K557" t="inlineStr">
        <is>
          <t>C</t>
        </is>
      </c>
      <c r="L557" t="inlineStr">
        <is>
          <t>OWGR rank from league standings pull (A); major-win probabilities = model (rank-weighted share of 4 majors)</t>
        </is>
      </c>
      <c r="M557" t="inlineStr">
        <is>
          <t>2026-10-08</t>
        </is>
      </c>
      <c r="N557" t="inlineStr"/>
      <c r="O557">
        <f>'Golf'!Y36</f>
        <v/>
      </c>
    </row>
    <row r="558">
      <c r="A558" t="n">
        <v>557</v>
      </c>
      <c r="B558" t="inlineStr">
        <is>
          <t>NFL</t>
        </is>
      </c>
      <c r="C558" t="inlineStr">
        <is>
          <t>Atlanta Falcons</t>
        </is>
      </c>
      <c r="D558" t="inlineStr">
        <is>
          <t>— free</t>
        </is>
      </c>
      <c r="E558">
        <f>'NFL'!M27</f>
        <v/>
      </c>
      <c r="F558">
        <f>'NFL'!N27</f>
        <v/>
      </c>
      <c r="G558">
        <f>'NFL'!O27</f>
        <v/>
      </c>
      <c r="H558" t="n">
        <v>4</v>
      </c>
      <c r="I558" t="inlineStr">
        <is>
          <t>+10000</t>
        </is>
      </c>
      <c r="J558" t="inlineStr">
        <is>
          <t>2-2, NFC South</t>
        </is>
      </c>
      <c r="K558" t="inlineStr">
        <is>
          <t>A</t>
        </is>
      </c>
      <c r="L558" t="inlineStr">
        <is>
          <t>estimate; p(final)=KXNFLAFCCHAMP/KXNFLNFCCHAMP-27 Kalshi mid | league_sim.py: full-schedule + real playoff bracket Monte Carlo, ratings fitted to Kalshi</t>
        </is>
      </c>
      <c r="M558" t="inlineStr">
        <is>
          <t>2026-10-08</t>
        </is>
      </c>
      <c r="N558" t="inlineStr"/>
      <c r="O558">
        <f>'NFL'!Y27</f>
        <v/>
      </c>
    </row>
    <row r="559">
      <c r="A559" t="n">
        <v>558</v>
      </c>
      <c r="B559" t="inlineStr">
        <is>
          <t>NHL</t>
        </is>
      </c>
      <c r="C559" t="inlineStr">
        <is>
          <t>Nashville Predators</t>
        </is>
      </c>
      <c r="D559" t="inlineStr">
        <is>
          <t>— free</t>
        </is>
      </c>
      <c r="E559">
        <f>'NHL'!M33</f>
        <v/>
      </c>
      <c r="F559">
        <f>'NHL'!N33</f>
        <v/>
      </c>
      <c r="G559">
        <f>'NHL'!O33</f>
        <v/>
      </c>
      <c r="H559" t="n">
        <v>4</v>
      </c>
      <c r="I559" t="inlineStr">
        <is>
          <t>Kalshi +9900</t>
        </is>
      </c>
      <c r="J559" t="inlineStr">
        <is>
          <t>West</t>
        </is>
      </c>
      <c r="K559" t="inlineStr">
        <is>
          <t>A</t>
        </is>
      </c>
      <c r="L559" t="inlineStr">
        <is>
          <t>Kalshi Cup market (~1 month old) normalised; points totals SportsBettingDime | league_sim.py: full-schedule + real playoff bracket Monte Carlo, ratings fitted to Kalshi</t>
        </is>
      </c>
      <c r="M559" t="inlineStr">
        <is>
          <t>2026-10-08</t>
        </is>
      </c>
      <c r="N559" t="inlineStr"/>
      <c r="O559">
        <f>'NHL'!Y33</f>
        <v/>
      </c>
    </row>
    <row r="560">
      <c r="A560" t="n">
        <v>559</v>
      </c>
      <c r="B560" t="inlineStr">
        <is>
          <t>Golf</t>
        </is>
      </c>
      <c r="C560" t="inlineStr">
        <is>
          <t>Michael Brennan</t>
        </is>
      </c>
      <c r="D560" t="inlineStr">
        <is>
          <t>— free</t>
        </is>
      </c>
      <c r="E560">
        <f>'Golf'!M37</f>
        <v/>
      </c>
      <c r="F560">
        <f>'Golf'!N37</f>
        <v/>
      </c>
      <c r="G560">
        <f>'Golf'!O37</f>
        <v/>
      </c>
      <c r="H560" t="n">
        <v>4</v>
      </c>
      <c r="J560" t="inlineStr">
        <is>
          <t>OWGR 33 (2026-10-08)</t>
        </is>
      </c>
      <c r="K560" t="inlineStr">
        <is>
          <t>C</t>
        </is>
      </c>
      <c r="L560" t="inlineStr">
        <is>
          <t>OWGR rank from league standings pull (A); major-win probabilities = model (rank-weighted share of 4 majors)</t>
        </is>
      </c>
      <c r="M560" t="inlineStr">
        <is>
          <t>2026-10-08</t>
        </is>
      </c>
      <c r="N560" t="inlineStr"/>
      <c r="O560">
        <f>'Golf'!Y37</f>
        <v/>
      </c>
    </row>
    <row r="561">
      <c r="A561" t="n">
        <v>560</v>
      </c>
      <c r="B561" t="inlineStr">
        <is>
          <t>Golf</t>
        </is>
      </c>
      <c r="C561" t="inlineStr">
        <is>
          <t>Akshay Bhatia</t>
        </is>
      </c>
      <c r="D561" t="inlineStr">
        <is>
          <t>— free</t>
        </is>
      </c>
      <c r="E561">
        <f>'Golf'!M38</f>
        <v/>
      </c>
      <c r="F561">
        <f>'Golf'!N38</f>
        <v/>
      </c>
      <c r="G561">
        <f>'Golf'!O38</f>
        <v/>
      </c>
      <c r="H561" t="n">
        <v>4</v>
      </c>
      <c r="J561" t="inlineStr">
        <is>
          <t>OWGR 34 (2026-10-08)</t>
        </is>
      </c>
      <c r="K561" t="inlineStr">
        <is>
          <t>C</t>
        </is>
      </c>
      <c r="L561" t="inlineStr">
        <is>
          <t>OWGR rank from league standings pull (A); major-win probabilities = model (rank-weighted share of 4 majors)</t>
        </is>
      </c>
      <c r="M561" t="inlineStr">
        <is>
          <t>2026-10-08</t>
        </is>
      </c>
      <c r="N561" t="inlineStr"/>
      <c r="O561">
        <f>'Golf'!Y38</f>
        <v/>
      </c>
    </row>
    <row r="562">
      <c r="A562" t="n">
        <v>561</v>
      </c>
      <c r="B562" t="inlineStr">
        <is>
          <t>Actor</t>
        </is>
      </c>
      <c r="C562" t="inlineStr">
        <is>
          <t>Sebastian Stan</t>
        </is>
      </c>
      <c r="D562" t="inlineStr">
        <is>
          <t>— free</t>
        </is>
      </c>
      <c r="E562">
        <f>'Actor'!M87</f>
        <v/>
      </c>
      <c r="F562">
        <f>'Actor'!N87</f>
        <v/>
      </c>
      <c r="G562">
        <f>'Actor'!O87</f>
        <v/>
      </c>
      <c r="H562" t="n">
        <v>4</v>
      </c>
      <c r="J562" t="inlineStr">
        <is>
          <t>no 2027 film found in Wikipedia's cast lists</t>
        </is>
      </c>
      <c r="K562" t="inlineStr">
        <is>
          <t>C</t>
        </is>
      </c>
      <c r="L562" t="inlineStr">
        <is>
          <t>Wikipedia 'List of American films of 2027' casts (Actions-runner pull 2026-10-08) x comp-based box office/RT estimates; cast lists are billed leads only (cameos not captured)</t>
        </is>
      </c>
      <c r="M562" t="inlineStr">
        <is>
          <t>2026-10-08</t>
        </is>
      </c>
      <c r="N562" t="inlineStr">
        <is>
          <t>late filler</t>
        </is>
      </c>
      <c r="O562">
        <f>'Actor'!Y87</f>
        <v/>
      </c>
    </row>
    <row r="563">
      <c r="A563" t="n">
        <v>562</v>
      </c>
      <c r="B563" t="inlineStr">
        <is>
          <t>Actor</t>
        </is>
      </c>
      <c r="C563" t="inlineStr">
        <is>
          <t>Wagner Moura</t>
        </is>
      </c>
      <c r="D563" s="16" t="inlineStr">
        <is>
          <t>Wu</t>
        </is>
      </c>
      <c r="E563">
        <f>'Actor'!M88</f>
        <v/>
      </c>
      <c r="F563">
        <f>'Actor'!N88</f>
        <v/>
      </c>
      <c r="G563">
        <f>'Actor'!O88</f>
        <v/>
      </c>
      <c r="H563" t="n">
        <v>4</v>
      </c>
      <c r="J563" t="inlineStr">
        <is>
          <t>Untitled Ocean's Eleven prequel (Jun 25)</t>
        </is>
      </c>
      <c r="K563" t="inlineStr">
        <is>
          <t>C</t>
        </is>
      </c>
      <c r="L563" t="inlineStr">
        <is>
          <t>Wikipedia 'List of American films of 2027' casts (Actions-runner pull 2026-10-08) x comp-based box office/RT estimates; cast lists are billed leads only (cameos not captured)</t>
        </is>
      </c>
      <c r="M563" t="inlineStr">
        <is>
          <t>2026-10-08</t>
        </is>
      </c>
      <c r="N563" t="inlineStr">
        <is>
          <t>late filler</t>
        </is>
      </c>
      <c r="O563">
        <f>'Actor'!Y88</f>
        <v/>
      </c>
    </row>
    <row r="564">
      <c r="A564" t="n">
        <v>563</v>
      </c>
      <c r="B564" t="inlineStr">
        <is>
          <t>Golf</t>
        </is>
      </c>
      <c r="C564" t="inlineStr">
        <is>
          <t>Joaquin Niemann</t>
        </is>
      </c>
      <c r="D564" t="inlineStr">
        <is>
          <t>— free</t>
        </is>
      </c>
      <c r="E564">
        <f>'Golf'!M39</f>
        <v/>
      </c>
      <c r="F564">
        <f>'Golf'!N39</f>
        <v/>
      </c>
      <c r="G564">
        <f>'Golf'!O39</f>
        <v/>
      </c>
      <c r="H564" t="n">
        <v>4</v>
      </c>
      <c r="J564" t="inlineStr">
        <is>
          <t>OWGR 35 (2026-10-08)</t>
        </is>
      </c>
      <c r="K564" t="inlineStr">
        <is>
          <t>C</t>
        </is>
      </c>
      <c r="L564" t="inlineStr">
        <is>
          <t>OWGR rank from league standings pull (A); major-win probabilities = model (rank-weighted share of 4 majors)</t>
        </is>
      </c>
      <c r="M564" t="inlineStr">
        <is>
          <t>2026-10-08</t>
        </is>
      </c>
      <c r="N564" t="inlineStr"/>
      <c r="O564">
        <f>'Golf'!Y39</f>
        <v/>
      </c>
    </row>
    <row r="565">
      <c r="A565" t="n">
        <v>564</v>
      </c>
      <c r="B565" t="inlineStr">
        <is>
          <t>NHL</t>
        </is>
      </c>
      <c r="C565" t="inlineStr">
        <is>
          <t>Detroit Red Wings</t>
        </is>
      </c>
      <c r="D565" s="16" t="inlineStr">
        <is>
          <t>Theo</t>
        </is>
      </c>
      <c r="E565">
        <f>'NHL'!M34</f>
        <v/>
      </c>
      <c r="F565">
        <f>'NHL'!N34</f>
        <v/>
      </c>
      <c r="G565">
        <f>'NHL'!O34</f>
        <v/>
      </c>
      <c r="H565" t="n">
        <v>4</v>
      </c>
      <c r="I565" t="inlineStr">
        <is>
          <t>Kalshi +9900</t>
        </is>
      </c>
      <c r="J565" t="inlineStr">
        <is>
          <t>East</t>
        </is>
      </c>
      <c r="K565" t="inlineStr">
        <is>
          <t>A</t>
        </is>
      </c>
      <c r="L565" t="inlineStr">
        <is>
          <t>Kalshi Cup market (~1 month old) normalised; points totals SportsBettingDime | league_sim.py: full-schedule + real playoff bracket Monte Carlo, ratings fitted to Kalshi</t>
        </is>
      </c>
      <c r="M565" t="inlineStr">
        <is>
          <t>2026-10-08</t>
        </is>
      </c>
      <c r="N565" t="inlineStr"/>
      <c r="O565">
        <f>'NHL'!Y34</f>
        <v/>
      </c>
    </row>
    <row r="566">
      <c r="A566" t="n">
        <v>565</v>
      </c>
      <c r="B566" t="inlineStr">
        <is>
          <t>Golf</t>
        </is>
      </c>
      <c r="C566" t="inlineStr">
        <is>
          <t>Sepp Straka</t>
        </is>
      </c>
      <c r="D566" t="inlineStr">
        <is>
          <t>— free</t>
        </is>
      </c>
      <c r="E566">
        <f>'Golf'!M40</f>
        <v/>
      </c>
      <c r="F566">
        <f>'Golf'!N40</f>
        <v/>
      </c>
      <c r="G566">
        <f>'Golf'!O40</f>
        <v/>
      </c>
      <c r="H566" t="n">
        <v>4</v>
      </c>
      <c r="J566" t="inlineStr">
        <is>
          <t>OWGR 36 (2026-10-08)</t>
        </is>
      </c>
      <c r="K566" t="inlineStr">
        <is>
          <t>C</t>
        </is>
      </c>
      <c r="L566" t="inlineStr">
        <is>
          <t>OWGR rank from league standings pull (A); major-win probabilities = model (rank-weighted share of 4 majors)</t>
        </is>
      </c>
      <c r="M566" t="inlineStr">
        <is>
          <t>2026-10-08</t>
        </is>
      </c>
      <c r="N566" t="inlineStr"/>
      <c r="O566">
        <f>'Golf'!Y40</f>
        <v/>
      </c>
    </row>
    <row r="567">
      <c r="A567" t="n">
        <v>566</v>
      </c>
      <c r="B567" t="inlineStr">
        <is>
          <t>Actor</t>
        </is>
      </c>
      <c r="C567" t="inlineStr">
        <is>
          <t>Tom Holland</t>
        </is>
      </c>
      <c r="D567" s="16" t="inlineStr">
        <is>
          <t>Feder</t>
        </is>
      </c>
      <c r="E567">
        <f>'Actor'!M89</f>
        <v/>
      </c>
      <c r="F567">
        <f>'Actor'!N89</f>
        <v/>
      </c>
      <c r="G567">
        <f>'Actor'!O89</f>
        <v/>
      </c>
      <c r="H567" t="n">
        <v>4</v>
      </c>
      <c r="J567" t="inlineStr">
        <is>
          <t>no 2027 film found in Wikipedia's cast lists</t>
        </is>
      </c>
      <c r="K567" t="inlineStr">
        <is>
          <t>C</t>
        </is>
      </c>
      <c r="L567" t="inlineStr">
        <is>
          <t>Wikipedia 'List of American films of 2027' casts (Actions-runner pull 2026-10-08) x comp-based box office/RT estimates; cast lists are billed leads only (cameos not captured)</t>
        </is>
      </c>
      <c r="M567" t="inlineStr">
        <is>
          <t>2026-10-08</t>
        </is>
      </c>
      <c r="N567" t="inlineStr">
        <is>
          <t>late filler</t>
        </is>
      </c>
      <c r="O567">
        <f>'Actor'!Y89</f>
        <v/>
      </c>
    </row>
    <row r="568">
      <c r="A568" t="n">
        <v>567</v>
      </c>
      <c r="B568" t="inlineStr">
        <is>
          <t>Golf</t>
        </is>
      </c>
      <c r="C568" t="inlineStr">
        <is>
          <t>Bryson DeChambeau</t>
        </is>
      </c>
      <c r="D568" s="16" t="inlineStr">
        <is>
          <t>Feder</t>
        </is>
      </c>
      <c r="E568">
        <f>'Golf'!M41</f>
        <v/>
      </c>
      <c r="F568">
        <f>'Golf'!N41</f>
        <v/>
      </c>
      <c r="G568">
        <f>'Golf'!O41</f>
        <v/>
      </c>
      <c r="H568" t="n">
        <v>4</v>
      </c>
      <c r="J568" t="inlineStr">
        <is>
          <t>OWGR 37 (2026-10-08)</t>
        </is>
      </c>
      <c r="K568" t="inlineStr">
        <is>
          <t>C</t>
        </is>
      </c>
      <c r="L568" t="inlineStr">
        <is>
          <t>OWGR rank from league standings pull (A); major-win probabilities = model (rank-weighted share of 4 majors)</t>
        </is>
      </c>
      <c r="M568" t="inlineStr">
        <is>
          <t>2026-10-08</t>
        </is>
      </c>
      <c r="N568" t="inlineStr"/>
      <c r="O568">
        <f>'Golf'!Y41</f>
        <v/>
      </c>
    </row>
    <row r="569">
      <c r="A569" t="n">
        <v>568</v>
      </c>
      <c r="B569" t="inlineStr">
        <is>
          <t>Golf</t>
        </is>
      </c>
      <c r="C569" t="inlineStr">
        <is>
          <t>J.T. Poston</t>
        </is>
      </c>
      <c r="D569" t="inlineStr">
        <is>
          <t>— free</t>
        </is>
      </c>
      <c r="E569">
        <f>'Golf'!M42</f>
        <v/>
      </c>
      <c r="F569">
        <f>'Golf'!N42</f>
        <v/>
      </c>
      <c r="G569">
        <f>'Golf'!O42</f>
        <v/>
      </c>
      <c r="H569" t="n">
        <v>4</v>
      </c>
      <c r="J569" t="inlineStr">
        <is>
          <t>OWGR 38 (2026-10-08)</t>
        </is>
      </c>
      <c r="K569" t="inlineStr">
        <is>
          <t>C</t>
        </is>
      </c>
      <c r="L569" t="inlineStr">
        <is>
          <t>OWGR rank from league standings pull (A); major-win probabilities = model (rank-weighted share of 4 majors)</t>
        </is>
      </c>
      <c r="M569" t="inlineStr">
        <is>
          <t>2026-10-08</t>
        </is>
      </c>
      <c r="N569" t="inlineStr"/>
      <c r="O569">
        <f>'Golf'!Y42</f>
        <v/>
      </c>
    </row>
    <row r="570">
      <c r="A570" t="n">
        <v>569</v>
      </c>
      <c r="B570" t="inlineStr">
        <is>
          <t>NCAAF</t>
        </is>
      </c>
      <c r="C570" t="inlineStr">
        <is>
          <t>Mississippi State</t>
        </is>
      </c>
      <c r="D570" t="inlineStr">
        <is>
          <t>— free</t>
        </is>
      </c>
      <c r="E570">
        <f>'NCAAF'!M24</f>
        <v/>
      </c>
      <c r="F570">
        <f>'NCAAF'!N24</f>
        <v/>
      </c>
      <c r="G570">
        <f>'NCAAF'!O24</f>
        <v/>
      </c>
      <c r="H570" t="n">
        <v>4</v>
      </c>
      <c r="I570" t="inlineStr">
        <is>
          <t>Kalshi 0.5%</t>
        </is>
      </c>
      <c r="J570" t="inlineStr">
        <is>
          <t>AP #17, 4-1, SEC</t>
        </is>
      </c>
      <c r="K570" t="inlineStr">
        <is>
          <t>A</t>
        </is>
      </c>
      <c r="L570" t="inlineStr">
        <is>
          <t>KXNCAAF-27 exchange mid-price, pulled 2026-10-08</t>
        </is>
      </c>
      <c r="M570" t="inlineStr">
        <is>
          <t>2026-10-08</t>
        </is>
      </c>
      <c r="N570" t="inlineStr"/>
      <c r="O570">
        <f>'NCAAF'!Y24</f>
        <v/>
      </c>
    </row>
    <row r="571">
      <c r="A571" t="n">
        <v>570</v>
      </c>
      <c r="B571" t="inlineStr">
        <is>
          <t>Golf</t>
        </is>
      </c>
      <c r="C571" t="inlineStr">
        <is>
          <t>Shane Lowry</t>
        </is>
      </c>
      <c r="D571" t="inlineStr">
        <is>
          <t>— free</t>
        </is>
      </c>
      <c r="E571">
        <f>'Golf'!M43</f>
        <v/>
      </c>
      <c r="F571">
        <f>'Golf'!N43</f>
        <v/>
      </c>
      <c r="G571">
        <f>'Golf'!O43</f>
        <v/>
      </c>
      <c r="H571" t="n">
        <v>4</v>
      </c>
      <c r="J571" t="inlineStr">
        <is>
          <t>OWGR 39 (2026-10-08)</t>
        </is>
      </c>
      <c r="K571" t="inlineStr">
        <is>
          <t>C</t>
        </is>
      </c>
      <c r="L571" t="inlineStr">
        <is>
          <t>OWGR rank from league standings pull (A); major-win probabilities = model (rank-weighted share of 4 majors)</t>
        </is>
      </c>
      <c r="M571" t="inlineStr">
        <is>
          <t>2026-10-08</t>
        </is>
      </c>
      <c r="N571" t="inlineStr"/>
      <c r="O571">
        <f>'Golf'!Y43</f>
        <v/>
      </c>
    </row>
    <row r="572">
      <c r="A572" t="n">
        <v>571</v>
      </c>
      <c r="B572" t="inlineStr">
        <is>
          <t>Golf</t>
        </is>
      </c>
      <c r="C572" t="inlineStr">
        <is>
          <t>Michael Thorbjornsen</t>
        </is>
      </c>
      <c r="D572" t="inlineStr">
        <is>
          <t>— free</t>
        </is>
      </c>
      <c r="E572">
        <f>'Golf'!M44</f>
        <v/>
      </c>
      <c r="F572">
        <f>'Golf'!N44</f>
        <v/>
      </c>
      <c r="G572">
        <f>'Golf'!O44</f>
        <v/>
      </c>
      <c r="H572" t="n">
        <v>4</v>
      </c>
      <c r="J572" t="inlineStr">
        <is>
          <t>OWGR 40 (2026-10-08)</t>
        </is>
      </c>
      <c r="K572" t="inlineStr">
        <is>
          <t>C</t>
        </is>
      </c>
      <c r="L572" t="inlineStr">
        <is>
          <t>OWGR rank from league standings pull (A); major-win probabilities = model (rank-weighted share of 4 majors)</t>
        </is>
      </c>
      <c r="M572" t="inlineStr">
        <is>
          <t>2026-10-08</t>
        </is>
      </c>
      <c r="N572" t="inlineStr"/>
      <c r="O572">
        <f>'Golf'!Y44</f>
        <v/>
      </c>
    </row>
    <row r="573">
      <c r="A573" t="n">
        <v>572</v>
      </c>
      <c r="B573" t="inlineStr">
        <is>
          <t>Actor</t>
        </is>
      </c>
      <c r="C573" t="inlineStr">
        <is>
          <t>Brendan Fraser</t>
        </is>
      </c>
      <c r="D573" t="inlineStr">
        <is>
          <t>— free</t>
        </is>
      </c>
      <c r="E573">
        <f>'Actor'!M90</f>
        <v/>
      </c>
      <c r="F573">
        <f>'Actor'!N90</f>
        <v/>
      </c>
      <c r="G573">
        <f>'Actor'!O90</f>
        <v/>
      </c>
      <c r="H573" t="n">
        <v>4</v>
      </c>
      <c r="J573" t="inlineStr">
        <is>
          <t>Untitled Mummy sequel (Oct 15)</t>
        </is>
      </c>
      <c r="K573" t="inlineStr">
        <is>
          <t>C</t>
        </is>
      </c>
      <c r="L573" t="inlineStr">
        <is>
          <t>Box Office Mojo 2027 release calendar (Actions-runner pull 2026-10-08) x comp-based box office/RT estimates</t>
        </is>
      </c>
      <c r="M573" t="inlineStr">
        <is>
          <t>2026-10-08</t>
        </is>
      </c>
      <c r="N573" t="inlineStr">
        <is>
          <t>late filler</t>
        </is>
      </c>
      <c r="O573">
        <f>'Actor'!Y90</f>
        <v/>
      </c>
    </row>
    <row r="574">
      <c r="A574" t="n">
        <v>573</v>
      </c>
      <c r="B574" t="inlineStr">
        <is>
          <t>NCAAF</t>
        </is>
      </c>
      <c r="C574" t="inlineStr">
        <is>
          <t>UCLA</t>
        </is>
      </c>
      <c r="D574" t="inlineStr">
        <is>
          <t>— free</t>
        </is>
      </c>
      <c r="E574">
        <f>'NCAAF'!M26</f>
        <v/>
      </c>
      <c r="F574">
        <f>'NCAAF'!N26</f>
        <v/>
      </c>
      <c r="G574">
        <f>'NCAAF'!O26</f>
        <v/>
      </c>
      <c r="H574" t="n">
        <v>4</v>
      </c>
      <c r="I574" t="inlineStr">
        <is>
          <t>Kalshi 1.5%</t>
        </is>
      </c>
      <c r="J574" t="inlineStr">
        <is>
          <t>AP #21, 4-0, Big Ten</t>
        </is>
      </c>
      <c r="K574" t="inlineStr">
        <is>
          <t>A</t>
        </is>
      </c>
      <c r="L574" t="inlineStr">
        <is>
          <t>KXNCAAF-27 exchange mid-price, pulled 2026-10-22</t>
        </is>
      </c>
      <c r="M574" t="inlineStr">
        <is>
          <t>2026-10-22</t>
        </is>
      </c>
      <c r="N574" t="inlineStr"/>
      <c r="O574">
        <f>'NCAAF'!Y26</f>
        <v/>
      </c>
    </row>
    <row r="575">
      <c r="A575" t="n">
        <v>574</v>
      </c>
      <c r="B575" t="inlineStr">
        <is>
          <t>Actor</t>
        </is>
      </c>
      <c r="C575" t="inlineStr">
        <is>
          <t>Anne Hathaway</t>
        </is>
      </c>
      <c r="D575" t="inlineStr">
        <is>
          <t>— free</t>
        </is>
      </c>
      <c r="E575">
        <f>'Actor'!M91</f>
        <v/>
      </c>
      <c r="F575">
        <f>'Actor'!N91</f>
        <v/>
      </c>
      <c r="G575">
        <f>'Actor'!O91</f>
        <v/>
      </c>
      <c r="H575" t="n">
        <v>4</v>
      </c>
      <c r="J575" t="inlineStr">
        <is>
          <t>Alone at Dawn (Dec 25)</t>
        </is>
      </c>
      <c r="K575" t="inlineStr">
        <is>
          <t>C</t>
        </is>
      </c>
      <c r="L575" t="inlineStr">
        <is>
          <t>Wikipedia 'List of American films of 2027' casts (Actions-runner pull 2026-10-08) x comp-based box office/RT estimates; cast lists are billed leads only (cameos not captured)</t>
        </is>
      </c>
      <c r="M575" t="inlineStr">
        <is>
          <t>2026-10-08</t>
        </is>
      </c>
      <c r="N575" t="inlineStr">
        <is>
          <t>late filler</t>
        </is>
      </c>
      <c r="O575">
        <f>'Actor'!Y91</f>
        <v/>
      </c>
    </row>
    <row r="576">
      <c r="A576" t="n">
        <v>575</v>
      </c>
      <c r="B576" t="inlineStr">
        <is>
          <t>NFL</t>
        </is>
      </c>
      <c r="C576" t="inlineStr">
        <is>
          <t>New York Jets</t>
        </is>
      </c>
      <c r="D576" t="inlineStr">
        <is>
          <t>— free</t>
        </is>
      </c>
      <c r="E576">
        <f>'NFL'!M28</f>
        <v/>
      </c>
      <c r="F576">
        <f>'NFL'!N28</f>
        <v/>
      </c>
      <c r="G576">
        <f>'NFL'!O28</f>
        <v/>
      </c>
      <c r="H576" t="n">
        <v>4</v>
      </c>
      <c r="I576" t="inlineStr">
        <is>
          <t>+25000</t>
        </is>
      </c>
      <c r="J576" t="inlineStr">
        <is>
          <t>1-3, AFC East</t>
        </is>
      </c>
      <c r="K576" t="inlineStr">
        <is>
          <t>A</t>
        </is>
      </c>
      <c r="L576" t="inlineStr">
        <is>
          <t>estimate | league_sim.py: full-schedule + real playoff bracket Monte Carlo, ratings fitted to Kalshi</t>
        </is>
      </c>
      <c r="M576" t="inlineStr">
        <is>
          <t>2026-10-08</t>
        </is>
      </c>
      <c r="N576" t="inlineStr"/>
      <c r="O576">
        <f>'NFL'!Y28</f>
        <v/>
      </c>
    </row>
    <row r="577">
      <c r="A577" t="n">
        <v>576</v>
      </c>
      <c r="B577" t="inlineStr">
        <is>
          <t>Actor</t>
        </is>
      </c>
      <c r="C577" t="inlineStr">
        <is>
          <t>Jeremy Allen White</t>
        </is>
      </c>
      <c r="D577" s="16" t="inlineStr">
        <is>
          <t>Shep</t>
        </is>
      </c>
      <c r="E577">
        <f>'Actor'!M92</f>
        <v/>
      </c>
      <c r="F577">
        <f>'Actor'!N92</f>
        <v/>
      </c>
      <c r="G577">
        <f>'Actor'!O92</f>
        <v/>
      </c>
      <c r="H577" t="n">
        <v>4</v>
      </c>
      <c r="J577" t="inlineStr">
        <is>
          <t>no 2027 film found in Wikipedia's cast lists</t>
        </is>
      </c>
      <c r="K577" t="inlineStr">
        <is>
          <t>C</t>
        </is>
      </c>
      <c r="L577" t="inlineStr">
        <is>
          <t>Wikipedia 'List of American films of 2027' casts (Actions-runner pull 2026-10-08) x comp-based box office/RT estimates; cast lists are billed leads only (cameos not captured)</t>
        </is>
      </c>
      <c r="M577" t="inlineStr">
        <is>
          <t>2026-10-08</t>
        </is>
      </c>
      <c r="N577" t="inlineStr">
        <is>
          <t>late filler</t>
        </is>
      </c>
      <c r="O577">
        <f>'Actor'!Y92</f>
        <v/>
      </c>
    </row>
    <row r="578">
      <c r="A578" t="n">
        <v>577</v>
      </c>
      <c r="B578" t="inlineStr">
        <is>
          <t>NFL</t>
        </is>
      </c>
      <c r="C578" t="inlineStr">
        <is>
          <t>Philadelphia Eagles</t>
        </is>
      </c>
      <c r="D578" s="16" t="inlineStr">
        <is>
          <t>Korch</t>
        </is>
      </c>
      <c r="E578">
        <f>'NFL'!M29</f>
        <v/>
      </c>
      <c r="F578">
        <f>'NFL'!N29</f>
        <v/>
      </c>
      <c r="G578">
        <f>'NFL'!O29</f>
        <v/>
      </c>
      <c r="H578" t="n">
        <v>4</v>
      </c>
      <c r="I578" t="inlineStr">
        <is>
          <t>Kalshi 2.5%</t>
        </is>
      </c>
      <c r="J578" t="inlineStr">
        <is>
          <t>2-2, NFC East</t>
        </is>
      </c>
      <c r="K578" t="inlineStr">
        <is>
          <t>A</t>
        </is>
      </c>
      <c r="L578" t="inlineStr">
        <is>
          <t>KXSB-27 exchange mid-price, pulled 2026-10-08; p(final)=KXNFLAFCCHAMP/KXNFLNFCCHAMP-27 Kalshi mid | league_sim.py: full-schedule + real playoff bracket Monte Carlo, ratings fitted to Kalshi</t>
        </is>
      </c>
      <c r="M578" t="inlineStr">
        <is>
          <t>2026-10-08</t>
        </is>
      </c>
      <c r="N578" t="inlineStr"/>
      <c r="O578">
        <f>'NFL'!Y29</f>
        <v/>
      </c>
    </row>
    <row r="579">
      <c r="A579" t="n">
        <v>578</v>
      </c>
      <c r="B579" t="inlineStr">
        <is>
          <t>Actor</t>
        </is>
      </c>
      <c r="C579" t="inlineStr">
        <is>
          <t>George Clooney</t>
        </is>
      </c>
      <c r="D579" s="16" t="inlineStr">
        <is>
          <t>Jens</t>
        </is>
      </c>
      <c r="E579">
        <f>'Actor'!M93</f>
        <v/>
      </c>
      <c r="F579">
        <f>'Actor'!N93</f>
        <v/>
      </c>
      <c r="G579">
        <f>'Actor'!O93</f>
        <v/>
      </c>
      <c r="H579" t="n">
        <v>4</v>
      </c>
      <c r="J579" t="inlineStr">
        <is>
          <t>no 2027 film found in Wikipedia's cast lists</t>
        </is>
      </c>
      <c r="K579" t="inlineStr">
        <is>
          <t>C</t>
        </is>
      </c>
      <c r="L579" t="inlineStr">
        <is>
          <t>Wikipedia 'List of American films of 2027' casts (Actions-runner pull 2026-10-08) x comp-based box office/RT estimates; cast lists are billed leads only (cameos not captured)</t>
        </is>
      </c>
      <c r="M579" t="inlineStr">
        <is>
          <t>2026-10-08</t>
        </is>
      </c>
      <c r="N579" t="inlineStr">
        <is>
          <t>late filler</t>
        </is>
      </c>
      <c r="O579">
        <f>'Actor'!Y93</f>
        <v/>
      </c>
    </row>
    <row r="580">
      <c r="A580" t="n">
        <v>579</v>
      </c>
      <c r="B580" t="inlineStr">
        <is>
          <t>Actor</t>
        </is>
      </c>
      <c r="C580" t="inlineStr">
        <is>
          <t>Chris Hemsworth</t>
        </is>
      </c>
      <c r="D580" s="16" t="inlineStr">
        <is>
          <t>Fryar</t>
        </is>
      </c>
      <c r="E580">
        <f>'Actor'!M94</f>
        <v/>
      </c>
      <c r="F580">
        <f>'Actor'!N94</f>
        <v/>
      </c>
      <c r="G580">
        <f>'Actor'!O94</f>
        <v/>
      </c>
      <c r="H580" t="n">
        <v>4</v>
      </c>
      <c r="J580" t="inlineStr">
        <is>
          <t>no 2027 film found in Wikipedia's cast lists</t>
        </is>
      </c>
      <c r="K580" t="inlineStr">
        <is>
          <t>C</t>
        </is>
      </c>
      <c r="L580" t="inlineStr">
        <is>
          <t>Wikipedia 'List of American films of 2027' casts (Actions-runner pull 2026-10-08) x comp-based box office/RT estimates; cast lists are billed leads only (cameos not captured)</t>
        </is>
      </c>
      <c r="M580" t="inlineStr">
        <is>
          <t>2026-10-08</t>
        </is>
      </c>
      <c r="N580" t="inlineStr">
        <is>
          <t>late filler</t>
        </is>
      </c>
      <c r="O580">
        <f>'Actor'!Y94</f>
        <v/>
      </c>
    </row>
    <row r="581">
      <c r="A581" t="n">
        <v>580</v>
      </c>
      <c r="B581" t="inlineStr">
        <is>
          <t>NHL</t>
        </is>
      </c>
      <c r="C581" t="inlineStr">
        <is>
          <t>Calgary Flames</t>
        </is>
      </c>
      <c r="D581" t="inlineStr">
        <is>
          <t>— free</t>
        </is>
      </c>
      <c r="E581">
        <f>'NHL'!M35</f>
        <v/>
      </c>
      <c r="F581">
        <f>'NHL'!N35</f>
        <v/>
      </c>
      <c r="G581">
        <f>'NHL'!O35</f>
        <v/>
      </c>
      <c r="H581" t="n">
        <v>4</v>
      </c>
      <c r="I581" t="inlineStr">
        <is>
          <t>Kalshi +9900</t>
        </is>
      </c>
      <c r="J581" t="inlineStr">
        <is>
          <t>West</t>
        </is>
      </c>
      <c r="K581" t="inlineStr">
        <is>
          <t>A</t>
        </is>
      </c>
      <c r="L581" t="inlineStr">
        <is>
          <t>Kalshi Cup market (~1 month old) normalised; points totals SportsBettingDime | league_sim.py: full-schedule + real playoff bracket Monte Carlo, ratings fitted to Kalshi</t>
        </is>
      </c>
      <c r="M581" t="inlineStr">
        <is>
          <t>2026-10-08</t>
        </is>
      </c>
      <c r="N581" t="inlineStr"/>
      <c r="O581">
        <f>'NHL'!Y35</f>
        <v/>
      </c>
    </row>
    <row r="582">
      <c r="A582" t="n">
        <v>581</v>
      </c>
      <c r="B582" t="inlineStr">
        <is>
          <t>NFL</t>
        </is>
      </c>
      <c r="C582" t="inlineStr">
        <is>
          <t>Indianapolis Colts</t>
        </is>
      </c>
      <c r="D582" s="16" t="inlineStr">
        <is>
          <t>Theo</t>
        </is>
      </c>
      <c r="E582">
        <f>'NFL'!M30</f>
        <v/>
      </c>
      <c r="F582">
        <f>'NFL'!N30</f>
        <v/>
      </c>
      <c r="G582">
        <f>'NFL'!O30</f>
        <v/>
      </c>
      <c r="H582" t="n">
        <v>4</v>
      </c>
      <c r="I582" t="inlineStr">
        <is>
          <t>+6500</t>
        </is>
      </c>
      <c r="J582" t="inlineStr">
        <is>
          <t>2-2, AFC South</t>
        </is>
      </c>
      <c r="K582" t="inlineStr">
        <is>
          <t>A</t>
        </is>
      </c>
      <c r="L582" t="inlineStr">
        <is>
          <t>estimate | league_sim.py: full-schedule + real playoff bracket Monte Carlo, ratings fitted to Kalshi</t>
        </is>
      </c>
      <c r="M582" t="inlineStr">
        <is>
          <t>2026-10-08</t>
        </is>
      </c>
      <c r="N582" t="inlineStr"/>
      <c r="O582">
        <f>'NFL'!Y30</f>
        <v/>
      </c>
    </row>
    <row r="583">
      <c r="A583" t="n">
        <v>582</v>
      </c>
      <c r="B583" t="inlineStr">
        <is>
          <t>Actor</t>
        </is>
      </c>
      <c r="C583" t="inlineStr">
        <is>
          <t>Leonardo DiCaprio</t>
        </is>
      </c>
      <c r="D583" s="16" t="inlineStr">
        <is>
          <t>Todd</t>
        </is>
      </c>
      <c r="E583">
        <f>'Actor'!M95</f>
        <v/>
      </c>
      <c r="F583">
        <f>'Actor'!N95</f>
        <v/>
      </c>
      <c r="G583">
        <f>'Actor'!O95</f>
        <v/>
      </c>
      <c r="H583" t="n">
        <v>4</v>
      </c>
      <c r="J583" t="inlineStr">
        <is>
          <t>no 2027 film found in Wikipedia's cast lists</t>
        </is>
      </c>
      <c r="K583" t="inlineStr">
        <is>
          <t>C</t>
        </is>
      </c>
      <c r="L583" t="inlineStr">
        <is>
          <t>Wikipedia 'List of American films of 2027' casts (Actions-runner pull 2026-10-08) x comp-based box office/RT estimates; cast lists are billed leads only (cameos not captured)</t>
        </is>
      </c>
      <c r="M583" t="inlineStr">
        <is>
          <t>2026-10-08</t>
        </is>
      </c>
      <c r="N583" t="inlineStr">
        <is>
          <t>late filler</t>
        </is>
      </c>
      <c r="O583">
        <f>'Actor'!Y95</f>
        <v/>
      </c>
    </row>
    <row r="584">
      <c r="A584" t="n">
        <v>583</v>
      </c>
      <c r="B584" t="inlineStr">
        <is>
          <t>Actor</t>
        </is>
      </c>
      <c r="C584" t="inlineStr">
        <is>
          <t>Dwayne Johnson</t>
        </is>
      </c>
      <c r="D584" s="16" t="inlineStr">
        <is>
          <t>Theo</t>
        </is>
      </c>
      <c r="E584">
        <f>'Actor'!M96</f>
        <v/>
      </c>
      <c r="F584">
        <f>'Actor'!N96</f>
        <v/>
      </c>
      <c r="G584">
        <f>'Actor'!O96</f>
        <v/>
      </c>
      <c r="H584" t="n">
        <v>4</v>
      </c>
      <c r="J584" t="inlineStr">
        <is>
          <t>no 2027 film found in Wikipedia's cast lists</t>
        </is>
      </c>
      <c r="K584" t="inlineStr">
        <is>
          <t>C</t>
        </is>
      </c>
      <c r="L584" t="inlineStr">
        <is>
          <t>Wikipedia 'List of American films of 2027' casts (Actions-runner pull 2026-10-08) x comp-based box office/RT estimates; cast lists are billed leads only (cameos not captured)</t>
        </is>
      </c>
      <c r="M584" t="inlineStr">
        <is>
          <t>2026-10-08</t>
        </is>
      </c>
      <c r="N584" t="inlineStr">
        <is>
          <t>late filler</t>
        </is>
      </c>
      <c r="O584">
        <f>'Actor'!Y96</f>
        <v/>
      </c>
    </row>
    <row r="585">
      <c r="A585" t="n">
        <v>584</v>
      </c>
      <c r="B585" t="inlineStr">
        <is>
          <t>Actor</t>
        </is>
      </c>
      <c r="C585" t="inlineStr">
        <is>
          <t>Sean Penn</t>
        </is>
      </c>
      <c r="D585" s="16" t="inlineStr">
        <is>
          <t>Tim</t>
        </is>
      </c>
      <c r="E585">
        <f>'Actor'!M97</f>
        <v/>
      </c>
      <c r="F585">
        <f>'Actor'!N97</f>
        <v/>
      </c>
      <c r="G585">
        <f>'Actor'!O97</f>
        <v/>
      </c>
      <c r="H585" t="n">
        <v>4</v>
      </c>
      <c r="J585" t="inlineStr">
        <is>
          <t>no 2027 film found in Wikipedia's cast lists</t>
        </is>
      </c>
      <c r="K585" t="inlineStr">
        <is>
          <t>C</t>
        </is>
      </c>
      <c r="L585" t="inlineStr">
        <is>
          <t>Wikipedia 'List of American films of 2027' casts (Actions-runner pull 2026-10-08) x comp-based box office/RT estimates; cast lists are billed leads only (cameos not captured)</t>
        </is>
      </c>
      <c r="M585" t="inlineStr">
        <is>
          <t>2026-10-08</t>
        </is>
      </c>
      <c r="N585" t="inlineStr">
        <is>
          <t>late filler</t>
        </is>
      </c>
      <c r="O585">
        <f>'Actor'!Y97</f>
        <v/>
      </c>
    </row>
    <row r="586">
      <c r="A586" t="n">
        <v>585</v>
      </c>
      <c r="B586" t="inlineStr">
        <is>
          <t>Actor</t>
        </is>
      </c>
      <c r="C586" t="inlineStr">
        <is>
          <t>Jon Bernthal</t>
        </is>
      </c>
      <c r="D586" s="16" t="inlineStr">
        <is>
          <t>Korch</t>
        </is>
      </c>
      <c r="E586">
        <f>'Actor'!M98</f>
        <v/>
      </c>
      <c r="F586">
        <f>'Actor'!N98</f>
        <v/>
      </c>
      <c r="G586">
        <f>'Actor'!O98</f>
        <v/>
      </c>
      <c r="H586" t="n">
        <v>4</v>
      </c>
      <c r="J586" t="inlineStr">
        <is>
          <t>no 2027 film found in Wikipedia's cast lists</t>
        </is>
      </c>
      <c r="K586" t="inlineStr">
        <is>
          <t>C</t>
        </is>
      </c>
      <c r="L586" t="inlineStr">
        <is>
          <t>Wikipedia 'List of American films of 2027' casts (Actions-runner pull 2026-10-08) x comp-based box office/RT estimates; cast lists are billed leads only (cameos not captured)</t>
        </is>
      </c>
      <c r="M586" t="inlineStr">
        <is>
          <t>2026-10-08</t>
        </is>
      </c>
      <c r="N586" t="inlineStr">
        <is>
          <t>late filler</t>
        </is>
      </c>
      <c r="O586">
        <f>'Actor'!Y98</f>
        <v/>
      </c>
    </row>
    <row r="587">
      <c r="A587" t="n">
        <v>586</v>
      </c>
      <c r="B587" t="inlineStr">
        <is>
          <t>NCAAF</t>
        </is>
      </c>
      <c r="C587" t="inlineStr">
        <is>
          <t>Oklahoma State</t>
        </is>
      </c>
      <c r="D587" t="inlineStr">
        <is>
          <t>— free</t>
        </is>
      </c>
      <c r="E587">
        <f>'NCAAF'!M21</f>
        <v/>
      </c>
      <c r="F587">
        <f>'NCAAF'!N21</f>
        <v/>
      </c>
      <c r="G587">
        <f>'NCAAF'!O21</f>
        <v/>
      </c>
      <c r="H587" t="n">
        <v>4</v>
      </c>
      <c r="I587" t="inlineStr">
        <is>
          <t>+30000</t>
        </is>
      </c>
      <c r="J587" t="inlineStr">
        <is>
          <t>AP #18, 3-1, Big 12</t>
        </is>
      </c>
      <c r="K587" t="inlineStr">
        <is>
          <t>C</t>
        </is>
      </c>
      <c r="L587" t="inlineStr">
        <is>
          <t>estimate</t>
        </is>
      </c>
      <c r="M587" t="inlineStr">
        <is>
          <t>2026-10-08</t>
        </is>
      </c>
      <c r="N587" t="inlineStr"/>
      <c r="O587">
        <f>'NCAAF'!Y21</f>
        <v/>
      </c>
    </row>
    <row r="588">
      <c r="A588" t="n">
        <v>587</v>
      </c>
      <c r="B588" t="inlineStr">
        <is>
          <t>NCAAF</t>
        </is>
      </c>
      <c r="C588" t="inlineStr">
        <is>
          <t>USC</t>
        </is>
      </c>
      <c r="D588" t="inlineStr">
        <is>
          <t>— free</t>
        </is>
      </c>
      <c r="E588">
        <f>'NCAAF'!M22</f>
        <v/>
      </c>
      <c r="F588">
        <f>'NCAAF'!N22</f>
        <v/>
      </c>
      <c r="G588">
        <f>'NCAAF'!O22</f>
        <v/>
      </c>
      <c r="H588" t="n">
        <v>4</v>
      </c>
      <c r="I588" t="inlineStr">
        <is>
          <t>+20000</t>
        </is>
      </c>
      <c r="J588" t="inlineStr">
        <is>
          <t>AP #19, 5-1, Big Ten</t>
        </is>
      </c>
      <c r="K588" t="inlineStr">
        <is>
          <t>C</t>
        </is>
      </c>
      <c r="L588" t="inlineStr">
        <is>
          <t>estimate</t>
        </is>
      </c>
      <c r="M588" t="inlineStr">
        <is>
          <t>2026-10-08</t>
        </is>
      </c>
      <c r="N588" t="inlineStr"/>
      <c r="O588">
        <f>'NCAAF'!Y22</f>
        <v/>
      </c>
    </row>
    <row r="589">
      <c r="A589" t="n">
        <v>588</v>
      </c>
      <c r="B589" t="inlineStr">
        <is>
          <t>NFL</t>
        </is>
      </c>
      <c r="C589" t="inlineStr">
        <is>
          <t>Washington Commanders</t>
        </is>
      </c>
      <c r="D589" t="inlineStr">
        <is>
          <t>— free</t>
        </is>
      </c>
      <c r="E589">
        <f>'NFL'!M31</f>
        <v/>
      </c>
      <c r="F589">
        <f>'NFL'!N31</f>
        <v/>
      </c>
      <c r="G589">
        <f>'NFL'!O31</f>
        <v/>
      </c>
      <c r="H589" t="n">
        <v>4</v>
      </c>
      <c r="I589" t="inlineStr">
        <is>
          <t>+15000</t>
        </is>
      </c>
      <c r="J589" t="inlineStr">
        <is>
          <t>1-3, NFC East</t>
        </is>
      </c>
      <c r="K589" t="inlineStr">
        <is>
          <t>A</t>
        </is>
      </c>
      <c r="L589" t="inlineStr">
        <is>
          <t>estimate | league_sim.py: full-schedule + real playoff bracket Monte Carlo, ratings fitted to Kalshi</t>
        </is>
      </c>
      <c r="M589" t="inlineStr">
        <is>
          <t>2026-10-08</t>
        </is>
      </c>
      <c r="N589" t="inlineStr"/>
      <c r="O589">
        <f>'NFL'!Y31</f>
        <v/>
      </c>
    </row>
    <row r="590">
      <c r="A590" t="n">
        <v>589</v>
      </c>
      <c r="B590" t="inlineStr">
        <is>
          <t>NFL</t>
        </is>
      </c>
      <c r="C590" t="inlineStr">
        <is>
          <t>Tampa Bay Buccaneers</t>
        </is>
      </c>
      <c r="D590" s="16" t="inlineStr">
        <is>
          <t>Buckley</t>
        </is>
      </c>
      <c r="E590">
        <f>'NFL'!M32</f>
        <v/>
      </c>
      <c r="F590">
        <f>'NFL'!N32</f>
        <v/>
      </c>
      <c r="G590">
        <f>'NFL'!O32</f>
        <v/>
      </c>
      <c r="H590" t="n">
        <v>4</v>
      </c>
      <c r="I590" t="inlineStr">
        <is>
          <t>+20000</t>
        </is>
      </c>
      <c r="J590" t="inlineStr">
        <is>
          <t>0-4, NFC South</t>
        </is>
      </c>
      <c r="K590" t="inlineStr">
        <is>
          <t>A</t>
        </is>
      </c>
      <c r="L590" t="inlineStr">
        <is>
          <t>estimate | league_sim.py: full-schedule + real playoff bracket Monte Carlo, ratings fitted to Kalshi</t>
        </is>
      </c>
      <c r="M590" t="inlineStr">
        <is>
          <t>2026-10-08</t>
        </is>
      </c>
      <c r="N590" t="inlineStr"/>
      <c r="O590">
        <f>'NFL'!Y32</f>
        <v/>
      </c>
    </row>
    <row r="591">
      <c r="A591" t="n">
        <v>590</v>
      </c>
      <c r="B591" t="inlineStr">
        <is>
          <t>NCAAF</t>
        </is>
      </c>
      <c r="C591" t="inlineStr">
        <is>
          <t>Iowa</t>
        </is>
      </c>
      <c r="D591" t="inlineStr">
        <is>
          <t>— free</t>
        </is>
      </c>
      <c r="E591">
        <f>'NCAAF'!M23</f>
        <v/>
      </c>
      <c r="F591">
        <f>'NCAAF'!N23</f>
        <v/>
      </c>
      <c r="G591">
        <f>'NCAAF'!O23</f>
        <v/>
      </c>
      <c r="H591" t="n">
        <v>4</v>
      </c>
      <c r="I591" t="inlineStr">
        <is>
          <t>+30000</t>
        </is>
      </c>
      <c r="J591" t="inlineStr">
        <is>
          <t>AP #20, 4-1, Big Ten</t>
        </is>
      </c>
      <c r="K591" t="inlineStr">
        <is>
          <t>C</t>
        </is>
      </c>
      <c r="L591" t="inlineStr">
        <is>
          <t>estimate</t>
        </is>
      </c>
      <c r="M591" t="inlineStr">
        <is>
          <t>2026-10-08</t>
        </is>
      </c>
      <c r="N591" t="inlineStr"/>
      <c r="O591">
        <f>'NCAAF'!Y23</f>
        <v/>
      </c>
    </row>
    <row r="592">
      <c r="A592" t="n">
        <v>591</v>
      </c>
      <c r="B592" t="inlineStr">
        <is>
          <t>NFL</t>
        </is>
      </c>
      <c r="C592" t="inlineStr">
        <is>
          <t>Arizona Cardinals</t>
        </is>
      </c>
      <c r="D592" t="inlineStr">
        <is>
          <t>— free</t>
        </is>
      </c>
      <c r="E592">
        <f>'NFL'!M33</f>
        <v/>
      </c>
      <c r="F592">
        <f>'NFL'!N33</f>
        <v/>
      </c>
      <c r="G592">
        <f>'NFL'!O33</f>
        <v/>
      </c>
      <c r="H592" t="n">
        <v>4</v>
      </c>
      <c r="I592" t="inlineStr">
        <is>
          <t>+15000</t>
        </is>
      </c>
      <c r="J592" t="inlineStr">
        <is>
          <t>1-3, NFC West</t>
        </is>
      </c>
      <c r="K592" t="inlineStr">
        <is>
          <t>A</t>
        </is>
      </c>
      <c r="L592" t="inlineStr">
        <is>
          <t>estimate | league_sim.py: full-schedule + real playoff bracket Monte Carlo, ratings fitted to Kalshi</t>
        </is>
      </c>
      <c r="M592" t="inlineStr">
        <is>
          <t>2026-10-08</t>
        </is>
      </c>
      <c r="N592" t="inlineStr"/>
      <c r="O592">
        <f>'NFL'!Y33</f>
        <v/>
      </c>
    </row>
    <row r="593">
      <c r="A593" t="n">
        <v>592</v>
      </c>
      <c r="B593" t="inlineStr">
        <is>
          <t>NHL</t>
        </is>
      </c>
      <c r="C593" t="inlineStr">
        <is>
          <t>Vancouver Canucks</t>
        </is>
      </c>
      <c r="D593" t="inlineStr">
        <is>
          <t>— free</t>
        </is>
      </c>
      <c r="E593">
        <f>'NHL'!M36</f>
        <v/>
      </c>
      <c r="F593">
        <f>'NHL'!N36</f>
        <v/>
      </c>
      <c r="G593">
        <f>'NHL'!O36</f>
        <v/>
      </c>
      <c r="H593" t="n">
        <v>4</v>
      </c>
      <c r="I593" t="inlineStr">
        <is>
          <t>Kalshi +9900</t>
        </is>
      </c>
      <c r="J593" t="inlineStr">
        <is>
          <t>West</t>
        </is>
      </c>
      <c r="K593" t="inlineStr">
        <is>
          <t>A</t>
        </is>
      </c>
      <c r="L593" t="inlineStr">
        <is>
          <t>Kalshi Cup market (~1 month old) normalised; points totals SportsBettingDime | league_sim.py: full-schedule + real playoff bracket Monte Carlo, ratings fitted to Kalshi</t>
        </is>
      </c>
      <c r="M593" t="inlineStr">
        <is>
          <t>2026-10-08</t>
        </is>
      </c>
      <c r="N593" t="inlineStr"/>
      <c r="O593">
        <f>'NHL'!Y36</f>
        <v/>
      </c>
    </row>
    <row r="594">
      <c r="A594" t="n">
        <v>593</v>
      </c>
      <c r="B594" t="inlineStr">
        <is>
          <t>NCAAF</t>
        </is>
      </c>
      <c r="C594" t="inlineStr">
        <is>
          <t>Michigan</t>
        </is>
      </c>
      <c r="D594" s="16" t="inlineStr">
        <is>
          <t>Shep</t>
        </is>
      </c>
      <c r="E594">
        <f>'NCAAF'!M25</f>
        <v/>
      </c>
      <c r="F594">
        <f>'NCAAF'!N25</f>
        <v/>
      </c>
      <c r="G594">
        <f>'NCAAF'!O25</f>
        <v/>
      </c>
      <c r="H594" t="n">
        <v>4</v>
      </c>
      <c r="J594" t="inlineStr">
        <is>
          <t>owned (Shep); AP rank not pulled</t>
        </is>
      </c>
      <c r="K594" t="inlineStr">
        <is>
          <t>C</t>
        </is>
      </c>
      <c r="L594" t="inlineStr">
        <is>
          <t>added because a league member currently owns this pick (draft_picks_2026.py); not in the first-pass pool, so figures are placeholders (conf C)</t>
        </is>
      </c>
      <c r="M594" t="inlineStr">
        <is>
          <t>2026-10-08</t>
        </is>
      </c>
      <c r="N594" t="inlineStr"/>
      <c r="O594">
        <f>'NCAAF'!Y25</f>
        <v/>
      </c>
    </row>
    <row r="595">
      <c r="A595" t="n">
        <v>594</v>
      </c>
      <c r="B595" t="inlineStr">
        <is>
          <t>NCAAF</t>
        </is>
      </c>
      <c r="C595" t="inlineStr">
        <is>
          <t>Texas A&amp;M</t>
        </is>
      </c>
      <c r="D595" s="16" t="inlineStr">
        <is>
          <t>Fryar</t>
        </is>
      </c>
      <c r="E595">
        <f>'NCAAF'!M27</f>
        <v/>
      </c>
      <c r="F595">
        <f>'NCAAF'!N27</f>
        <v/>
      </c>
      <c r="G595">
        <f>'NCAAF'!O27</f>
        <v/>
      </c>
      <c r="H595" t="n">
        <v>4</v>
      </c>
      <c r="J595" t="inlineStr">
        <is>
          <t>owned (Fryar); AP rank not pulled</t>
        </is>
      </c>
      <c r="K595" t="inlineStr">
        <is>
          <t>C</t>
        </is>
      </c>
      <c r="L595" t="inlineStr">
        <is>
          <t>added because a league member currently owns this pick (draft_picks_2026.py); not in the first-pass pool, so figures are placeholders (conf C)</t>
        </is>
      </c>
      <c r="M595" t="inlineStr">
        <is>
          <t>2026-10-08</t>
        </is>
      </c>
      <c r="N595" t="inlineStr"/>
      <c r="O595">
        <f>'NCAAF'!Y27</f>
        <v/>
      </c>
    </row>
    <row r="596">
      <c r="A596" t="n">
        <v>595</v>
      </c>
      <c r="B596" t="inlineStr">
        <is>
          <t>NFL</t>
        </is>
      </c>
      <c r="C596" t="inlineStr">
        <is>
          <t>Miami Dolphins</t>
        </is>
      </c>
      <c r="D596" t="inlineStr">
        <is>
          <t>— free</t>
        </is>
      </c>
      <c r="E596">
        <f>'NFL'!M34</f>
        <v/>
      </c>
      <c r="F596">
        <f>'NFL'!N34</f>
        <v/>
      </c>
      <c r="G596">
        <f>'NFL'!O34</f>
        <v/>
      </c>
      <c r="H596" t="n">
        <v>4</v>
      </c>
      <c r="I596" t="inlineStr">
        <is>
          <t>+50000</t>
        </is>
      </c>
      <c r="J596" t="inlineStr">
        <is>
          <t>0-4, AFC East</t>
        </is>
      </c>
      <c r="K596" t="inlineStr">
        <is>
          <t>A</t>
        </is>
      </c>
      <c r="L596" t="inlineStr">
        <is>
          <t>estimate | league_sim.py: full-schedule + real playoff bracket Monte Carlo, ratings fitted to Kalshi</t>
        </is>
      </c>
      <c r="M596" t="inlineStr">
        <is>
          <t>2026-10-08</t>
        </is>
      </c>
      <c r="N596" t="inlineStr"/>
      <c r="O596">
        <f>'NFL'!Y34</f>
        <v/>
      </c>
    </row>
    <row r="597">
      <c r="A597" t="n">
        <v>596</v>
      </c>
      <c r="B597" t="inlineStr">
        <is>
          <t>NCAAF</t>
        </is>
      </c>
      <c r="C597" t="inlineStr">
        <is>
          <t>Georgia Tech</t>
        </is>
      </c>
      <c r="D597" s="16" t="inlineStr">
        <is>
          <t>Jens</t>
        </is>
      </c>
      <c r="E597">
        <f>'NCAAF'!M28</f>
        <v/>
      </c>
      <c r="F597">
        <f>'NCAAF'!N28</f>
        <v/>
      </c>
      <c r="G597">
        <f>'NCAAF'!O28</f>
        <v/>
      </c>
      <c r="H597" t="n">
        <v>4</v>
      </c>
      <c r="J597" t="inlineStr">
        <is>
          <t>owned (Jens); AP rank not pulled</t>
        </is>
      </c>
      <c r="K597" t="inlineStr">
        <is>
          <t>C</t>
        </is>
      </c>
      <c r="L597" t="inlineStr">
        <is>
          <t>added because a league member currently owns this pick (draft_picks_2026.py); not in the first-pass pool, so figures are placeholders (conf C)</t>
        </is>
      </c>
      <c r="M597" t="inlineStr">
        <is>
          <t>2026-10-08</t>
        </is>
      </c>
      <c r="N597" t="inlineStr"/>
      <c r="O597">
        <f>'NCAAF'!Y28</f>
        <v/>
      </c>
    </row>
    <row r="598">
      <c r="A598" t="n">
        <v>597</v>
      </c>
      <c r="B598" t="inlineStr">
        <is>
          <t>NCAAF</t>
        </is>
      </c>
      <c r="C598" t="inlineStr">
        <is>
          <t>Boise State</t>
        </is>
      </c>
      <c r="D598" t="inlineStr">
        <is>
          <t>— free</t>
        </is>
      </c>
      <c r="E598">
        <f>'NCAAF'!M29</f>
        <v/>
      </c>
      <c r="F598">
        <f>'NCAAF'!N29</f>
        <v/>
      </c>
      <c r="G598">
        <f>'NCAAF'!O29</f>
        <v/>
      </c>
      <c r="H598" t="n">
        <v>4</v>
      </c>
      <c r="I598" t="inlineStr">
        <is>
          <t>+50000</t>
        </is>
      </c>
      <c r="J598" t="inlineStr">
        <is>
          <t>AP #23, 4-1, MWC</t>
        </is>
      </c>
      <c r="K598" t="inlineStr">
        <is>
          <t>C</t>
        </is>
      </c>
      <c r="L598" t="inlineStr">
        <is>
          <t>estimate</t>
        </is>
      </c>
      <c r="M598" t="inlineStr">
        <is>
          <t>2026-10-08</t>
        </is>
      </c>
      <c r="N598" t="inlineStr"/>
      <c r="O598">
        <f>'NCAAF'!Y29</f>
        <v/>
      </c>
    </row>
    <row r="599">
      <c r="A599" t="n">
        <v>598</v>
      </c>
      <c r="B599" t="inlineStr">
        <is>
          <t>NCAAF</t>
        </is>
      </c>
      <c r="C599" t="inlineStr">
        <is>
          <t>Houston</t>
        </is>
      </c>
      <c r="D599" t="inlineStr">
        <is>
          <t>— free</t>
        </is>
      </c>
      <c r="E599">
        <f>'NCAAF'!M30</f>
        <v/>
      </c>
      <c r="F599">
        <f>'NCAAF'!N30</f>
        <v/>
      </c>
      <c r="G599">
        <f>'NCAAF'!O30</f>
        <v/>
      </c>
      <c r="H599" t="n">
        <v>4</v>
      </c>
      <c r="I599" t="inlineStr">
        <is>
          <t>+50000</t>
        </is>
      </c>
      <c r="J599" t="inlineStr">
        <is>
          <t>AP #22, 4-1, Big 12</t>
        </is>
      </c>
      <c r="K599" t="inlineStr">
        <is>
          <t>C</t>
        </is>
      </c>
      <c r="L599" t="inlineStr">
        <is>
          <t>estimate</t>
        </is>
      </c>
      <c r="M599" t="inlineStr">
        <is>
          <t>2026-10-08</t>
        </is>
      </c>
      <c r="N599" t="inlineStr"/>
      <c r="O599">
        <f>'NCAAF'!Y30</f>
        <v/>
      </c>
    </row>
    <row r="600">
      <c r="A600" t="n">
        <v>599</v>
      </c>
      <c r="B600" t="inlineStr">
        <is>
          <t>NCAAF</t>
        </is>
      </c>
      <c r="C600" t="inlineStr">
        <is>
          <t>Pittsburgh</t>
        </is>
      </c>
      <c r="D600" t="inlineStr">
        <is>
          <t>— free</t>
        </is>
      </c>
      <c r="E600">
        <f>'NCAAF'!M31</f>
        <v/>
      </c>
      <c r="F600">
        <f>'NCAAF'!N31</f>
        <v/>
      </c>
      <c r="G600">
        <f>'NCAAF'!O31</f>
        <v/>
      </c>
      <c r="H600" t="n">
        <v>4</v>
      </c>
      <c r="I600" t="inlineStr">
        <is>
          <t>+50000</t>
        </is>
      </c>
      <c r="J600" t="inlineStr">
        <is>
          <t>AP #25, 5-0, ACC</t>
        </is>
      </c>
      <c r="K600" t="inlineStr">
        <is>
          <t>C</t>
        </is>
      </c>
      <c r="L600" t="inlineStr">
        <is>
          <t>estimate</t>
        </is>
      </c>
      <c r="M600" t="inlineStr">
        <is>
          <t>2026-10-08</t>
        </is>
      </c>
      <c r="N600" t="inlineStr"/>
      <c r="O600">
        <f>'NCAAF'!Y31</f>
        <v/>
      </c>
    </row>
    <row r="601">
      <c r="A601" t="n">
        <v>600</v>
      </c>
      <c r="B601" t="inlineStr">
        <is>
          <t>NFL</t>
        </is>
      </c>
      <c r="C601" t="inlineStr">
        <is>
          <t>Tennessee Titans</t>
        </is>
      </c>
      <c r="D601" t="inlineStr">
        <is>
          <t>— free</t>
        </is>
      </c>
      <c r="E601">
        <f>'NFL'!M35</f>
        <v/>
      </c>
      <c r="F601">
        <f>'NFL'!N35</f>
        <v/>
      </c>
      <c r="G601">
        <f>'NFL'!O35</f>
        <v/>
      </c>
      <c r="H601" t="n">
        <v>4</v>
      </c>
      <c r="I601" t="inlineStr">
        <is>
          <t>+50000</t>
        </is>
      </c>
      <c r="J601" t="inlineStr">
        <is>
          <t>0-4, AFC South</t>
        </is>
      </c>
      <c r="K601" t="inlineStr">
        <is>
          <t>A</t>
        </is>
      </c>
      <c r="L601" t="inlineStr">
        <is>
          <t>estimate | league_sim.py: full-schedule + real playoff bracket Monte Carlo, ratings fitted to Kalshi</t>
        </is>
      </c>
      <c r="M601" t="inlineStr">
        <is>
          <t>2026-10-08</t>
        </is>
      </c>
      <c r="N601" t="inlineStr"/>
      <c r="O601">
        <f>'NFL'!Y35</f>
        <v/>
      </c>
    </row>
    <row r="602">
      <c r="A602" t="n">
        <v>601</v>
      </c>
      <c r="B602" t="inlineStr">
        <is>
          <t>NCAAF</t>
        </is>
      </c>
      <c r="C602" t="inlineStr">
        <is>
          <t>SMU</t>
        </is>
      </c>
      <c r="D602" t="inlineStr">
        <is>
          <t>— free</t>
        </is>
      </c>
      <c r="E602">
        <f>'NCAAF'!M32</f>
        <v/>
      </c>
      <c r="F602">
        <f>'NCAAF'!N32</f>
        <v/>
      </c>
      <c r="G602">
        <f>'NCAAF'!O32</f>
        <v/>
      </c>
      <c r="H602" t="n">
        <v>4</v>
      </c>
      <c r="I602" t="inlineStr">
        <is>
          <t>+50000</t>
        </is>
      </c>
      <c r="J602" t="inlineStr">
        <is>
          <t>AP #24, 4-1, ACC</t>
        </is>
      </c>
      <c r="K602" t="inlineStr">
        <is>
          <t>C</t>
        </is>
      </c>
      <c r="L602" t="inlineStr">
        <is>
          <t>estimate</t>
        </is>
      </c>
      <c r="M602" t="inlineStr">
        <is>
          <t>2026-10-08</t>
        </is>
      </c>
      <c r="N602" t="inlineStr"/>
      <c r="O602">
        <f>'NCAAF'!Y32</f>
        <v/>
      </c>
    </row>
    <row r="603">
      <c r="A603" t="n">
        <v>602</v>
      </c>
      <c r="B603" t="inlineStr">
        <is>
          <t>NFL</t>
        </is>
      </c>
      <c r="C603" t="inlineStr">
        <is>
          <t>Los Angeles Chargers</t>
        </is>
      </c>
      <c r="D603" t="inlineStr">
        <is>
          <t>— free</t>
        </is>
      </c>
      <c r="E603">
        <f>'NFL'!M36</f>
        <v/>
      </c>
      <c r="F603">
        <f>'NFL'!N36</f>
        <v/>
      </c>
      <c r="G603">
        <f>'NFL'!O36</f>
        <v/>
      </c>
      <c r="H603" t="n">
        <v>4</v>
      </c>
      <c r="I603" t="inlineStr">
        <is>
          <t>+10000</t>
        </is>
      </c>
      <c r="J603" t="inlineStr">
        <is>
          <t>0-4, AFC West</t>
        </is>
      </c>
      <c r="K603" t="inlineStr">
        <is>
          <t>A</t>
        </is>
      </c>
      <c r="L603" t="inlineStr">
        <is>
          <t>ESPN/ABC7 Super Bowl LXI board ~2026-10-05; prediction-market avg 2026-10-07 (defirate) | league_sim.py: full-schedule + real playoff bracket Monte Carlo, ratings fitted to Kalshi</t>
        </is>
      </c>
      <c r="M603" t="inlineStr">
        <is>
          <t>2026-10-08</t>
        </is>
      </c>
      <c r="N603" t="inlineStr"/>
      <c r="O603">
        <f>'NFL'!Y36</f>
        <v/>
      </c>
    </row>
  </sheetData>
  <autoFilter ref="A1:O60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cols>
    <col width="5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2" t="inlineStr">
        <is>
          <t>Category</t>
        </is>
      </c>
      <c r="B1" s="2" t="inlineStr">
        <is>
          <t>Champion</t>
        </is>
      </c>
      <c r="C1" s="2" t="inlineStr">
        <is>
          <t>Lost final</t>
        </is>
      </c>
      <c r="D1" s="2" t="inlineStr">
        <is>
          <t>Lost semi</t>
        </is>
      </c>
      <c r="E1" s="2" t="inlineStr">
        <is>
          <t>Lost quarter</t>
        </is>
      </c>
      <c r="F1" s="2" t="inlineStr">
        <is>
          <t>Lost round 1</t>
        </is>
      </c>
      <c r="G1" s="2" t="inlineStr">
        <is>
          <t>Replacement rank N</t>
        </is>
      </c>
      <c r="H1" s="2" t="inlineStr">
        <is>
          <t>Bonus cap</t>
        </is>
      </c>
      <c r="I1" s="2" t="inlineStr">
        <is>
          <t>Replacement EV (Nth best / best left after the field's picks)</t>
        </is>
      </c>
      <c r="J1" s="2" t="inlineStr">
        <is>
          <t>Field award overweight w</t>
        </is>
      </c>
      <c r="K1" s="2" t="inlineStr">
        <is>
          <t>Field takes first M</t>
        </is>
      </c>
    </row>
    <row r="2">
      <c r="A2" t="inlineStr">
        <is>
          <t>NFL</t>
        </is>
      </c>
      <c r="B2" t="n">
        <v>13</v>
      </c>
      <c r="C2" t="n">
        <v>9</v>
      </c>
      <c r="D2" t="n">
        <v>6.5</v>
      </c>
      <c r="E2" t="n">
        <v>4</v>
      </c>
      <c r="F2" t="n">
        <v>2.5</v>
      </c>
      <c r="G2" t="n">
        <v>7</v>
      </c>
      <c r="H2" t="n">
        <v>13</v>
      </c>
      <c r="I2">
        <f>LARGE('NFL'!$M$5:$M$36,MIN(G2,COUNT('NFL'!$M$5:$M$36)))</f>
        <v/>
      </c>
    </row>
    <row r="3">
      <c r="A3" t="inlineStr">
        <is>
          <t>NBA</t>
        </is>
      </c>
      <c r="B3" t="n">
        <v>13</v>
      </c>
      <c r="C3" t="n">
        <v>9</v>
      </c>
      <c r="D3" t="n">
        <v>6.5</v>
      </c>
      <c r="E3" t="n">
        <v>4</v>
      </c>
      <c r="F3" t="n">
        <v>2.5</v>
      </c>
      <c r="G3" t="n">
        <v>7</v>
      </c>
      <c r="H3" t="n">
        <v>13</v>
      </c>
      <c r="I3">
        <f>LARGE('NBA'!$M$5:$M$34,MIN(G3,COUNT('NBA'!$M$5:$M$34)))</f>
        <v/>
      </c>
    </row>
    <row r="4">
      <c r="A4" t="inlineStr">
        <is>
          <t>MLB</t>
        </is>
      </c>
      <c r="B4" t="n">
        <v>13</v>
      </c>
      <c r="C4" t="n">
        <v>9</v>
      </c>
      <c r="D4" t="n">
        <v>6.5</v>
      </c>
      <c r="E4" t="n">
        <v>4</v>
      </c>
      <c r="F4" t="n">
        <v>2.5</v>
      </c>
      <c r="G4" t="n">
        <v>7</v>
      </c>
      <c r="H4" t="n">
        <v>13</v>
      </c>
      <c r="I4">
        <f>LARGE('MLB'!$M$5:$M$34,MIN(G4,COUNT('MLB'!$M$5:$M$34)))</f>
        <v/>
      </c>
    </row>
    <row r="5">
      <c r="A5" t="inlineStr">
        <is>
          <t>NHL</t>
        </is>
      </c>
      <c r="B5" t="n">
        <v>13</v>
      </c>
      <c r="C5" t="n">
        <v>9</v>
      </c>
      <c r="D5" t="n">
        <v>6.5</v>
      </c>
      <c r="E5" t="n">
        <v>4</v>
      </c>
      <c r="F5" t="n">
        <v>2.5</v>
      </c>
      <c r="G5" t="n">
        <v>7</v>
      </c>
      <c r="H5" t="n">
        <v>13</v>
      </c>
      <c r="I5">
        <f>LARGE('NHL'!$M$5:$M$36,MIN(G5,COUNT('NHL'!$M$5:$M$36)))</f>
        <v/>
      </c>
    </row>
    <row r="6">
      <c r="A6" t="inlineStr">
        <is>
          <t>NCAAF</t>
        </is>
      </c>
      <c r="B6" t="n">
        <v>13</v>
      </c>
      <c r="C6" t="n">
        <v>9</v>
      </c>
      <c r="D6" t="n">
        <v>6.5</v>
      </c>
      <c r="E6" t="n">
        <v>4</v>
      </c>
      <c r="F6" t="n">
        <v>2.5</v>
      </c>
      <c r="G6" t="n">
        <v>7</v>
      </c>
      <c r="H6" t="n">
        <v>13</v>
      </c>
      <c r="I6">
        <f>LARGE('NCAAF'!$M$5:$M$32,MIN(G6,COUNT('NCAAF'!$M$5:$M$32)))</f>
        <v/>
      </c>
    </row>
    <row r="7">
      <c r="A7" t="inlineStr">
        <is>
          <t>NCAAB</t>
        </is>
      </c>
      <c r="B7" t="n">
        <v>13</v>
      </c>
      <c r="C7" t="n">
        <v>9</v>
      </c>
      <c r="D7" t="n">
        <v>6.5</v>
      </c>
      <c r="E7" t="n">
        <v>4</v>
      </c>
      <c r="F7" t="n">
        <v>2.5</v>
      </c>
      <c r="G7" t="n">
        <v>7</v>
      </c>
      <c r="H7" t="n">
        <v>13</v>
      </c>
      <c r="I7">
        <f>LARGE('NCAAB'!$M$5:$M$34,MIN(G7,COUNT('NCAAB'!$M$5:$M$34)))</f>
        <v/>
      </c>
    </row>
    <row r="8">
      <c r="A8" t="inlineStr">
        <is>
          <t>Tennis</t>
        </is>
      </c>
      <c r="G8" t="n">
        <v>7</v>
      </c>
      <c r="H8" t="n">
        <v>13</v>
      </c>
      <c r="I8">
        <f>LARGE('Tennis'!$M$5:$M$29,MIN(G8,COUNT('Tennis'!$M$5:$M$29)))</f>
        <v/>
      </c>
    </row>
    <row r="9">
      <c r="A9" t="inlineStr">
        <is>
          <t>Golf</t>
        </is>
      </c>
      <c r="G9" t="n">
        <v>7</v>
      </c>
      <c r="H9" t="n">
        <v>13</v>
      </c>
      <c r="I9">
        <f>LARGE('Golf'!$M$5:$M$44,MIN(G9,COUNT('Golf'!$M$5:$M$44)))</f>
        <v/>
      </c>
    </row>
    <row r="10">
      <c r="A10" t="inlineStr">
        <is>
          <t>NASCAR</t>
        </is>
      </c>
      <c r="G10" t="n">
        <v>7</v>
      </c>
      <c r="H10" t="n">
        <v>13</v>
      </c>
      <c r="I10">
        <f>LARGE('NASCAR'!$M$5:$M$28,MIN(G10,COUNT('NASCAR'!$M$5:$M$28)))</f>
        <v/>
      </c>
    </row>
    <row r="11">
      <c r="A11" t="inlineStr">
        <is>
          <t>MLS</t>
        </is>
      </c>
      <c r="B11" t="n">
        <v>13</v>
      </c>
      <c r="C11" t="n">
        <v>9</v>
      </c>
      <c r="D11" t="n">
        <v>6.5</v>
      </c>
      <c r="E11" t="n">
        <v>0</v>
      </c>
      <c r="F11" t="n">
        <v>0</v>
      </c>
      <c r="G11" t="n">
        <v>7</v>
      </c>
      <c r="H11" t="n">
        <v>13</v>
      </c>
      <c r="I11">
        <f>LARGE('MLS'!$M$5:$M$34,MIN(G11,COUNT('MLS'!$M$5:$M$34)))</f>
        <v/>
      </c>
    </row>
    <row r="12">
      <c r="A12" t="inlineStr">
        <is>
          <t>Actor</t>
        </is>
      </c>
      <c r="G12" t="n">
        <v>7</v>
      </c>
      <c r="H12" t="n">
        <v>13</v>
      </c>
      <c r="I12">
        <f>MAX(LARGE('Actor'!$M$5:$M$98,MIN(G12,COUNT('Actor'!$M$5:$M$98))),SUMPRODUCT(MAX(('Actor'!$W$5:$W$98&gt;K12)*'Actor'!$M$5:$M$98)))</f>
        <v/>
      </c>
      <c r="J12" t="n">
        <v>2</v>
      </c>
      <c r="K12" t="n">
        <v>8</v>
      </c>
    </row>
    <row r="13">
      <c r="A13" t="inlineStr">
        <is>
          <t>Actress</t>
        </is>
      </c>
      <c r="G13" t="n">
        <v>7</v>
      </c>
      <c r="H13" t="n">
        <v>13</v>
      </c>
      <c r="I13">
        <f>MAX(LARGE('Actress'!$M$5:$M$92,MIN(G13,COUNT('Actress'!$M$5:$M$92))),SUMPRODUCT(MAX(('Actress'!$W$5:$W$92&gt;K13)*'Actress'!$M$5:$M$92)))</f>
        <v/>
      </c>
      <c r="J13" t="n">
        <v>2</v>
      </c>
      <c r="K13" t="n">
        <v>8</v>
      </c>
    </row>
    <row r="14">
      <c r="A14" t="inlineStr">
        <is>
          <t>Musician</t>
        </is>
      </c>
      <c r="G14" t="n">
        <v>7</v>
      </c>
      <c r="H14" t="n">
        <v>13</v>
      </c>
      <c r="I14">
        <f>MAX(LARGE('Musician'!$M$5:$M$36,MIN(G14,COUNT('Musician'!$M$5:$M$36))),SUMPRODUCT(MAX(('Musician'!$W$5:$W$36&gt;K14)*'Musician'!$M$5:$M$36)))</f>
        <v/>
      </c>
      <c r="J14" t="n">
        <v>2</v>
      </c>
      <c r="K14" t="n">
        <v>8</v>
      </c>
    </row>
    <row r="15">
      <c r="A15" t="inlineStr">
        <is>
          <t>Country</t>
        </is>
      </c>
      <c r="G15" t="n">
        <v>7</v>
      </c>
      <c r="H15" t="n">
        <v>13</v>
      </c>
      <c r="I15">
        <f>LARGE('Country'!$M$5:$M$65,MIN(G15,COUNT('Country'!$M$5:$M$65)))</f>
        <v/>
      </c>
    </row>
    <row r="16">
      <c r="A16" t="inlineStr">
        <is>
          <t>Stock</t>
        </is>
      </c>
      <c r="G16" t="n">
        <v>7</v>
      </c>
      <c r="H16" t="n">
        <v>13</v>
      </c>
      <c r="I16">
        <f>LARGE('Stock'!$M$5:$M$30,MIN(G16,COUNT('Stock'!$M$5:$M$30)))</f>
        <v/>
      </c>
    </row>
    <row r="19">
      <c r="A19" s="8" t="inlineStr">
        <is>
          <t>Other inputs</t>
        </is>
      </c>
    </row>
    <row r="20">
      <c r="A20" t="inlineStr">
        <is>
          <t>Tennis slam win pts</t>
        </is>
      </c>
      <c r="B20" t="n">
        <v>4</v>
      </c>
    </row>
    <row r="21">
      <c r="A21" t="inlineStr">
        <is>
          <t>Tennis slam runner-up pts</t>
        </is>
      </c>
      <c r="B21" t="n">
        <v>2.5</v>
      </c>
    </row>
    <row r="22">
      <c r="A22" t="inlineStr">
        <is>
          <t>Golf major win pts</t>
        </is>
      </c>
      <c r="B22" t="n">
        <v>6</v>
      </c>
    </row>
    <row r="23">
      <c r="A23" t="inlineStr">
        <is>
          <t>Golf major runner-up pts</t>
        </is>
      </c>
      <c r="B23" t="n">
        <v>2.5</v>
      </c>
    </row>
    <row r="24">
      <c r="A24" t="inlineStr">
        <is>
          <t>NASCAR avg pts for finishing 2nd-5th</t>
        </is>
      </c>
      <c r="B24" t="n">
        <v>4.5</v>
      </c>
    </row>
    <row r="25">
      <c r="A25" t="inlineStr">
        <is>
          <t>Risk aversion λ (Risk-adj VOR = VOR − λ·SD of rank pts)</t>
        </is>
      </c>
      <c r="B25" t="n">
        <v>0</v>
      </c>
    </row>
    <row r="26">
      <c r="A26" t="inlineStr">
        <is>
          <t>Confidence haircut, grade B (pts off VOR)</t>
        </is>
      </c>
      <c r="B26" t="n">
        <v>0.3</v>
      </c>
    </row>
    <row r="27">
      <c r="A27" t="inlineStr">
        <is>
          <t>Confidence haircut, grade C (pts off VOR)</t>
        </is>
      </c>
      <c r="B27" t="n">
        <v>0.8</v>
      </c>
    </row>
    <row r="30">
      <c r="A30" s="8" t="inlineStr">
        <is>
          <t>Certainty adjustments applied to data/*.json before the model (v2)</t>
        </is>
      </c>
    </row>
    <row r="31">
      <c r="A31" t="inlineStr">
        <is>
          <t>Category</t>
        </is>
      </c>
      <c r="B31" t="inlineStr">
        <is>
          <t>sd multiplier</t>
        </is>
      </c>
      <c r="C31" t="inlineStr">
        <is>
          <t>mu shrink to field</t>
        </is>
      </c>
      <c r="D31" t="inlineStr">
        <is>
          <t>title-prob shrink to uniform</t>
        </is>
      </c>
      <c r="E31" t="inlineStr">
        <is>
          <t>Why</t>
        </is>
      </c>
    </row>
    <row r="32">
      <c r="A32" t="inlineStr">
        <is>
          <t>NFL</t>
        </is>
      </c>
      <c r="B32" t="n">
        <v>1</v>
      </c>
      <c r="C32" t="n">
        <v>0</v>
      </c>
      <c r="D32" t="n">
        <v>0</v>
      </c>
      <c r="E32" t="inlineStr">
        <is>
          <t>season in progress, Kalshi-priced</t>
        </is>
      </c>
    </row>
    <row r="33">
      <c r="A33" t="inlineStr">
        <is>
          <t>NBA</t>
        </is>
      </c>
      <c r="B33" t="n">
        <v>1</v>
      </c>
      <c r="C33" t="n">
        <v>0</v>
      </c>
      <c r="D33" t="n">
        <v>0</v>
      </c>
      <c r="E33" t="inlineStr">
        <is>
          <t>opens Oct 20, Kalshi-priced</t>
        </is>
      </c>
    </row>
    <row r="34">
      <c r="A34" t="inlineStr">
        <is>
          <t>MLB</t>
        </is>
      </c>
      <c r="B34" t="n">
        <v>2</v>
      </c>
      <c r="C34" t="n">
        <v>0.5</v>
      </c>
      <c r="D34" t="n">
        <v>0.5</v>
      </c>
      <c r="E34" t="inlineStr">
        <is>
          <t>calendar 2027, no 2027 market; year-to-year win% persistence is weak</t>
        </is>
      </c>
    </row>
    <row r="35">
      <c r="A35" t="inlineStr">
        <is>
          <t>NHL</t>
        </is>
      </c>
      <c r="B35" t="n">
        <v>1</v>
      </c>
      <c r="C35" t="n">
        <v>0</v>
      </c>
      <c r="D35" t="n">
        <v>0</v>
      </c>
      <c r="E35" t="inlineStr">
        <is>
          <t>season started, Kalshi-priced</t>
        </is>
      </c>
    </row>
    <row r="36">
      <c r="A36" t="inlineStr">
        <is>
          <t>NCAAF</t>
        </is>
      </c>
      <c r="B36" t="n">
        <v>1</v>
      </c>
      <c r="C36" t="n">
        <v>0</v>
      </c>
      <c r="D36" t="n">
        <v>0</v>
      </c>
      <c r="E36" t="inlineStr">
        <is>
          <t>season in progress, Kalshi-priced</t>
        </is>
      </c>
    </row>
    <row r="37">
      <c r="A37" t="inlineStr">
        <is>
          <t>NCAAB</t>
        </is>
      </c>
      <c r="B37" t="n">
        <v>1.6</v>
      </c>
      <c r="C37" t="n">
        <v>0.3</v>
      </c>
      <c r="D37" t="n">
        <v>0.25</v>
      </c>
      <c r="E37" t="inlineStr">
        <is>
          <t>season not started; tournament chaos</t>
        </is>
      </c>
    </row>
    <row r="38">
      <c r="A38" t="inlineStr">
        <is>
          <t>Tennis</t>
        </is>
      </c>
      <c r="B38" t="n">
        <v>1</v>
      </c>
      <c r="C38" t="n">
        <v>0</v>
      </c>
      <c r="D38" t="n">
        <v>0</v>
      </c>
      <c r="E38" t="inlineStr">
        <is>
          <t>rankings sticky; slams stable at the top</t>
        </is>
      </c>
    </row>
    <row r="39">
      <c r="A39" t="inlineStr">
        <is>
          <t>Golf</t>
        </is>
      </c>
      <c r="B39" t="n">
        <v>1</v>
      </c>
      <c r="C39" t="n">
        <v>0</v>
      </c>
      <c r="D39" t="n">
        <v>0</v>
      </c>
      <c r="E39" t="inlineStr">
        <is>
          <t>OWGR is sticky; majors are stable at the top</t>
        </is>
      </c>
    </row>
    <row r="40">
      <c r="A40" t="inlineStr">
        <is>
          <t>NASCAR</t>
        </is>
      </c>
      <c r="B40" t="n">
        <v>2</v>
      </c>
      <c r="C40" t="n">
        <v>0.4</v>
      </c>
      <c r="D40" t="n">
        <v>0.3</v>
      </c>
      <c r="E40" t="inlineStr">
        <is>
          <t>calendar 2027, no 2027 market; probabilities now recency-weighted from 2021-26 final standings (lighter p shrink)</t>
        </is>
      </c>
    </row>
    <row r="41">
      <c r="A41" t="inlineStr">
        <is>
          <t>MLS</t>
        </is>
      </c>
      <c r="B41" t="n">
        <v>2</v>
      </c>
      <c r="C41" t="n">
        <v>0.5</v>
      </c>
      <c r="D41" t="n">
        <v>0.5</v>
      </c>
      <c r="E41" t="inlineStr">
        <is>
          <t>calendar 2027, no 2027 market; playoff-driven</t>
        </is>
      </c>
    </row>
    <row r="42">
      <c r="A42" t="inlineStr">
        <is>
          <t>Actor</t>
        </is>
      </c>
      <c r="B42" t="n">
        <v>1</v>
      </c>
      <c r="C42" t="n">
        <v>0</v>
      </c>
      <c r="D42" t="n">
        <v>0</v>
      </c>
      <c r="E42" t="inlineStr">
        <is>
          <t>see Market overweight</t>
        </is>
      </c>
    </row>
    <row r="43">
      <c r="A43" t="inlineStr">
        <is>
          <t>Actress</t>
        </is>
      </c>
      <c r="B43" t="n">
        <v>1</v>
      </c>
      <c r="C43" t="n">
        <v>0</v>
      </c>
      <c r="D43" t="n">
        <v>0</v>
      </c>
      <c r="E43" t="inlineStr">
        <is>
          <t>see Market overweight</t>
        </is>
      </c>
    </row>
    <row r="44">
      <c r="A44" t="inlineStr">
        <is>
          <t>Musician</t>
        </is>
      </c>
      <c r="B44" t="n">
        <v>1</v>
      </c>
      <c r="C44" t="n">
        <v>0</v>
      </c>
      <c r="D44" t="n">
        <v>0</v>
      </c>
      <c r="E44" t="inlineStr">
        <is>
          <t>see Market overweight</t>
        </is>
      </c>
    </row>
    <row r="45">
      <c r="A45" t="inlineStr">
        <is>
          <t>Country</t>
        </is>
      </c>
      <c r="B45" t="n">
        <v>1</v>
      </c>
      <c r="C45" t="n">
        <v>0</v>
      </c>
      <c r="D45" t="n">
        <v>0</v>
      </c>
      <c r="E45" t="inlineStr">
        <is>
          <t>IMF-published growth, small sd</t>
        </is>
      </c>
    </row>
    <row r="46">
      <c r="A46" t="inlineStr">
        <is>
          <t>Stock</t>
        </is>
      </c>
      <c r="B46" t="inlineStr">
        <is>
          <t>flat</t>
        </is>
      </c>
      <c r="C46" t="inlineStr">
        <is>
          <t>flat</t>
        </is>
      </c>
      <c r="D46" t="inlineStr">
        <is>
          <t>-</t>
        </is>
      </c>
      <c r="E46" t="inlineStr">
        <is>
          <t>pure luck: mu and sd forced equal for all picks</t>
        </is>
      </c>
    </row>
    <row r="48">
      <c r="A48" t="inlineStr">
        <is>
          <t>These are applied in Python (edit CERT in build_workbook.py and rebuild); the Excel cells above are the live ones.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3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36" customWidth="1" min="2" max="2"/>
    <col width="22" customWidth="1" min="3" max="3"/>
    <col width="11" customWidth="1" min="4" max="4"/>
    <col width="11" customWidth="1" min="5" max="5"/>
    <col width="11" customWidth="1" min="6" max="6"/>
    <col width="11" customWidth="1" min="7" max="7"/>
    <col width="11" customWidth="1" min="8" max="8"/>
    <col width="9" customWidth="1" min="9" max="9"/>
    <col width="9" customWidth="1" min="10" max="10"/>
    <col width="11" customWidth="1" min="11" max="11"/>
    <col width="10" customWidth="1" min="12" max="12"/>
    <col width="10" customWidth="1" min="13" max="13"/>
    <col width="9" customWidth="1" min="14" max="14"/>
    <col width="11" customWidth="1" min="15" max="15"/>
    <col width="6" customWidth="1" min="16" max="16"/>
    <col width="9" customWidth="1" min="17" max="17"/>
    <col width="38" customWidth="1" min="18" max="18"/>
    <col width="11" customWidth="1" min="19" max="19"/>
    <col width="6" customWidth="1" min="20" max="20"/>
    <col width="60" customWidth="1" min="21" max="21"/>
    <col width="12" customWidth="1" min="22" max="22"/>
    <col width="9" customWidth="1" min="23" max="23"/>
    <col width="11" customWidth="1" min="24" max="24"/>
    <col width="11" customWidth="1" min="25" max="25"/>
  </cols>
  <sheetData>
    <row r="1">
      <c r="A1" s="18" t="inlineStr">
        <is>
          <t>NFL — 2027 draft research (EV model; see README)</t>
        </is>
      </c>
    </row>
    <row r="2">
      <c r="A2" t="inlineStr">
        <is>
          <t>As of 2026-10-22. Sorted by E[total]. Yellow = inferred / low-confidence (C).</t>
        </is>
      </c>
    </row>
    <row r="4">
      <c r="A4" s="7" t="inlineStr">
        <is>
          <t>Candidate</t>
        </is>
      </c>
      <c r="B4" s="7" t="inlineStr">
        <is>
          <t>Detail</t>
        </is>
      </c>
      <c r="C4" s="7" t="inlineStr">
        <is>
          <t>Odds / price</t>
        </is>
      </c>
      <c r="D4" s="7" t="inlineStr">
        <is>
          <t>p(champ)</t>
        </is>
      </c>
      <c r="E4" s="7" t="inlineStr">
        <is>
          <t>p(final)</t>
        </is>
      </c>
      <c r="F4" s="7" t="inlineStr">
        <is>
          <t>p(semi)</t>
        </is>
      </c>
      <c r="G4" s="7" t="inlineStr">
        <is>
          <t>p(quarter)</t>
        </is>
      </c>
      <c r="H4" s="7" t="inlineStr">
        <is>
          <t>p(rd 1)</t>
        </is>
      </c>
      <c r="I4" s="7" t="inlineStr">
        <is>
          <t>mu</t>
        </is>
      </c>
      <c r="J4" s="7" t="inlineStr">
        <is>
          <t>sd</t>
        </is>
      </c>
      <c r="K4" s="7" t="inlineStr">
        <is>
          <t>E[rank pts] (MC)</t>
        </is>
      </c>
      <c r="L4" s="7" t="inlineStr">
        <is>
          <t>E[bonus]</t>
        </is>
      </c>
      <c r="M4" s="7" t="inlineStr">
        <is>
          <t>E[total]</t>
        </is>
      </c>
      <c r="N4" s="7" t="inlineStr">
        <is>
          <t>VOR</t>
        </is>
      </c>
      <c r="O4" s="7" t="inlineStr">
        <is>
          <t>Risk-adj VOR</t>
        </is>
      </c>
      <c r="P4" s="7" t="inlineStr">
        <is>
          <t>Tier</t>
        </is>
      </c>
      <c r="Q4" s="7" t="inlineStr">
        <is>
          <t>SD rank pts</t>
        </is>
      </c>
      <c r="R4" s="7" t="inlineStr">
        <is>
          <t>Source</t>
        </is>
      </c>
      <c r="S4" s="7" t="inlineStr">
        <is>
          <t>As of</t>
        </is>
      </c>
      <c r="T4" s="7" t="inlineStr">
        <is>
          <t>Conf</t>
        </is>
      </c>
      <c r="U4" s="7" t="inlineStr">
        <is>
          <t>Notes</t>
        </is>
      </c>
      <c r="V4" s="7" t="inlineStr">
        <is>
          <t>Field draft score</t>
        </is>
      </c>
      <c r="W4" s="7" t="inlineStr">
        <is>
          <t>Field rank</t>
        </is>
      </c>
      <c r="X4" s="7" t="inlineStr">
        <is>
          <t>Owner</t>
        </is>
      </c>
      <c r="Y4" s="7" t="inlineStr">
        <is>
          <t>Conf-adj VOR</t>
        </is>
      </c>
    </row>
    <row r="5">
      <c r="A5" s="9" t="inlineStr">
        <is>
          <t>San Francisco 49ers</t>
        </is>
      </c>
      <c r="B5" t="inlineStr">
        <is>
          <t>4-0, NFC West</t>
        </is>
      </c>
      <c r="C5" t="inlineStr">
        <is>
          <t>Kalshi 9.5%</t>
        </is>
      </c>
      <c r="D5" t="n">
        <v>0.142</v>
      </c>
      <c r="E5" t="n">
        <v>0.2631</v>
      </c>
      <c r="F5" t="n">
        <v>0.4592</v>
      </c>
      <c r="G5" t="n">
        <v>0.8149999999999999</v>
      </c>
      <c r="H5" t="n">
        <v>0.97</v>
      </c>
      <c r="I5" t="n">
        <v>0.7361</v>
      </c>
      <c r="J5" t="n">
        <v>0.0948</v>
      </c>
      <c r="K5" t="n">
        <v>11.609</v>
      </c>
      <c r="L5">
        <f>Assumptions!$B$2*D5+Assumptions!$C$2*(E5-D5)+Assumptions!$D$2*(F5-E5)+Assumptions!$E$2*(G5-F5)+Assumptions!$F$2*(H5-G5)</f>
        <v/>
      </c>
      <c r="M5">
        <f>K5+MIN(L5,Assumptions!$H$2)</f>
        <v/>
      </c>
      <c r="N5">
        <f>M5-Assumptions!$I$2</f>
        <v/>
      </c>
      <c r="O5">
        <f>N5-Assumptions!$B$25*Q5</f>
        <v/>
      </c>
      <c r="P5" t="n">
        <v>1</v>
      </c>
      <c r="Q5" t="n">
        <v>2.1</v>
      </c>
      <c r="R5" t="inlineStr">
        <is>
          <t>KXSB-27 exchange mid-price, pulled 2026-10-08; p(final)=KXNFLAFCCHAMP/KXNFLNFCCHAMP-27 Kalshi mid | league_sim.py: full-schedule + real playoff bracket Monte Carlo, ratings fitted to Kalshi</t>
        </is>
      </c>
      <c r="S5" t="inlineStr">
        <is>
          <t>2026-10-08</t>
        </is>
      </c>
      <c r="T5" t="inlineStr">
        <is>
          <t>A</t>
        </is>
      </c>
      <c r="U5" t="inlineStr">
        <is>
          <t>[sim: playoffs 98%, rd2 82%, conf final 46%]</t>
        </is>
      </c>
      <c r="X5" s="16" t="inlineStr">
        <is>
          <t>Todd</t>
        </is>
      </c>
      <c r="Y5">
        <f>N5-IF(T5="C",Assumptions!$B$27,IF(T5="B",Assumptions!$B$26,0))</f>
        <v/>
      </c>
    </row>
    <row r="6">
      <c r="A6" s="9" t="inlineStr">
        <is>
          <t>Kansas City Chiefs</t>
        </is>
      </c>
      <c r="B6" t="inlineStr">
        <is>
          <t>4-0, AFC West</t>
        </is>
      </c>
      <c r="C6" t="inlineStr">
        <is>
          <t>Kalshi 9.5%</t>
        </is>
      </c>
      <c r="D6" t="n">
        <v>0.0927</v>
      </c>
      <c r="E6" t="n">
        <v>0.1787</v>
      </c>
      <c r="F6" t="n">
        <v>0.3441</v>
      </c>
      <c r="G6" t="n">
        <v>0.6405</v>
      </c>
      <c r="H6" t="n">
        <v>0.9026</v>
      </c>
      <c r="I6" t="n">
        <v>0.6664</v>
      </c>
      <c r="J6" t="n">
        <v>0.1012</v>
      </c>
      <c r="K6" t="n">
        <v>9.906000000000001</v>
      </c>
      <c r="L6">
        <f>Assumptions!$B$2*D6+Assumptions!$C$2*(E6-D6)+Assumptions!$D$2*(F6-E6)+Assumptions!$E$2*(G6-F6)+Assumptions!$F$2*(H6-G6)</f>
        <v/>
      </c>
      <c r="M6">
        <f>K6+MIN(L6,Assumptions!$H$2)</f>
        <v/>
      </c>
      <c r="N6">
        <f>M6-Assumptions!$I$2</f>
        <v/>
      </c>
      <c r="O6">
        <f>N6-Assumptions!$B$25*Q6</f>
        <v/>
      </c>
      <c r="P6" t="n">
        <v>1</v>
      </c>
      <c r="Q6" t="n">
        <v>3.046</v>
      </c>
      <c r="R6" t="inlineStr">
        <is>
          <t>KXSB-27 exchange mid-price, pulled 2026-10-08; p(final)=KXNFLAFCCHAMP/KXNFLNFCCHAMP-27 Kalshi mid | league_sim.py: full-schedule + real playoff bracket Monte Carlo, ratings fitted to Kalshi</t>
        </is>
      </c>
      <c r="S6" t="inlineStr">
        <is>
          <t>2026-10-08</t>
        </is>
      </c>
      <c r="T6" t="inlineStr">
        <is>
          <t>A</t>
        </is>
      </c>
      <c r="U6" t="inlineStr">
        <is>
          <t>[sim: playoffs 90%, rd2 64%, conf final 34%]</t>
        </is>
      </c>
      <c r="X6" s="16" t="inlineStr">
        <is>
          <t>Shep</t>
        </is>
      </c>
      <c r="Y6">
        <f>N6-IF(T6="C",Assumptions!$B$27,IF(T6="B",Assumptions!$B$26,0))</f>
        <v/>
      </c>
    </row>
    <row r="7">
      <c r="A7" s="9" t="inlineStr">
        <is>
          <t>Buffalo Bills</t>
        </is>
      </c>
      <c r="B7" t="inlineStr">
        <is>
          <t>3-1, AFC East</t>
        </is>
      </c>
      <c r="C7" t="inlineStr">
        <is>
          <t>Kalshi 10.5%</t>
        </is>
      </c>
      <c r="D7" t="n">
        <v>0.0931</v>
      </c>
      <c r="E7" t="n">
        <v>0.1829</v>
      </c>
      <c r="F7" t="n">
        <v>0.3331</v>
      </c>
      <c r="G7" t="n">
        <v>0.6</v>
      </c>
      <c r="H7" t="n">
        <v>0.883</v>
      </c>
      <c r="I7" t="n">
        <v>0.6488</v>
      </c>
      <c r="J7" t="n">
        <v>0.0977</v>
      </c>
      <c r="K7" t="n">
        <v>9.362</v>
      </c>
      <c r="L7">
        <f>Assumptions!$B$2*D7+Assumptions!$C$2*(E7-D7)+Assumptions!$D$2*(F7-E7)+Assumptions!$E$2*(G7-F7)+Assumptions!$F$2*(H7-G7)</f>
        <v/>
      </c>
      <c r="M7">
        <f>K7+MIN(L7,Assumptions!$H$2)</f>
        <v/>
      </c>
      <c r="N7">
        <f>M7-Assumptions!$I$2</f>
        <v/>
      </c>
      <c r="O7">
        <f>N7-Assumptions!$B$25*Q7</f>
        <v/>
      </c>
      <c r="P7" t="n">
        <v>1</v>
      </c>
      <c r="Q7" t="n">
        <v>3.148</v>
      </c>
      <c r="R7" t="inlineStr">
        <is>
          <t>KXSB-27 exchange mid-price, pulled 2026-10-08; p(final)=KXNFLAFCCHAMP/KXNFLNFCCHAMP-27 Kalshi mid | league_sim.py: full-schedule + real playoff bracket Monte Carlo, ratings fitted to Kalshi</t>
        </is>
      </c>
      <c r="S7" t="inlineStr">
        <is>
          <t>2026-10-08</t>
        </is>
      </c>
      <c r="T7" t="inlineStr">
        <is>
          <t>A</t>
        </is>
      </c>
      <c r="U7" t="inlineStr">
        <is>
          <t>lost to Patriots wk4 [sim: playoffs 88%, rd2 60%, conf final 33%]</t>
        </is>
      </c>
      <c r="X7" s="16" t="inlineStr">
        <is>
          <t>Jens</t>
        </is>
      </c>
      <c r="Y7">
        <f>N7-IF(T7="C",Assumptions!$B$27,IF(T7="B",Assumptions!$B$26,0))</f>
        <v/>
      </c>
    </row>
    <row r="8">
      <c r="A8" s="17" t="inlineStr">
        <is>
          <t>Minnesota Vikings</t>
        </is>
      </c>
      <c r="B8" t="inlineStr">
        <is>
          <t>4-0, NFC North</t>
        </is>
      </c>
      <c r="C8" t="inlineStr">
        <is>
          <t>Kalshi 3.5%</t>
        </is>
      </c>
      <c r="D8" t="n">
        <v>0.0367</v>
      </c>
      <c r="E8" t="n">
        <v>0.0824</v>
      </c>
      <c r="F8" t="n">
        <v>0.2107</v>
      </c>
      <c r="G8" t="n">
        <v>0.4878</v>
      </c>
      <c r="H8" t="n">
        <v>0.8366</v>
      </c>
      <c r="I8" t="n">
        <v>0.634</v>
      </c>
      <c r="J8" t="n">
        <v>0.1012</v>
      </c>
      <c r="K8" t="n">
        <v>8.824999999999999</v>
      </c>
      <c r="L8">
        <f>Assumptions!$B$2*D8+Assumptions!$C$2*(E8-D8)+Assumptions!$D$2*(F8-E8)+Assumptions!$E$2*(G8-F8)+Assumptions!$F$2*(H8-G8)</f>
        <v/>
      </c>
      <c r="M8">
        <f>K8+MIN(L8,Assumptions!$H$2)</f>
        <v/>
      </c>
      <c r="N8">
        <f>M8-Assumptions!$I$2</f>
        <v/>
      </c>
      <c r="O8">
        <f>N8-Assumptions!$B$25*Q8</f>
        <v/>
      </c>
      <c r="P8" t="n">
        <v>2</v>
      </c>
      <c r="Q8" t="n">
        <v>3.329</v>
      </c>
      <c r="R8" t="inlineStr">
        <is>
          <t>KXSB-27 exchange mid-price, pulled 2026-10-08; p(final)=KXNFLAFCCHAMP/KXNFLNFCCHAMP-27 Kalshi mid | league_sim.py: full-schedule + real playoff bracket Monte Carlo, ratings fitted to Kalshi</t>
        </is>
      </c>
      <c r="S8" t="inlineStr">
        <is>
          <t>2026-10-08</t>
        </is>
      </c>
      <c r="T8" t="inlineStr">
        <is>
          <t>A</t>
        </is>
      </c>
      <c r="U8" t="inlineStr">
        <is>
          <t>[sim: playoffs 84%, rd2 49%, conf final 21%]</t>
        </is>
      </c>
      <c r="Y8">
        <f>N8-IF(T8="C",Assumptions!$B$27,IF(T8="B",Assumptions!$B$26,0))</f>
        <v/>
      </c>
    </row>
    <row r="9">
      <c r="A9" s="17" t="inlineStr">
        <is>
          <t>Baltimore Ravens</t>
        </is>
      </c>
      <c r="B9" t="inlineStr">
        <is>
          <t>3-1, AFC North</t>
        </is>
      </c>
      <c r="C9" t="inlineStr">
        <is>
          <t>Kalshi 7.5%</t>
        </is>
      </c>
      <c r="D9" t="n">
        <v>0.065</v>
      </c>
      <c r="E9" t="n">
        <v>0.1229</v>
      </c>
      <c r="F9" t="n">
        <v>0.243</v>
      </c>
      <c r="G9" t="n">
        <v>0.4693</v>
      </c>
      <c r="H9" t="n">
        <v>0.7598</v>
      </c>
      <c r="I9" t="n">
        <v>0.6027</v>
      </c>
      <c r="J9" t="n">
        <v>0.0944</v>
      </c>
      <c r="K9" t="n">
        <v>7.878</v>
      </c>
      <c r="L9">
        <f>Assumptions!$B$2*D9+Assumptions!$C$2*(E9-D9)+Assumptions!$D$2*(F9-E9)+Assumptions!$E$2*(G9-F9)+Assumptions!$F$2*(H9-G9)</f>
        <v/>
      </c>
      <c r="M9">
        <f>K9+MIN(L9,Assumptions!$H$2)</f>
        <v/>
      </c>
      <c r="N9">
        <f>M9-Assumptions!$I$2</f>
        <v/>
      </c>
      <c r="O9">
        <f>N9-Assumptions!$B$25*Q9</f>
        <v/>
      </c>
      <c r="P9" t="n">
        <v>2</v>
      </c>
      <c r="Q9" t="n">
        <v>3.362</v>
      </c>
      <c r="R9" t="inlineStr">
        <is>
          <t>KXSB-27 exchange mid-price, pulled 2026-10-08; p(final)=KXNFLAFCCHAMP/KXNFLNFCCHAMP-27 Kalshi mid | league_sim.py: full-schedule + real playoff bracket Monte Carlo, ratings fitted to Kalshi</t>
        </is>
      </c>
      <c r="S9" t="inlineStr">
        <is>
          <t>2026-10-08</t>
        </is>
      </c>
      <c r="T9" t="inlineStr">
        <is>
          <t>A</t>
        </is>
      </c>
      <c r="U9" t="inlineStr">
        <is>
          <t>[sim: playoffs 76%, rd2 47%, conf final 24%]</t>
        </is>
      </c>
      <c r="X9" s="16" t="inlineStr">
        <is>
          <t>Wu</t>
        </is>
      </c>
      <c r="Y9">
        <f>N9-IF(T9="C",Assumptions!$B$27,IF(T9="B",Assumptions!$B$26,0))</f>
        <v/>
      </c>
    </row>
    <row r="10">
      <c r="A10" s="17" t="inlineStr">
        <is>
          <t>Jacksonville Jaguars</t>
        </is>
      </c>
      <c r="B10" t="inlineStr">
        <is>
          <t>3-1, AFC South</t>
        </is>
      </c>
      <c r="C10" t="inlineStr">
        <is>
          <t>Kalshi 6.5%</t>
        </is>
      </c>
      <c r="D10" t="n">
        <v>0.0542</v>
      </c>
      <c r="E10" t="n">
        <v>0.1191</v>
      </c>
      <c r="F10" t="n">
        <v>0.2299</v>
      </c>
      <c r="G10" t="n">
        <v>0.4532</v>
      </c>
      <c r="H10" t="n">
        <v>0.7823</v>
      </c>
      <c r="I10" t="n">
        <v>0.5928</v>
      </c>
      <c r="J10" t="n">
        <v>0.0958</v>
      </c>
      <c r="K10" t="n">
        <v>7.572</v>
      </c>
      <c r="L10">
        <f>Assumptions!$B$2*D10+Assumptions!$C$2*(E10-D10)+Assumptions!$D$2*(F10-E10)+Assumptions!$E$2*(G10-F10)+Assumptions!$F$2*(H10-G10)</f>
        <v/>
      </c>
      <c r="M10">
        <f>K10+MIN(L10,Assumptions!$H$2)</f>
        <v/>
      </c>
      <c r="N10">
        <f>M10-Assumptions!$I$2</f>
        <v/>
      </c>
      <c r="O10">
        <f>N10-Assumptions!$B$25*Q10</f>
        <v/>
      </c>
      <c r="P10" t="n">
        <v>2</v>
      </c>
      <c r="Q10" t="n">
        <v>3.463</v>
      </c>
      <c r="R10" t="inlineStr">
        <is>
          <t>KXSB-27 exchange mid-price, pulled 2026-10-08; p(final)=KXNFLAFCCHAMP/KXNFLNFCCHAMP-27 Kalshi mid | league_sim.py: full-schedule + real playoff bracket Monte Carlo, ratings fitted to Kalshi</t>
        </is>
      </c>
      <c r="S10" t="inlineStr">
        <is>
          <t>2026-10-08</t>
        </is>
      </c>
      <c r="T10" t="inlineStr">
        <is>
          <t>A</t>
        </is>
      </c>
      <c r="U10" t="inlineStr">
        <is>
          <t>books disagree (+1100 to +2200) [sim: playoffs 78%, rd2 45%, conf final 23%]</t>
        </is>
      </c>
      <c r="Y10">
        <f>N10-IF(T10="C",Assumptions!$B$27,IF(T10="B",Assumptions!$B$26,0))</f>
        <v/>
      </c>
    </row>
    <row r="11">
      <c r="A11" s="17" t="inlineStr">
        <is>
          <t>Chicago Bears</t>
        </is>
      </c>
      <c r="B11" t="inlineStr">
        <is>
          <t>3-1, NFC North</t>
        </is>
      </c>
      <c r="C11" t="inlineStr">
        <is>
          <t>Kalshi 4.5%</t>
        </is>
      </c>
      <c r="D11" t="n">
        <v>0.06560000000000001</v>
      </c>
      <c r="E11" t="n">
        <v>0.1239</v>
      </c>
      <c r="F11" t="n">
        <v>0.2376</v>
      </c>
      <c r="G11" t="n">
        <v>0.4333</v>
      </c>
      <c r="H11" t="n">
        <v>0.7029</v>
      </c>
      <c r="I11" t="n">
        <v>0.5829</v>
      </c>
      <c r="J11" t="n">
        <v>0.09710000000000001</v>
      </c>
      <c r="K11" t="n">
        <v>7.237</v>
      </c>
      <c r="L11">
        <f>Assumptions!$B$2*D11+Assumptions!$C$2*(E11-D11)+Assumptions!$D$2*(F11-E11)+Assumptions!$E$2*(G11-F11)+Assumptions!$F$2*(H11-G11)</f>
        <v/>
      </c>
      <c r="M11">
        <f>K11+MIN(L11,Assumptions!$H$2)</f>
        <v/>
      </c>
      <c r="N11">
        <f>M11-Assumptions!$I$2</f>
        <v/>
      </c>
      <c r="O11">
        <f>N11-Assumptions!$B$25*Q11</f>
        <v/>
      </c>
      <c r="P11" t="n">
        <v>2</v>
      </c>
      <c r="Q11" t="n">
        <v>3.466</v>
      </c>
      <c r="R11" t="inlineStr">
        <is>
          <t>KXSB-27 exchange mid-price, pulled 2026-10-08; p(final)=KXNFLAFCCHAMP/KXNFLNFCCHAMP-27 Kalshi mid | league_sim.py: full-schedule + real playoff bracket Monte Carlo, ratings fitted to Kalshi</t>
        </is>
      </c>
      <c r="S11" t="inlineStr">
        <is>
          <t>2026-10-08</t>
        </is>
      </c>
      <c r="T11" t="inlineStr">
        <is>
          <t>A</t>
        </is>
      </c>
      <c r="U11" t="inlineStr">
        <is>
          <t>[sim: playoffs 70%, rd2 43%, conf final 24%]</t>
        </is>
      </c>
      <c r="Y11">
        <f>N11-IF(T11="C",Assumptions!$B$27,IF(T11="B",Assumptions!$B$26,0))</f>
        <v/>
      </c>
    </row>
    <row r="12">
      <c r="A12" s="19" t="inlineStr">
        <is>
          <t>Denver Broncos</t>
        </is>
      </c>
      <c r="B12" t="inlineStr">
        <is>
          <t>2-2, AFC West</t>
        </is>
      </c>
      <c r="C12" t="inlineStr">
        <is>
          <t>Kalshi 3.5%</t>
        </is>
      </c>
      <c r="D12" t="n">
        <v>0.0395</v>
      </c>
      <c r="E12" t="n">
        <v>0.08459999999999999</v>
      </c>
      <c r="F12" t="n">
        <v>0.1795</v>
      </c>
      <c r="G12" t="n">
        <v>0.3723</v>
      </c>
      <c r="H12" t="n">
        <v>0.6850000000000001</v>
      </c>
      <c r="I12" t="n">
        <v>0.5797</v>
      </c>
      <c r="J12" t="n">
        <v>0.0965</v>
      </c>
      <c r="K12" t="n">
        <v>7.105</v>
      </c>
      <c r="L12">
        <f>Assumptions!$B$2*D12+Assumptions!$C$2*(E12-D12)+Assumptions!$D$2*(F12-E12)+Assumptions!$E$2*(G12-F12)+Assumptions!$F$2*(H12-G12)</f>
        <v/>
      </c>
      <c r="M12">
        <f>K12+MIN(L12,Assumptions!$H$2)</f>
        <v/>
      </c>
      <c r="N12">
        <f>M12-Assumptions!$I$2</f>
        <v/>
      </c>
      <c r="O12">
        <f>N12-Assumptions!$B$25*Q12</f>
        <v/>
      </c>
      <c r="P12" t="n">
        <v>3</v>
      </c>
      <c r="Q12" t="n">
        <v>3.462</v>
      </c>
      <c r="R12" t="inlineStr">
        <is>
          <t>KXSB-27 exchange mid-price, pulled 2026-10-08; p(final)=KXNFLAFCCHAMP/KXNFLNFCCHAMP-27 Kalshi mid | league_sim.py: full-schedule + real playoff bracket Monte Carlo, ratings fitted to Kalshi</t>
        </is>
      </c>
      <c r="S12" t="inlineStr">
        <is>
          <t>2026-10-08</t>
        </is>
      </c>
      <c r="T12" t="inlineStr">
        <is>
          <t>A</t>
        </is>
      </c>
      <c r="U12" t="inlineStr">
        <is>
          <t>[sim: playoffs 68%, rd2 37%, conf final 18%]</t>
        </is>
      </c>
      <c r="X12" s="16" t="inlineStr">
        <is>
          <t>Molmen</t>
        </is>
      </c>
      <c r="Y12">
        <f>N12-IF(T12="C",Assumptions!$B$27,IF(T12="B",Assumptions!$B$26,0))</f>
        <v/>
      </c>
    </row>
    <row r="13">
      <c r="A13" s="19" t="inlineStr">
        <is>
          <t>New England Patriots</t>
        </is>
      </c>
      <c r="B13" t="inlineStr">
        <is>
          <t>2-2, AFC East</t>
        </is>
      </c>
      <c r="C13" t="inlineStr">
        <is>
          <t>Kalshi 2.5%</t>
        </is>
      </c>
      <c r="D13" t="n">
        <v>0.0478</v>
      </c>
      <c r="E13" t="n">
        <v>0.09</v>
      </c>
      <c r="F13" t="n">
        <v>0.1757</v>
      </c>
      <c r="G13" t="n">
        <v>0.351</v>
      </c>
      <c r="H13" t="n">
        <v>0.6252</v>
      </c>
      <c r="I13" t="n">
        <v>0.5619</v>
      </c>
      <c r="J13" t="n">
        <v>0.0973</v>
      </c>
      <c r="K13" t="n">
        <v>6.545</v>
      </c>
      <c r="L13">
        <f>Assumptions!$B$2*D13+Assumptions!$C$2*(E13-D13)+Assumptions!$D$2*(F13-E13)+Assumptions!$E$2*(G13-F13)+Assumptions!$F$2*(H13-G13)</f>
        <v/>
      </c>
      <c r="M13">
        <f>K13+MIN(L13,Assumptions!$H$2)</f>
        <v/>
      </c>
      <c r="N13">
        <f>M13-Assumptions!$I$2</f>
        <v/>
      </c>
      <c r="O13">
        <f>N13-Assumptions!$B$25*Q13</f>
        <v/>
      </c>
      <c r="P13" t="n">
        <v>3</v>
      </c>
      <c r="Q13" t="n">
        <v>3.45</v>
      </c>
      <c r="R13" t="inlineStr">
        <is>
          <t>KXSB-27 exchange mid-price, pulled 2026-10-08; p(final)=KXNFLAFCCHAMP/KXNFLNFCCHAMP-27 Kalshi mid | league_sim.py: full-schedule + real playoff bracket Monte Carlo, ratings fitted to Kalshi</t>
        </is>
      </c>
      <c r="S13" t="inlineStr">
        <is>
          <t>2026-10-08</t>
        </is>
      </c>
      <c r="T13" t="inlineStr">
        <is>
          <t>A</t>
        </is>
      </c>
      <c r="U13" t="inlineStr">
        <is>
          <t>beat Bills wk4 [sim: playoffs 63%, rd2 35%, conf final 18%]</t>
        </is>
      </c>
      <c r="X13" s="16" t="inlineStr">
        <is>
          <t>Feder</t>
        </is>
      </c>
      <c r="Y13">
        <f>N13-IF(T13="C",Assumptions!$B$27,IF(T13="B",Assumptions!$B$26,0))</f>
        <v/>
      </c>
    </row>
    <row r="14">
      <c r="A14" s="19" t="inlineStr">
        <is>
          <t>Cincinnati Bengals</t>
        </is>
      </c>
      <c r="B14" t="inlineStr">
        <is>
          <t>2-2, AFC North</t>
        </is>
      </c>
      <c r="C14" t="inlineStr">
        <is>
          <t>Kalshi 3.5%</t>
        </is>
      </c>
      <c r="D14" t="n">
        <v>0.0345</v>
      </c>
      <c r="E14" t="n">
        <v>0.07290000000000001</v>
      </c>
      <c r="F14" t="n">
        <v>0.1661</v>
      </c>
      <c r="G14" t="n">
        <v>0.3374</v>
      </c>
      <c r="H14" t="n">
        <v>0.6204</v>
      </c>
      <c r="I14" t="n">
        <v>0.5644</v>
      </c>
      <c r="J14" t="n">
        <v>0.0997</v>
      </c>
      <c r="K14" t="n">
        <v>6.57</v>
      </c>
      <c r="L14">
        <f>Assumptions!$B$2*D14+Assumptions!$C$2*(E14-D14)+Assumptions!$D$2*(F14-E14)+Assumptions!$E$2*(G14-F14)+Assumptions!$F$2*(H14-G14)</f>
        <v/>
      </c>
      <c r="M14">
        <f>K14+MIN(L14,Assumptions!$H$2)</f>
        <v/>
      </c>
      <c r="N14">
        <f>M14-Assumptions!$I$2</f>
        <v/>
      </c>
      <c r="O14">
        <f>N14-Assumptions!$B$25*Q14</f>
        <v/>
      </c>
      <c r="P14" t="n">
        <v>3</v>
      </c>
      <c r="Q14" t="n">
        <v>3.522</v>
      </c>
      <c r="R14" t="inlineStr">
        <is>
          <t>KXSB-27 exchange mid-price, pulled 2026-10-08; p(final)=KXNFLAFCCHAMP/KXNFLNFCCHAMP-27 Kalshi mid | league_sim.py: full-schedule + real playoff bracket Monte Carlo, ratings fitted to Kalshi</t>
        </is>
      </c>
      <c r="S14" t="inlineStr">
        <is>
          <t>2026-10-08</t>
        </is>
      </c>
      <c r="T14" t="inlineStr">
        <is>
          <t>A</t>
        </is>
      </c>
      <c r="U14" t="inlineStr">
        <is>
          <t>[sim: playoffs 62%, rd2 34%, conf final 17%]</t>
        </is>
      </c>
      <c r="Y14">
        <f>N14-IF(T14="C",Assumptions!$B$27,IF(T14="B",Assumptions!$B$26,0))</f>
        <v/>
      </c>
    </row>
    <row r="15">
      <c r="A15" s="19" t="inlineStr">
        <is>
          <t>Detroit Lions</t>
        </is>
      </c>
      <c r="B15" t="inlineStr">
        <is>
          <t>2-2, NFC North</t>
        </is>
      </c>
      <c r="C15" t="inlineStr">
        <is>
          <t>+3500</t>
        </is>
      </c>
      <c r="D15" t="n">
        <v>0.0377</v>
      </c>
      <c r="E15" t="n">
        <v>0.0776</v>
      </c>
      <c r="F15" t="n">
        <v>0.161</v>
      </c>
      <c r="G15" t="n">
        <v>0.3395</v>
      </c>
      <c r="H15" t="n">
        <v>0.5926</v>
      </c>
      <c r="I15" t="n">
        <v>0.5574</v>
      </c>
      <c r="J15" t="n">
        <v>0.1009</v>
      </c>
      <c r="K15" t="n">
        <v>6.347</v>
      </c>
      <c r="L15">
        <f>Assumptions!$B$2*D15+Assumptions!$C$2*(E15-D15)+Assumptions!$D$2*(F15-E15)+Assumptions!$E$2*(G15-F15)+Assumptions!$F$2*(H15-G15)</f>
        <v/>
      </c>
      <c r="M15">
        <f>K15+MIN(L15,Assumptions!$H$2)</f>
        <v/>
      </c>
      <c r="N15">
        <f>M15-Assumptions!$I$2</f>
        <v/>
      </c>
      <c r="O15">
        <f>N15-Assumptions!$B$25*Q15</f>
        <v/>
      </c>
      <c r="P15" t="n">
        <v>3</v>
      </c>
      <c r="Q15" t="n">
        <v>3.493</v>
      </c>
      <c r="R15" t="inlineStr">
        <is>
          <t>estimate; p(final)=KXNFLAFCCHAMP/KXNFLNFCCHAMP-27 Kalshi mid | league_sim.py: full-schedule + real playoff bracket Monte Carlo, ratings fitted to Kalshi</t>
        </is>
      </c>
      <c r="S15" t="inlineStr">
        <is>
          <t>2026-10-08</t>
        </is>
      </c>
      <c r="T15" t="inlineStr">
        <is>
          <t>A</t>
        </is>
      </c>
      <c r="U15" t="inlineStr">
        <is>
          <t>[sim: playoffs 59%, rd2 34%, conf final 16%]</t>
        </is>
      </c>
      <c r="X15" s="16" t="inlineStr">
        <is>
          <t>Jamzee</t>
        </is>
      </c>
      <c r="Y15">
        <f>N15-IF(T15="C",Assumptions!$B$27,IF(T15="B",Assumptions!$B$26,0))</f>
        <v/>
      </c>
    </row>
    <row r="16">
      <c r="A16" s="19" t="inlineStr">
        <is>
          <t>Seattle Seahawks</t>
        </is>
      </c>
      <c r="B16" t="inlineStr">
        <is>
          <t>3-1, NFC West</t>
        </is>
      </c>
      <c r="C16" t="inlineStr">
        <is>
          <t>Kalshi 8.5%</t>
        </is>
      </c>
      <c r="D16" t="n">
        <v>0.0553</v>
      </c>
      <c r="E16" t="n">
        <v>0.1055</v>
      </c>
      <c r="F16" t="n">
        <v>0.1918</v>
      </c>
      <c r="G16" t="n">
        <v>0.346</v>
      </c>
      <c r="H16" t="n">
        <v>0.5649</v>
      </c>
      <c r="I16" t="n">
        <v>0.5467</v>
      </c>
      <c r="J16" t="n">
        <v>0.09420000000000001</v>
      </c>
      <c r="K16" t="n">
        <v>5.96</v>
      </c>
      <c r="L16">
        <f>Assumptions!$B$2*D16+Assumptions!$C$2*(E16-D16)+Assumptions!$D$2*(F16-E16)+Assumptions!$E$2*(G16-F16)+Assumptions!$F$2*(H16-G16)</f>
        <v/>
      </c>
      <c r="M16">
        <f>K16+MIN(L16,Assumptions!$H$2)</f>
        <v/>
      </c>
      <c r="N16">
        <f>M16-Assumptions!$I$2</f>
        <v/>
      </c>
      <c r="O16">
        <f>N16-Assumptions!$B$25*Q16</f>
        <v/>
      </c>
      <c r="P16" t="n">
        <v>3</v>
      </c>
      <c r="Q16" t="n">
        <v>3.387</v>
      </c>
      <c r="R16" t="inlineStr">
        <is>
          <t>KXSB-27 exchange mid-price, pulled 2026-10-08; p(final)=KXNFLAFCCHAMP/KXNFLNFCCHAMP-27 Kalshi mid | league_sim.py: full-schedule + real playoff bracket Monte Carlo, ratings fitted to Kalshi</t>
        </is>
      </c>
      <c r="S16" t="inlineStr">
        <is>
          <t>2026-10-08</t>
        </is>
      </c>
      <c r="T16" t="inlineStr">
        <is>
          <t>A</t>
        </is>
      </c>
      <c r="U16" t="inlineStr">
        <is>
          <t>defending Super Bowl champion [sim: playoffs 56%, rd2 35%, conf final 19%]</t>
        </is>
      </c>
      <c r="X16" s="16" t="inlineStr">
        <is>
          <t>Tim</t>
        </is>
      </c>
      <c r="Y16">
        <f>N16-IF(T16="C",Assumptions!$B$27,IF(T16="B",Assumptions!$B$26,0))</f>
        <v/>
      </c>
    </row>
    <row r="17">
      <c r="A17" s="19" t="inlineStr">
        <is>
          <t>Green Bay Packers</t>
        </is>
      </c>
      <c r="B17" t="inlineStr">
        <is>
          <t>2-2, NFC North</t>
        </is>
      </c>
      <c r="C17" t="inlineStr">
        <is>
          <t>+3500</t>
        </is>
      </c>
      <c r="D17" t="n">
        <v>0.0285</v>
      </c>
      <c r="E17" t="n">
        <v>0.0624</v>
      </c>
      <c r="F17" t="n">
        <v>0.1389</v>
      </c>
      <c r="G17" t="n">
        <v>0.2916</v>
      </c>
      <c r="H17" t="n">
        <v>0.5489000000000001</v>
      </c>
      <c r="I17" t="n">
        <v>0.5448</v>
      </c>
      <c r="J17" t="n">
        <v>0.09619999999999999</v>
      </c>
      <c r="K17" t="n">
        <v>5.804</v>
      </c>
      <c r="L17">
        <f>Assumptions!$B$2*D17+Assumptions!$C$2*(E17-D17)+Assumptions!$D$2*(F17-E17)+Assumptions!$E$2*(G17-F17)+Assumptions!$F$2*(H17-G17)</f>
        <v/>
      </c>
      <c r="M17">
        <f>K17+MIN(L17,Assumptions!$H$2)</f>
        <v/>
      </c>
      <c r="N17">
        <f>M17-Assumptions!$I$2</f>
        <v/>
      </c>
      <c r="O17">
        <f>N17-Assumptions!$B$25*Q17</f>
        <v/>
      </c>
      <c r="P17" t="n">
        <v>3</v>
      </c>
      <c r="Q17" t="n">
        <v>3.419</v>
      </c>
      <c r="R17" t="inlineStr">
        <is>
          <t>estimate | league_sim.py: full-schedule + real playoff bracket Monte Carlo, ratings fitted to Kalshi</t>
        </is>
      </c>
      <c r="S17" t="inlineStr">
        <is>
          <t>2026-10-08</t>
        </is>
      </c>
      <c r="T17" t="inlineStr">
        <is>
          <t>A</t>
        </is>
      </c>
      <c r="U17" t="inlineStr">
        <is>
          <t>[sim: playoffs 55%, rd2 29%, conf final 14%]</t>
        </is>
      </c>
      <c r="X17" s="16" t="inlineStr">
        <is>
          <t>Fryar</t>
        </is>
      </c>
      <c r="Y17">
        <f>N17-IF(T17="C",Assumptions!$B$27,IF(T17="B",Assumptions!$B$26,0))</f>
        <v/>
      </c>
    </row>
    <row r="18">
      <c r="A18" t="inlineStr">
        <is>
          <t>Los Angeles Rams</t>
        </is>
      </c>
      <c r="B18" t="inlineStr">
        <is>
          <t>2-2, NFC West</t>
        </is>
      </c>
      <c r="C18" t="inlineStr">
        <is>
          <t>Kalshi 11.5%</t>
        </is>
      </c>
      <c r="D18" t="n">
        <v>0.0648</v>
      </c>
      <c r="E18" t="n">
        <v>0.1126</v>
      </c>
      <c r="F18" t="n">
        <v>0.1799</v>
      </c>
      <c r="G18" t="n">
        <v>0.2948</v>
      </c>
      <c r="H18" t="n">
        <v>0.445</v>
      </c>
      <c r="I18" t="n">
        <v>0.5159</v>
      </c>
      <c r="J18" t="n">
        <v>0.09370000000000001</v>
      </c>
      <c r="K18" t="n">
        <v>4.989</v>
      </c>
      <c r="L18">
        <f>Assumptions!$B$2*D18+Assumptions!$C$2*(E18-D18)+Assumptions!$D$2*(F18-E18)+Assumptions!$E$2*(G18-F18)+Assumptions!$F$2*(H18-G18)</f>
        <v/>
      </c>
      <c r="M18">
        <f>K18+MIN(L18,Assumptions!$H$2)</f>
        <v/>
      </c>
      <c r="N18">
        <f>M18-Assumptions!$I$2</f>
        <v/>
      </c>
      <c r="O18">
        <f>N18-Assumptions!$B$25*Q18</f>
        <v/>
      </c>
      <c r="P18" t="n">
        <v>4</v>
      </c>
      <c r="Q18" t="n">
        <v>3.114</v>
      </c>
      <c r="R18" t="inlineStr">
        <is>
          <t>KXSB-27 exchange mid-price, pulled 2026-10-08; p(final)=KXNFLAFCCHAMP/KXNFLNFCCHAMP-27 Kalshi mid | league_sim.py: full-schedule + real playoff bracket Monte Carlo, ratings fitted to Kalshi</t>
        </is>
      </c>
      <c r="S18" t="inlineStr">
        <is>
          <t>2026-10-08</t>
        </is>
      </c>
      <c r="T18" t="inlineStr">
        <is>
          <t>A</t>
        </is>
      </c>
      <c r="U18" t="inlineStr">
        <is>
          <t>[sim: playoffs 44%, rd2 29%, conf final 18%]</t>
        </is>
      </c>
      <c r="X18" s="16" t="inlineStr">
        <is>
          <t>Mitchell</t>
        </is>
      </c>
      <c r="Y18">
        <f>N18-IF(T18="C",Assumptions!$B$27,IF(T18="B",Assumptions!$B$26,0))</f>
        <v/>
      </c>
    </row>
    <row r="19">
      <c r="A19" t="inlineStr">
        <is>
          <t>Houston Texans</t>
        </is>
      </c>
      <c r="B19" t="inlineStr">
        <is>
          <t>0-4, AFC South</t>
        </is>
      </c>
      <c r="C19" t="inlineStr">
        <is>
          <t>+4500</t>
        </is>
      </c>
      <c r="D19" t="n">
        <v>0.0326</v>
      </c>
      <c r="E19" t="n">
        <v>0.0649</v>
      </c>
      <c r="F19" t="n">
        <v>0.1197</v>
      </c>
      <c r="G19" t="n">
        <v>0.2316</v>
      </c>
      <c r="H19" t="n">
        <v>0.4206</v>
      </c>
      <c r="I19" t="n">
        <v>0.5044999999999999</v>
      </c>
      <c r="J19" t="n">
        <v>0.0946</v>
      </c>
      <c r="K19" t="n">
        <v>4.673</v>
      </c>
      <c r="L19">
        <f>Assumptions!$B$2*D19+Assumptions!$C$2*(E19-D19)+Assumptions!$D$2*(F19-E19)+Assumptions!$E$2*(G19-F19)+Assumptions!$F$2*(H19-G19)</f>
        <v/>
      </c>
      <c r="M19">
        <f>K19+MIN(L19,Assumptions!$H$2)</f>
        <v/>
      </c>
      <c r="N19">
        <f>M19-Assumptions!$I$2</f>
        <v/>
      </c>
      <c r="O19">
        <f>N19-Assumptions!$B$25*Q19</f>
        <v/>
      </c>
      <c r="P19" t="n">
        <v>4</v>
      </c>
      <c r="Q19" t="n">
        <v>3.126</v>
      </c>
      <c r="R19" t="inlineStr">
        <is>
          <t>ESPN/ABC7 Super Bowl LXI board ~2026-10-05; prediction-market avg 2026-10-07 (defirate); p(final)=KXNFLAFCCHAMP/KXNFLNFCCHAMP-27 Kalshi mid | league_sim.py: full-schedule + real playoff bracket Monte Carlo, ratings fitted to Kalshi</t>
        </is>
      </c>
      <c r="S19" t="inlineStr">
        <is>
          <t>2026-10-08</t>
        </is>
      </c>
      <c r="T19" t="inlineStr">
        <is>
          <t>A</t>
        </is>
      </c>
      <c r="U19" t="inlineStr">
        <is>
          <t>preseason +1800 | price superseded by Kalshi field; p rescaled [sim: playoffs 42%, rd2 23%, conf final 12%]</t>
        </is>
      </c>
      <c r="Y19">
        <f>N19-IF(T19="C",Assumptions!$B$27,IF(T19="B",Assumptions!$B$26,0))</f>
        <v/>
      </c>
    </row>
    <row r="20">
      <c r="A20" t="inlineStr">
        <is>
          <t>Carolina Panthers</t>
        </is>
      </c>
      <c r="B20" t="inlineStr">
        <is>
          <t>2-2, NFC South</t>
        </is>
      </c>
      <c r="C20" t="inlineStr">
        <is>
          <t>+10000</t>
        </is>
      </c>
      <c r="D20" t="n">
        <v>0.0144</v>
      </c>
      <c r="E20" t="n">
        <v>0.0351</v>
      </c>
      <c r="F20" t="n">
        <v>0.0907</v>
      </c>
      <c r="G20" t="n">
        <v>0.226</v>
      </c>
      <c r="H20" t="n">
        <v>0.523</v>
      </c>
      <c r="I20" t="n">
        <v>0.4968</v>
      </c>
      <c r="J20" t="n">
        <v>0.1013</v>
      </c>
      <c r="K20" t="n">
        <v>4.488</v>
      </c>
      <c r="L20">
        <f>Assumptions!$B$2*D20+Assumptions!$C$2*(E20-D20)+Assumptions!$D$2*(F20-E20)+Assumptions!$E$2*(G20-F20)+Assumptions!$F$2*(H20-G20)</f>
        <v/>
      </c>
      <c r="M20">
        <f>K20+MIN(L20,Assumptions!$H$2)</f>
        <v/>
      </c>
      <c r="N20">
        <f>M20-Assumptions!$I$2</f>
        <v/>
      </c>
      <c r="O20">
        <f>N20-Assumptions!$B$25*Q20</f>
        <v/>
      </c>
      <c r="P20" t="n">
        <v>4</v>
      </c>
      <c r="Q20" t="n">
        <v>3.155</v>
      </c>
      <c r="R20" t="inlineStr">
        <is>
          <t>estimate | league_sim.py: full-schedule + real playoff bracket Monte Carlo, ratings fitted to Kalshi</t>
        </is>
      </c>
      <c r="S20" t="inlineStr">
        <is>
          <t>2026-10-08</t>
        </is>
      </c>
      <c r="T20" t="inlineStr">
        <is>
          <t>A</t>
        </is>
      </c>
      <c r="U20" t="inlineStr">
        <is>
          <t>[sim: playoffs 52%, rd2 23%, conf final 9%]</t>
        </is>
      </c>
      <c r="Y20">
        <f>N20-IF(T20="C",Assumptions!$B$27,IF(T20="B",Assumptions!$B$26,0))</f>
        <v/>
      </c>
    </row>
    <row r="21">
      <c r="A21" t="inlineStr">
        <is>
          <t>Pittsburgh Steelers</t>
        </is>
      </c>
      <c r="B21" t="inlineStr">
        <is>
          <t>2-2, AFC North</t>
        </is>
      </c>
      <c r="C21" t="inlineStr">
        <is>
          <t>+6500</t>
        </is>
      </c>
      <c r="D21" t="n">
        <v>0.008800000000000001</v>
      </c>
      <c r="E21" t="n">
        <v>0.0229</v>
      </c>
      <c r="F21" t="n">
        <v>0.0615</v>
      </c>
      <c r="G21" t="n">
        <v>0.165</v>
      </c>
      <c r="H21" t="n">
        <v>0.4044</v>
      </c>
      <c r="I21" t="n">
        <v>0.5116000000000001</v>
      </c>
      <c r="J21" t="n">
        <v>0.0945</v>
      </c>
      <c r="K21" t="n">
        <v>4.898</v>
      </c>
      <c r="L21">
        <f>Assumptions!$B$2*D21+Assumptions!$C$2*(E21-D21)+Assumptions!$D$2*(F21-E21)+Assumptions!$E$2*(G21-F21)+Assumptions!$F$2*(H21-G21)</f>
        <v/>
      </c>
      <c r="M21">
        <f>K21+MIN(L21,Assumptions!$H$2)</f>
        <v/>
      </c>
      <c r="N21">
        <f>M21-Assumptions!$I$2</f>
        <v/>
      </c>
      <c r="O21">
        <f>N21-Assumptions!$B$25*Q21</f>
        <v/>
      </c>
      <c r="P21" t="n">
        <v>4</v>
      </c>
      <c r="Q21" t="n">
        <v>3.222</v>
      </c>
      <c r="R21" t="inlineStr">
        <is>
          <t>estimate | league_sim.py: full-schedule + real playoff bracket Monte Carlo, ratings fitted to Kalshi</t>
        </is>
      </c>
      <c r="S21" t="inlineStr">
        <is>
          <t>2026-10-08</t>
        </is>
      </c>
      <c r="T21" t="inlineStr">
        <is>
          <t>A</t>
        </is>
      </c>
      <c r="U21" t="inlineStr">
        <is>
          <t>[sim: playoffs 40%, rd2 16%, conf final 6%]</t>
        </is>
      </c>
      <c r="Y21">
        <f>N21-IF(T21="C",Assumptions!$B$27,IF(T21="B",Assumptions!$B$26,0))</f>
        <v/>
      </c>
    </row>
    <row r="22">
      <c r="A22" t="inlineStr">
        <is>
          <t>Dallas Cowboys</t>
        </is>
      </c>
      <c r="B22" t="inlineStr">
        <is>
          <t>2-2, NFC East</t>
        </is>
      </c>
      <c r="C22" t="inlineStr">
        <is>
          <t>Kalshi 3.5%</t>
        </is>
      </c>
      <c r="D22" t="n">
        <v>0.0265</v>
      </c>
      <c r="E22" t="n">
        <v>0.0498</v>
      </c>
      <c r="F22" t="n">
        <v>0.1074</v>
      </c>
      <c r="G22" t="n">
        <v>0.2152</v>
      </c>
      <c r="H22" t="n">
        <v>0.4306</v>
      </c>
      <c r="I22" t="n">
        <v>0.4728</v>
      </c>
      <c r="J22" t="n">
        <v>0.0949</v>
      </c>
      <c r="K22" t="n">
        <v>3.849</v>
      </c>
      <c r="L22">
        <f>Assumptions!$B$2*D22+Assumptions!$C$2*(E22-D22)+Assumptions!$D$2*(F22-E22)+Assumptions!$E$2*(G22-F22)+Assumptions!$F$2*(H22-G22)</f>
        <v/>
      </c>
      <c r="M22">
        <f>K22+MIN(L22,Assumptions!$H$2)</f>
        <v/>
      </c>
      <c r="N22">
        <f>M22-Assumptions!$I$2</f>
        <v/>
      </c>
      <c r="O22">
        <f>N22-Assumptions!$B$25*Q22</f>
        <v/>
      </c>
      <c r="P22" t="n">
        <v>4</v>
      </c>
      <c r="Q22" t="n">
        <v>2.811</v>
      </c>
      <c r="R22" t="inlineStr">
        <is>
          <t>KXSB-27 exchange mid-price, pulled 2026-10-08; p(final)=KXNFLAFCCHAMP/KXNFLNFCCHAMP-27 Kalshi mid | league_sim.py: full-schedule + real playoff bracket Monte Carlo, ratings fitted to Kalshi</t>
        </is>
      </c>
      <c r="S22" t="inlineStr">
        <is>
          <t>2026-10-08</t>
        </is>
      </c>
      <c r="T22" t="inlineStr">
        <is>
          <t>A</t>
        </is>
      </c>
      <c r="U22" t="inlineStr">
        <is>
          <t>[sim: playoffs 43%, rd2 22%, conf final 11%]</t>
        </is>
      </c>
      <c r="Y22">
        <f>N22-IF(T22="C",Assumptions!$B$27,IF(T22="B",Assumptions!$B$26,0))</f>
        <v/>
      </c>
    </row>
    <row r="23">
      <c r="A23" t="inlineStr">
        <is>
          <t>Cleveland Browns</t>
        </is>
      </c>
      <c r="B23" t="inlineStr">
        <is>
          <t>3-1, AFC North</t>
        </is>
      </c>
      <c r="C23" t="inlineStr">
        <is>
          <t>+7500</t>
        </is>
      </c>
      <c r="D23" t="n">
        <v>0.0041</v>
      </c>
      <c r="E23" t="n">
        <v>0.0145</v>
      </c>
      <c r="F23" t="n">
        <v>0.0441</v>
      </c>
      <c r="G23" t="n">
        <v>0.1355</v>
      </c>
      <c r="H23" t="n">
        <v>0.352</v>
      </c>
      <c r="I23" t="n">
        <v>0.4978</v>
      </c>
      <c r="J23" t="n">
        <v>0.0945</v>
      </c>
      <c r="K23" t="n">
        <v>4.451</v>
      </c>
      <c r="L23">
        <f>Assumptions!$B$2*D23+Assumptions!$C$2*(E23-D23)+Assumptions!$D$2*(F23-E23)+Assumptions!$E$2*(G23-F23)+Assumptions!$F$2*(H23-G23)</f>
        <v/>
      </c>
      <c r="M23">
        <f>K23+MIN(L23,Assumptions!$H$2)</f>
        <v/>
      </c>
      <c r="N23">
        <f>M23-Assumptions!$I$2</f>
        <v/>
      </c>
      <c r="O23">
        <f>N23-Assumptions!$B$25*Q23</f>
        <v/>
      </c>
      <c r="P23" t="n">
        <v>4</v>
      </c>
      <c r="Q23" t="n">
        <v>3.123</v>
      </c>
      <c r="R23" t="inlineStr">
        <is>
          <t>estimate; p(final)=KXNFLAFCCHAMP/KXNFLNFCCHAMP-27 Kalshi mid | league_sim.py: full-schedule + real playoff bracket Monte Carlo, ratings fitted to Kalshi</t>
        </is>
      </c>
      <c r="S23" t="inlineStr">
        <is>
          <t>2026-10-08</t>
        </is>
      </c>
      <c r="T23" t="inlineStr">
        <is>
          <t>A</t>
        </is>
      </c>
      <c r="U23" t="inlineStr">
        <is>
          <t>[sim: playoffs 35%, rd2 14%, conf final 4%]</t>
        </is>
      </c>
      <c r="Y23">
        <f>N23-IF(T23="C",Assumptions!$B$27,IF(T23="B",Assumptions!$B$26,0))</f>
        <v/>
      </c>
    </row>
    <row r="24">
      <c r="A24" t="inlineStr">
        <is>
          <t>New York Giants</t>
        </is>
      </c>
      <c r="B24" t="inlineStr">
        <is>
          <t>3-1, NFC East</t>
        </is>
      </c>
      <c r="C24" t="inlineStr">
        <is>
          <t>+15000 (stale?)</t>
        </is>
      </c>
      <c r="D24" t="n">
        <v>0.0044</v>
      </c>
      <c r="E24" t="n">
        <v>0.0127</v>
      </c>
      <c r="F24" t="n">
        <v>0.0398</v>
      </c>
      <c r="G24" t="n">
        <v>0.1288</v>
      </c>
      <c r="H24" t="n">
        <v>0.3946</v>
      </c>
      <c r="I24" t="n">
        <v>0.4666</v>
      </c>
      <c r="J24" t="n">
        <v>0.0914</v>
      </c>
      <c r="K24" t="n">
        <v>3.549</v>
      </c>
      <c r="L24">
        <f>Assumptions!$B$2*D24+Assumptions!$C$2*(E24-D24)+Assumptions!$D$2*(F24-E24)+Assumptions!$E$2*(G24-F24)+Assumptions!$F$2*(H24-G24)</f>
        <v/>
      </c>
      <c r="M24">
        <f>K24+MIN(L24,Assumptions!$H$2)</f>
        <v/>
      </c>
      <c r="N24">
        <f>M24-Assumptions!$I$2</f>
        <v/>
      </c>
      <c r="O24">
        <f>N24-Assumptions!$B$25*Q24</f>
        <v/>
      </c>
      <c r="P24" t="n">
        <v>4</v>
      </c>
      <c r="Q24" t="n">
        <v>2.689</v>
      </c>
      <c r="R24" t="inlineStr">
        <is>
          <t>Fox Sports ~10-06 | league_sim.py: full-schedule + real playoff bracket Monte Carlo, ratings fitted to Kalshi</t>
        </is>
      </c>
      <c r="S24" t="inlineStr">
        <is>
          <t>2026-10-08</t>
        </is>
      </c>
      <c r="T24" t="inlineStr">
        <is>
          <t>A</t>
        </is>
      </c>
      <c r="U24" t="inlineStr">
        <is>
          <t>price looks stale vs 3-1 record [sim: playoffs 39%, rd2 13%, conf final 4%]</t>
        </is>
      </c>
      <c r="Y24">
        <f>N24-IF(T24="C",Assumptions!$B$27,IF(T24="B",Assumptions!$B$26,0))</f>
        <v/>
      </c>
    </row>
    <row r="25">
      <c r="A25" t="inlineStr">
        <is>
          <t>Las Vegas Raiders</t>
        </is>
      </c>
      <c r="B25" t="inlineStr">
        <is>
          <t>3-1, AFC West</t>
        </is>
      </c>
      <c r="C25" t="inlineStr">
        <is>
          <t>+6500</t>
        </is>
      </c>
      <c r="D25" t="n">
        <v>0.008</v>
      </c>
      <c r="E25" t="n">
        <v>0.0166</v>
      </c>
      <c r="F25" t="n">
        <v>0.0415</v>
      </c>
      <c r="G25" t="n">
        <v>0.1009</v>
      </c>
      <c r="H25" t="n">
        <v>0.2286</v>
      </c>
      <c r="I25" t="n">
        <v>0.4594</v>
      </c>
      <c r="J25" t="n">
        <v>0.09710000000000001</v>
      </c>
      <c r="K25" t="n">
        <v>3.488</v>
      </c>
      <c r="L25">
        <f>Assumptions!$B$2*D25+Assumptions!$C$2*(E25-D25)+Assumptions!$D$2*(F25-E25)+Assumptions!$E$2*(G25-F25)+Assumptions!$F$2*(H25-G25)</f>
        <v/>
      </c>
      <c r="M25">
        <f>K25+MIN(L25,Assumptions!$H$2)</f>
        <v/>
      </c>
      <c r="N25">
        <f>M25-Assumptions!$I$2</f>
        <v/>
      </c>
      <c r="O25">
        <f>N25-Assumptions!$B$25*Q25</f>
        <v/>
      </c>
      <c r="P25" t="n">
        <v>4</v>
      </c>
      <c r="Q25" t="n">
        <v>2.768</v>
      </c>
      <c r="R25" t="inlineStr">
        <is>
          <t>estimate | league_sim.py: full-schedule + real playoff bracket Monte Carlo, ratings fitted to Kalshi</t>
        </is>
      </c>
      <c r="S25" t="inlineStr">
        <is>
          <t>2026-10-08</t>
        </is>
      </c>
      <c r="T25" t="inlineStr">
        <is>
          <t>A</t>
        </is>
      </c>
      <c r="U25" t="inlineStr">
        <is>
          <t>[sim: playoffs 23%, rd2 10%, conf final 4%]</t>
        </is>
      </c>
      <c r="Y25">
        <f>N25-IF(T25="C",Assumptions!$B$27,IF(T25="B",Assumptions!$B$26,0))</f>
        <v/>
      </c>
    </row>
    <row r="26">
      <c r="A26" t="inlineStr">
        <is>
          <t>New Orleans Saints</t>
        </is>
      </c>
      <c r="B26" t="inlineStr">
        <is>
          <t>1-3, NFC South</t>
        </is>
      </c>
      <c r="C26" t="inlineStr">
        <is>
          <t>+25000</t>
        </is>
      </c>
      <c r="D26" t="n">
        <v>0.0069</v>
      </c>
      <c r="E26" t="n">
        <v>0.0187</v>
      </c>
      <c r="F26" t="n">
        <v>0.0467</v>
      </c>
      <c r="G26" t="n">
        <v>0.1071</v>
      </c>
      <c r="H26" t="n">
        <v>0.2532</v>
      </c>
      <c r="I26" t="n">
        <v>0.4297</v>
      </c>
      <c r="J26" t="n">
        <v>0.0961</v>
      </c>
      <c r="K26" t="n">
        <v>2.81</v>
      </c>
      <c r="L26">
        <f>Assumptions!$B$2*D26+Assumptions!$C$2*(E26-D26)+Assumptions!$D$2*(F26-E26)+Assumptions!$E$2*(G26-F26)+Assumptions!$F$2*(H26-G26)</f>
        <v/>
      </c>
      <c r="M26">
        <f>K26+MIN(L26,Assumptions!$H$2)</f>
        <v/>
      </c>
      <c r="N26">
        <f>M26-Assumptions!$I$2</f>
        <v/>
      </c>
      <c r="O26">
        <f>N26-Assumptions!$B$25*Q26</f>
        <v/>
      </c>
      <c r="P26" t="n">
        <v>4</v>
      </c>
      <c r="Q26" t="n">
        <v>2.315</v>
      </c>
      <c r="R26" t="inlineStr">
        <is>
          <t>estimate | league_sim.py: full-schedule + real playoff bracket Monte Carlo, ratings fitted to Kalshi</t>
        </is>
      </c>
      <c r="S26" t="inlineStr">
        <is>
          <t>2026-10-08</t>
        </is>
      </c>
      <c r="T26" t="inlineStr">
        <is>
          <t>A</t>
        </is>
      </c>
      <c r="U26" t="inlineStr">
        <is>
          <t>[sim: playoffs 25%, rd2 11%, conf final 5%]</t>
        </is>
      </c>
      <c r="Y26">
        <f>N26-IF(T26="C",Assumptions!$B$27,IF(T26="B",Assumptions!$B$26,0))</f>
        <v/>
      </c>
    </row>
    <row r="27">
      <c r="A27" t="inlineStr">
        <is>
          <t>Atlanta Falcons</t>
        </is>
      </c>
      <c r="B27" t="inlineStr">
        <is>
          <t>2-2, NFC South</t>
        </is>
      </c>
      <c r="C27" t="inlineStr">
        <is>
          <t>+10000</t>
        </is>
      </c>
      <c r="D27" t="n">
        <v>0.008399999999999999</v>
      </c>
      <c r="E27" t="n">
        <v>0.0184</v>
      </c>
      <c r="F27" t="n">
        <v>0.0437</v>
      </c>
      <c r="G27" t="n">
        <v>0.1025</v>
      </c>
      <c r="H27" t="n">
        <v>0.2296</v>
      </c>
      <c r="I27" t="n">
        <v>0.4221</v>
      </c>
      <c r="J27" t="n">
        <v>0.0973</v>
      </c>
      <c r="K27" t="n">
        <v>2.663</v>
      </c>
      <c r="L27">
        <f>Assumptions!$B$2*D27+Assumptions!$C$2*(E27-D27)+Assumptions!$D$2*(F27-E27)+Assumptions!$E$2*(G27-F27)+Assumptions!$F$2*(H27-G27)</f>
        <v/>
      </c>
      <c r="M27">
        <f>K27+MIN(L27,Assumptions!$H$2)</f>
        <v/>
      </c>
      <c r="N27">
        <f>M27-Assumptions!$I$2</f>
        <v/>
      </c>
      <c r="O27">
        <f>N27-Assumptions!$B$25*Q27</f>
        <v/>
      </c>
      <c r="P27" t="n">
        <v>4</v>
      </c>
      <c r="Q27" t="n">
        <v>2.243</v>
      </c>
      <c r="R27" t="inlineStr">
        <is>
          <t>estimate; p(final)=KXNFLAFCCHAMP/KXNFLNFCCHAMP-27 Kalshi mid | league_sim.py: full-schedule + real playoff bracket Monte Carlo, ratings fitted to Kalshi</t>
        </is>
      </c>
      <c r="S27" t="inlineStr">
        <is>
          <t>2026-10-08</t>
        </is>
      </c>
      <c r="T27" t="inlineStr">
        <is>
          <t>A</t>
        </is>
      </c>
      <c r="U27" t="inlineStr">
        <is>
          <t>[sim: playoffs 23%, rd2 10%, conf final 4%]</t>
        </is>
      </c>
      <c r="Y27">
        <f>N27-IF(T27="C",Assumptions!$B$27,IF(T27="B",Assumptions!$B$26,0))</f>
        <v/>
      </c>
    </row>
    <row r="28">
      <c r="A28" t="inlineStr">
        <is>
          <t>New York Jets</t>
        </is>
      </c>
      <c r="B28" t="inlineStr">
        <is>
          <t>1-3, AFC East</t>
        </is>
      </c>
      <c r="C28" t="inlineStr">
        <is>
          <t>+25000</t>
        </is>
      </c>
      <c r="D28" t="n">
        <v>0.004</v>
      </c>
      <c r="E28" t="n">
        <v>0.0101</v>
      </c>
      <c r="F28" t="n">
        <v>0.0204</v>
      </c>
      <c r="G28" t="n">
        <v>0.045</v>
      </c>
      <c r="H28" t="n">
        <v>0.1036</v>
      </c>
      <c r="I28" t="n">
        <v>0.4069</v>
      </c>
      <c r="J28" t="n">
        <v>0.0956</v>
      </c>
      <c r="K28" t="n">
        <v>2.418</v>
      </c>
      <c r="L28">
        <f>Assumptions!$B$2*D28+Assumptions!$C$2*(E28-D28)+Assumptions!$D$2*(F28-E28)+Assumptions!$E$2*(G28-F28)+Assumptions!$F$2*(H28-G28)</f>
        <v/>
      </c>
      <c r="M28">
        <f>K28+MIN(L28,Assumptions!$H$2)</f>
        <v/>
      </c>
      <c r="N28">
        <f>M28-Assumptions!$I$2</f>
        <v/>
      </c>
      <c r="O28">
        <f>N28-Assumptions!$B$25*Q28</f>
        <v/>
      </c>
      <c r="P28" t="n">
        <v>4</v>
      </c>
      <c r="Q28" t="n">
        <v>2.072</v>
      </c>
      <c r="R28" t="inlineStr">
        <is>
          <t>estimate | league_sim.py: full-schedule + real playoff bracket Monte Carlo, ratings fitted to Kalshi</t>
        </is>
      </c>
      <c r="S28" t="inlineStr">
        <is>
          <t>2026-10-08</t>
        </is>
      </c>
      <c r="T28" t="inlineStr">
        <is>
          <t>A</t>
        </is>
      </c>
      <c r="U28" t="inlineStr">
        <is>
          <t>[sim: playoffs 10%, rd2 4%, conf final 2%]</t>
        </is>
      </c>
      <c r="Y28">
        <f>N28-IF(T28="C",Assumptions!$B$27,IF(T28="B",Assumptions!$B$26,0))</f>
        <v/>
      </c>
    </row>
    <row r="29">
      <c r="A29" t="inlineStr">
        <is>
          <t>Philadelphia Eagles</t>
        </is>
      </c>
      <c r="B29" t="inlineStr">
        <is>
          <t>2-2, NFC East</t>
        </is>
      </c>
      <c r="C29" t="inlineStr">
        <is>
          <t>Kalshi 2.5%</t>
        </is>
      </c>
      <c r="D29" t="n">
        <v>0.0027</v>
      </c>
      <c r="E29" t="n">
        <v>0.0074</v>
      </c>
      <c r="F29" t="n">
        <v>0.0239</v>
      </c>
      <c r="G29" t="n">
        <v>0.0579</v>
      </c>
      <c r="H29" t="n">
        <v>0.1641</v>
      </c>
      <c r="I29" t="n">
        <v>0.3938</v>
      </c>
      <c r="J29" t="n">
        <v>0.095</v>
      </c>
      <c r="K29" t="n">
        <v>2.201</v>
      </c>
      <c r="L29">
        <f>Assumptions!$B$2*D29+Assumptions!$C$2*(E29-D29)+Assumptions!$D$2*(F29-E29)+Assumptions!$E$2*(G29-F29)+Assumptions!$F$2*(H29-G29)</f>
        <v/>
      </c>
      <c r="M29">
        <f>K29+MIN(L29,Assumptions!$H$2)</f>
        <v/>
      </c>
      <c r="N29">
        <f>M29-Assumptions!$I$2</f>
        <v/>
      </c>
      <c r="O29">
        <f>N29-Assumptions!$B$25*Q29</f>
        <v/>
      </c>
      <c r="P29" t="n">
        <v>4</v>
      </c>
      <c r="Q29" t="n">
        <v>1.866</v>
      </c>
      <c r="R29" t="inlineStr">
        <is>
          <t>KXSB-27 exchange mid-price, pulled 2026-10-08; p(final)=KXNFLAFCCHAMP/KXNFLNFCCHAMP-27 Kalshi mid | league_sim.py: full-schedule + real playoff bracket Monte Carlo, ratings fitted to Kalshi</t>
        </is>
      </c>
      <c r="S29" t="inlineStr">
        <is>
          <t>2026-10-08</t>
        </is>
      </c>
      <c r="T29" t="inlineStr">
        <is>
          <t>A</t>
        </is>
      </c>
      <c r="U29" t="inlineStr">
        <is>
          <t>[sim: playoffs 16%, rd2 6%, conf final 2%]</t>
        </is>
      </c>
      <c r="X29" s="16" t="inlineStr">
        <is>
          <t>Korch</t>
        </is>
      </c>
      <c r="Y29">
        <f>N29-IF(T29="C",Assumptions!$B$27,IF(T29="B",Assumptions!$B$26,0))</f>
        <v/>
      </c>
    </row>
    <row r="30">
      <c r="A30" t="inlineStr">
        <is>
          <t>Indianapolis Colts</t>
        </is>
      </c>
      <c r="B30" t="inlineStr">
        <is>
          <t>2-2, AFC South</t>
        </is>
      </c>
      <c r="C30" t="inlineStr">
        <is>
          <t>+6500</t>
        </is>
      </c>
      <c r="D30" t="n">
        <v>0.003</v>
      </c>
      <c r="E30" t="n">
        <v>0.0065</v>
      </c>
      <c r="F30" t="n">
        <v>0.0154</v>
      </c>
      <c r="G30" t="n">
        <v>0.0423</v>
      </c>
      <c r="H30" t="n">
        <v>0.1098</v>
      </c>
      <c r="I30" t="n">
        <v>0.4024</v>
      </c>
      <c r="J30" t="n">
        <v>0.095</v>
      </c>
      <c r="K30" t="n">
        <v>2.368</v>
      </c>
      <c r="L30">
        <f>Assumptions!$B$2*D30+Assumptions!$C$2*(E30-D30)+Assumptions!$D$2*(F30-E30)+Assumptions!$E$2*(G30-F30)+Assumptions!$F$2*(H30-G30)</f>
        <v/>
      </c>
      <c r="M30">
        <f>K30+MIN(L30,Assumptions!$H$2)</f>
        <v/>
      </c>
      <c r="N30">
        <f>M30-Assumptions!$I$2</f>
        <v/>
      </c>
      <c r="O30">
        <f>N30-Assumptions!$B$25*Q30</f>
        <v/>
      </c>
      <c r="P30" t="n">
        <v>4</v>
      </c>
      <c r="Q30" t="n">
        <v>2.101</v>
      </c>
      <c r="R30" t="inlineStr">
        <is>
          <t>estimate | league_sim.py: full-schedule + real playoff bracket Monte Carlo, ratings fitted to Kalshi</t>
        </is>
      </c>
      <c r="S30" t="inlineStr">
        <is>
          <t>2026-10-08</t>
        </is>
      </c>
      <c r="T30" t="inlineStr">
        <is>
          <t>A</t>
        </is>
      </c>
      <c r="U30" t="inlineStr">
        <is>
          <t>[sim: playoffs 11%, rd2 4%, conf final 2%]</t>
        </is>
      </c>
      <c r="X30" s="16" t="inlineStr">
        <is>
          <t>Theo</t>
        </is>
      </c>
      <c r="Y30">
        <f>N30-IF(T30="C",Assumptions!$B$27,IF(T30="B",Assumptions!$B$26,0))</f>
        <v/>
      </c>
    </row>
    <row r="31">
      <c r="A31" t="inlineStr">
        <is>
          <t>Washington Commanders</t>
        </is>
      </c>
      <c r="B31" t="inlineStr">
        <is>
          <t>1-3, NFC East</t>
        </is>
      </c>
      <c r="C31" t="inlineStr">
        <is>
          <t>+15000</t>
        </is>
      </c>
      <c r="D31" t="n">
        <v>0.0054</v>
      </c>
      <c r="E31" t="n">
        <v>0.0119</v>
      </c>
      <c r="F31" t="n">
        <v>0.0265</v>
      </c>
      <c r="G31" t="n">
        <v>0.0606</v>
      </c>
      <c r="H31" t="n">
        <v>0.134</v>
      </c>
      <c r="I31" t="n">
        <v>0.3818</v>
      </c>
      <c r="J31" t="n">
        <v>0.09660000000000001</v>
      </c>
      <c r="K31" t="n">
        <v>2.013</v>
      </c>
      <c r="L31">
        <f>Assumptions!$B$2*D31+Assumptions!$C$2*(E31-D31)+Assumptions!$D$2*(F31-E31)+Assumptions!$E$2*(G31-F31)+Assumptions!$F$2*(H31-G31)</f>
        <v/>
      </c>
      <c r="M31">
        <f>K31+MIN(L31,Assumptions!$H$2)</f>
        <v/>
      </c>
      <c r="N31">
        <f>M31-Assumptions!$I$2</f>
        <v/>
      </c>
      <c r="O31">
        <f>N31-Assumptions!$B$25*Q31</f>
        <v/>
      </c>
      <c r="P31" t="n">
        <v>4</v>
      </c>
      <c r="Q31" t="n">
        <v>1.665</v>
      </c>
      <c r="R31" t="inlineStr">
        <is>
          <t>estimate | league_sim.py: full-schedule + real playoff bracket Monte Carlo, ratings fitted to Kalshi</t>
        </is>
      </c>
      <c r="S31" t="inlineStr">
        <is>
          <t>2026-10-08</t>
        </is>
      </c>
      <c r="T31" t="inlineStr">
        <is>
          <t>A</t>
        </is>
      </c>
      <c r="U31" t="inlineStr">
        <is>
          <t>[sim: playoffs 13%, rd2 6%, conf final 3%]</t>
        </is>
      </c>
      <c r="Y31">
        <f>N31-IF(T31="C",Assumptions!$B$27,IF(T31="B",Assumptions!$B$26,0))</f>
        <v/>
      </c>
    </row>
    <row r="32">
      <c r="A32" t="inlineStr">
        <is>
          <t>Tampa Bay Buccaneers</t>
        </is>
      </c>
      <c r="B32" t="inlineStr">
        <is>
          <t>0-4, NFC South</t>
        </is>
      </c>
      <c r="C32" t="inlineStr">
        <is>
          <t>+20000</t>
        </is>
      </c>
      <c r="D32" t="n">
        <v>0.0066</v>
      </c>
      <c r="E32" t="n">
        <v>0.0136</v>
      </c>
      <c r="F32" t="n">
        <v>0.0299</v>
      </c>
      <c r="G32" t="n">
        <v>0.0614</v>
      </c>
      <c r="H32" t="n">
        <v>0.1305</v>
      </c>
      <c r="I32" t="n">
        <v>0.3816</v>
      </c>
      <c r="J32" t="n">
        <v>0.0956</v>
      </c>
      <c r="K32" t="n">
        <v>1.986</v>
      </c>
      <c r="L32">
        <f>Assumptions!$B$2*D32+Assumptions!$C$2*(E32-D32)+Assumptions!$D$2*(F32-E32)+Assumptions!$E$2*(G32-F32)+Assumptions!$F$2*(H32-G32)</f>
        <v/>
      </c>
      <c r="M32">
        <f>K32+MIN(L32,Assumptions!$H$2)</f>
        <v/>
      </c>
      <c r="N32">
        <f>M32-Assumptions!$I$2</f>
        <v/>
      </c>
      <c r="O32">
        <f>N32-Assumptions!$B$25*Q32</f>
        <v/>
      </c>
      <c r="P32" t="n">
        <v>4</v>
      </c>
      <c r="Q32" t="n">
        <v>1.66</v>
      </c>
      <c r="R32" t="inlineStr">
        <is>
          <t>estimate | league_sim.py: full-schedule + real playoff bracket Monte Carlo, ratings fitted to Kalshi</t>
        </is>
      </c>
      <c r="S32" t="inlineStr">
        <is>
          <t>2026-10-08</t>
        </is>
      </c>
      <c r="T32" t="inlineStr">
        <is>
          <t>A</t>
        </is>
      </c>
      <c r="U32" t="inlineStr">
        <is>
          <t>[sim: playoffs 13%, rd2 6%, conf final 3%]</t>
        </is>
      </c>
      <c r="X32" s="16" t="inlineStr">
        <is>
          <t>Buckley</t>
        </is>
      </c>
      <c r="Y32">
        <f>N32-IF(T32="C",Assumptions!$B$27,IF(T32="B",Assumptions!$B$26,0))</f>
        <v/>
      </c>
    </row>
    <row r="33">
      <c r="A33" t="inlineStr">
        <is>
          <t>Arizona Cardinals</t>
        </is>
      </c>
      <c r="B33" t="inlineStr">
        <is>
          <t>1-3, NFC West</t>
        </is>
      </c>
      <c r="C33" t="inlineStr">
        <is>
          <t>+15000</t>
        </is>
      </c>
      <c r="D33" t="n">
        <v>0.0024</v>
      </c>
      <c r="E33" t="n">
        <v>0.0049</v>
      </c>
      <c r="F33" t="n">
        <v>0.0123</v>
      </c>
      <c r="G33" t="n">
        <v>0.0326</v>
      </c>
      <c r="H33" t="n">
        <v>0.0696</v>
      </c>
      <c r="I33" t="n">
        <v>0.3881</v>
      </c>
      <c r="J33" t="n">
        <v>0.0954</v>
      </c>
      <c r="K33" t="n">
        <v>2.06</v>
      </c>
      <c r="L33">
        <f>Assumptions!$B$2*D33+Assumptions!$C$2*(E33-D33)+Assumptions!$D$2*(F33-E33)+Assumptions!$E$2*(G33-F33)+Assumptions!$F$2*(H33-G33)</f>
        <v/>
      </c>
      <c r="M33">
        <f>K33+MIN(L33,Assumptions!$H$2)</f>
        <v/>
      </c>
      <c r="N33">
        <f>M33-Assumptions!$I$2</f>
        <v/>
      </c>
      <c r="O33">
        <f>N33-Assumptions!$B$25*Q33</f>
        <v/>
      </c>
      <c r="P33" t="n">
        <v>4</v>
      </c>
      <c r="Q33" t="n">
        <v>1.764</v>
      </c>
      <c r="R33" t="inlineStr">
        <is>
          <t>estimate | league_sim.py: full-schedule + real playoff bracket Monte Carlo, ratings fitted to Kalshi</t>
        </is>
      </c>
      <c r="S33" t="inlineStr">
        <is>
          <t>2026-10-08</t>
        </is>
      </c>
      <c r="T33" t="inlineStr">
        <is>
          <t>A</t>
        </is>
      </c>
      <c r="U33" t="inlineStr">
        <is>
          <t>[sim: playoffs 7%, rd2 3%, conf final 1%]</t>
        </is>
      </c>
      <c r="Y33">
        <f>N33-IF(T33="C",Assumptions!$B$27,IF(T33="B",Assumptions!$B$26,0))</f>
        <v/>
      </c>
    </row>
    <row r="34">
      <c r="A34" t="inlineStr">
        <is>
          <t>Miami Dolphins</t>
        </is>
      </c>
      <c r="B34" t="inlineStr">
        <is>
          <t>0-4, AFC East</t>
        </is>
      </c>
      <c r="C34" t="inlineStr">
        <is>
          <t>+50000</t>
        </is>
      </c>
      <c r="D34" t="n">
        <v>0.0018</v>
      </c>
      <c r="E34" t="n">
        <v>0.0047</v>
      </c>
      <c r="F34" t="n">
        <v>0.0105</v>
      </c>
      <c r="G34" t="n">
        <v>0.024</v>
      </c>
      <c r="H34" t="n">
        <v>0.0506</v>
      </c>
      <c r="I34" t="n">
        <v>0.3612</v>
      </c>
      <c r="J34" t="n">
        <v>0.1001</v>
      </c>
      <c r="K34" t="n">
        <v>1.864</v>
      </c>
      <c r="L34">
        <f>Assumptions!$B$2*D34+Assumptions!$C$2*(E34-D34)+Assumptions!$D$2*(F34-E34)+Assumptions!$E$2*(G34-F34)+Assumptions!$F$2*(H34-G34)</f>
        <v/>
      </c>
      <c r="M34">
        <f>K34+MIN(L34,Assumptions!$H$2)</f>
        <v/>
      </c>
      <c r="N34">
        <f>M34-Assumptions!$I$2</f>
        <v/>
      </c>
      <c r="O34">
        <f>N34-Assumptions!$B$25*Q34</f>
        <v/>
      </c>
      <c r="P34" t="n">
        <v>4</v>
      </c>
      <c r="Q34" t="n">
        <v>1.622</v>
      </c>
      <c r="R34" t="inlineStr">
        <is>
          <t>estimate | league_sim.py: full-schedule + real playoff bracket Monte Carlo, ratings fitted to Kalshi</t>
        </is>
      </c>
      <c r="S34" t="inlineStr">
        <is>
          <t>2026-10-08</t>
        </is>
      </c>
      <c r="T34" t="inlineStr">
        <is>
          <t>A</t>
        </is>
      </c>
      <c r="U34" t="inlineStr">
        <is>
          <t>[sim: playoffs 5%, rd2 2%, conf final 1%]</t>
        </is>
      </c>
      <c r="Y34">
        <f>N34-IF(T34="C",Assumptions!$B$27,IF(T34="B",Assumptions!$B$26,0))</f>
        <v/>
      </c>
    </row>
    <row r="35">
      <c r="A35" t="inlineStr">
        <is>
          <t>Tennessee Titans</t>
        </is>
      </c>
      <c r="B35" t="inlineStr">
        <is>
          <t>0-4, AFC South</t>
        </is>
      </c>
      <c r="C35" t="inlineStr">
        <is>
          <t>+50000</t>
        </is>
      </c>
      <c r="D35" t="n">
        <v>0.0014</v>
      </c>
      <c r="E35" t="n">
        <v>0.0049</v>
      </c>
      <c r="F35" t="n">
        <v>0.0097</v>
      </c>
      <c r="G35" t="n">
        <v>0.0211</v>
      </c>
      <c r="H35" t="n">
        <v>0.0499</v>
      </c>
      <c r="I35" t="n">
        <v>0.3538</v>
      </c>
      <c r="J35" t="n">
        <v>0.09569999999999999</v>
      </c>
      <c r="K35" t="n">
        <v>1.708</v>
      </c>
      <c r="L35">
        <f>Assumptions!$B$2*D35+Assumptions!$C$2*(E35-D35)+Assumptions!$D$2*(F35-E35)+Assumptions!$E$2*(G35-F35)+Assumptions!$F$2*(H35-G35)</f>
        <v/>
      </c>
      <c r="M35">
        <f>K35+MIN(L35,Assumptions!$H$2)</f>
        <v/>
      </c>
      <c r="N35">
        <f>M35-Assumptions!$I$2</f>
        <v/>
      </c>
      <c r="O35">
        <f>N35-Assumptions!$B$25*Q35</f>
        <v/>
      </c>
      <c r="P35" t="n">
        <v>4</v>
      </c>
      <c r="Q35" t="n">
        <v>1.449</v>
      </c>
      <c r="R35" t="inlineStr">
        <is>
          <t>estimate | league_sim.py: full-schedule + real playoff bracket Monte Carlo, ratings fitted to Kalshi</t>
        </is>
      </c>
      <c r="S35" t="inlineStr">
        <is>
          <t>2026-10-08</t>
        </is>
      </c>
      <c r="T35" t="inlineStr">
        <is>
          <t>A</t>
        </is>
      </c>
      <c r="U35" t="inlineStr">
        <is>
          <t>[sim: playoffs 5%, rd2 2%, conf final 1%]</t>
        </is>
      </c>
      <c r="Y35">
        <f>N35-IF(T35="C",Assumptions!$B$27,IF(T35="B",Assumptions!$B$26,0))</f>
        <v/>
      </c>
    </row>
    <row r="36">
      <c r="A36" t="inlineStr">
        <is>
          <t>Los Angeles Chargers</t>
        </is>
      </c>
      <c r="B36" t="inlineStr">
        <is>
          <t>0-4, AFC West</t>
        </is>
      </c>
      <c r="C36" t="inlineStr">
        <is>
          <t>+10000</t>
        </is>
      </c>
      <c r="D36" t="n">
        <v>0.0013</v>
      </c>
      <c r="E36" t="n">
        <v>0.0037</v>
      </c>
      <c r="F36" t="n">
        <v>0.0056</v>
      </c>
      <c r="G36" t="n">
        <v>0.011</v>
      </c>
      <c r="H36" t="n">
        <v>0.0222</v>
      </c>
      <c r="I36" t="n">
        <v>0.3349</v>
      </c>
      <c r="J36" t="n">
        <v>0.0958</v>
      </c>
      <c r="K36" t="n">
        <v>1.516</v>
      </c>
      <c r="L36">
        <f>Assumptions!$B$2*D36+Assumptions!$C$2*(E36-D36)+Assumptions!$D$2*(F36-E36)+Assumptions!$E$2*(G36-F36)+Assumptions!$F$2*(H36-G36)</f>
        <v/>
      </c>
      <c r="M36">
        <f>K36+MIN(L36,Assumptions!$H$2)</f>
        <v/>
      </c>
      <c r="N36">
        <f>M36-Assumptions!$I$2</f>
        <v/>
      </c>
      <c r="O36">
        <f>N36-Assumptions!$B$25*Q36</f>
        <v/>
      </c>
      <c r="P36" t="n">
        <v>4</v>
      </c>
      <c r="Q36" t="n">
        <v>1.146</v>
      </c>
      <c r="R36" t="inlineStr">
        <is>
          <t>ESPN/ABC7 Super Bowl LXI board ~2026-10-05; prediction-market avg 2026-10-07 (defirate) | league_sim.py: full-schedule + real playoff bracket Monte Carlo, ratings fitted to Kalshi</t>
        </is>
      </c>
      <c r="S36" t="inlineStr">
        <is>
          <t>2026-10-08</t>
        </is>
      </c>
      <c r="T36" t="inlineStr">
        <is>
          <t>A</t>
        </is>
      </c>
      <c r="U36" t="inlineStr">
        <is>
          <t>preseason +1700 | price superseded by Kalshi field; p rescaled [sim: playoffs 2%, rd2 1%, conf final 1%]</t>
        </is>
      </c>
      <c r="Y36">
        <f>N36-IF(T36="C",Assumptions!$B$27,IF(T36="B",Assumptions!$B$26,0))</f>
        <v/>
      </c>
    </row>
    <row r="38">
      <c r="A38" s="8" t="inlineStr">
        <is>
          <t>Replacement-level EV (Nth best)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3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36" customWidth="1" min="2" max="2"/>
    <col width="22" customWidth="1" min="3" max="3"/>
    <col width="11" customWidth="1" min="4" max="4"/>
    <col width="11" customWidth="1" min="5" max="5"/>
    <col width="11" customWidth="1" min="6" max="6"/>
    <col width="11" customWidth="1" min="7" max="7"/>
    <col width="11" customWidth="1" min="8" max="8"/>
    <col width="9" customWidth="1" min="9" max="9"/>
    <col width="9" customWidth="1" min="10" max="10"/>
    <col width="11" customWidth="1" min="11" max="11"/>
    <col width="10" customWidth="1" min="12" max="12"/>
    <col width="10" customWidth="1" min="13" max="13"/>
    <col width="9" customWidth="1" min="14" max="14"/>
    <col width="11" customWidth="1" min="15" max="15"/>
    <col width="6" customWidth="1" min="16" max="16"/>
    <col width="9" customWidth="1" min="17" max="17"/>
    <col width="38" customWidth="1" min="18" max="18"/>
    <col width="11" customWidth="1" min="19" max="19"/>
    <col width="6" customWidth="1" min="20" max="20"/>
    <col width="60" customWidth="1" min="21" max="21"/>
    <col width="12" customWidth="1" min="22" max="22"/>
    <col width="9" customWidth="1" min="23" max="23"/>
    <col width="11" customWidth="1" min="24" max="24"/>
    <col width="11" customWidth="1" min="25" max="25"/>
  </cols>
  <sheetData>
    <row r="1">
      <c r="A1" s="18" t="inlineStr">
        <is>
          <t>NBA — 2027 draft research (EV model; see README)</t>
        </is>
      </c>
    </row>
    <row r="2">
      <c r="A2" t="inlineStr">
        <is>
          <t>As of 2026-10-22. Sorted by E[total]. Yellow = inferred / low-confidence (C).</t>
        </is>
      </c>
    </row>
    <row r="4">
      <c r="A4" s="7" t="inlineStr">
        <is>
          <t>Candidate</t>
        </is>
      </c>
      <c r="B4" s="7" t="inlineStr">
        <is>
          <t>Detail</t>
        </is>
      </c>
      <c r="C4" s="7" t="inlineStr">
        <is>
          <t>Odds / price</t>
        </is>
      </c>
      <c r="D4" s="7" t="inlineStr">
        <is>
          <t>p(champ)</t>
        </is>
      </c>
      <c r="E4" s="7" t="inlineStr">
        <is>
          <t>p(final)</t>
        </is>
      </c>
      <c r="F4" s="7" t="inlineStr">
        <is>
          <t>p(semi)</t>
        </is>
      </c>
      <c r="G4" s="7" t="inlineStr">
        <is>
          <t>p(quarter)</t>
        </is>
      </c>
      <c r="H4" s="7" t="inlineStr">
        <is>
          <t>p(rd 1)</t>
        </is>
      </c>
      <c r="I4" s="7" t="inlineStr">
        <is>
          <t>mu</t>
        </is>
      </c>
      <c r="J4" s="7" t="inlineStr">
        <is>
          <t>sd</t>
        </is>
      </c>
      <c r="K4" s="7" t="inlineStr">
        <is>
          <t>E[rank pts] (MC)</t>
        </is>
      </c>
      <c r="L4" s="7" t="inlineStr">
        <is>
          <t>E[bonus]</t>
        </is>
      </c>
      <c r="M4" s="7" t="inlineStr">
        <is>
          <t>E[total]</t>
        </is>
      </c>
      <c r="N4" s="7" t="inlineStr">
        <is>
          <t>VOR</t>
        </is>
      </c>
      <c r="O4" s="7" t="inlineStr">
        <is>
          <t>Risk-adj VOR</t>
        </is>
      </c>
      <c r="P4" s="7" t="inlineStr">
        <is>
          <t>Tier</t>
        </is>
      </c>
      <c r="Q4" s="7" t="inlineStr">
        <is>
          <t>SD rank pts</t>
        </is>
      </c>
      <c r="R4" s="7" t="inlineStr">
        <is>
          <t>Source</t>
        </is>
      </c>
      <c r="S4" s="7" t="inlineStr">
        <is>
          <t>As of</t>
        </is>
      </c>
      <c r="T4" s="7" t="inlineStr">
        <is>
          <t>Conf</t>
        </is>
      </c>
      <c r="U4" s="7" t="inlineStr">
        <is>
          <t>Notes</t>
        </is>
      </c>
      <c r="V4" s="7" t="inlineStr">
        <is>
          <t>Field draft score</t>
        </is>
      </c>
      <c r="W4" s="7" t="inlineStr">
        <is>
          <t>Field rank</t>
        </is>
      </c>
      <c r="X4" s="7" t="inlineStr">
        <is>
          <t>Owner</t>
        </is>
      </c>
      <c r="Y4" s="7" t="inlineStr">
        <is>
          <t>Conf-adj VOR</t>
        </is>
      </c>
    </row>
    <row r="5">
      <c r="A5" s="9" t="inlineStr">
        <is>
          <t>Oklahoma City Thunder</t>
        </is>
      </c>
      <c r="B5" t="inlineStr">
        <is>
          <t>West; win total 62.5</t>
        </is>
      </c>
      <c r="C5" t="inlineStr">
        <is>
          <t>Kalshi 21.5%</t>
        </is>
      </c>
      <c r="D5" t="n">
        <v>0.2045</v>
      </c>
      <c r="E5" t="n">
        <v>0.3123</v>
      </c>
      <c r="F5" t="n">
        <v>0.4815</v>
      </c>
      <c r="G5" t="n">
        <v>0.7087</v>
      </c>
      <c r="H5" t="n">
        <v>0.97</v>
      </c>
      <c r="I5" t="n">
        <v>0.6137</v>
      </c>
      <c r="J5" t="n">
        <v>0.0536</v>
      </c>
      <c r="K5" t="n">
        <v>11.16</v>
      </c>
      <c r="L5">
        <f>Assumptions!$B$3*D5+Assumptions!$C$3*(E5-D5)+Assumptions!$D$3*(F5-E5)+Assumptions!$E$3*(G5-F5)+Assumptions!$F$3*(H5-G5)</f>
        <v/>
      </c>
      <c r="M5">
        <f>K5+MIN(L5,Assumptions!$H$3)</f>
        <v/>
      </c>
      <c r="N5">
        <f>M5-Assumptions!$I$3</f>
        <v/>
      </c>
      <c r="O5">
        <f>N5-Assumptions!$B$25*Q5</f>
        <v/>
      </c>
      <c r="P5" t="n">
        <v>1</v>
      </c>
      <c r="Q5" t="n">
        <v>2.395</v>
      </c>
      <c r="R5" t="inlineStr">
        <is>
          <t>KXNBA-27 exchange mid-price, pulled 2026-10-08; p(final)=KXNBAEAST/KXNBAWEST-27 Kalshi mid | league_sim.py: full-schedule + real playoff bracket Monte Carlo, ratings fitted to Kalshi</t>
        </is>
      </c>
      <c r="S5" t="inlineStr">
        <is>
          <t>2026-10-08</t>
        </is>
      </c>
      <c r="T5" t="inlineStr">
        <is>
          <t>A</t>
        </is>
      </c>
      <c r="U5" t="inlineStr">
        <is>
          <t>[sim: playoffs 99%, rd2 71%, conf final 48%]</t>
        </is>
      </c>
      <c r="X5" s="16" t="inlineStr">
        <is>
          <t>Feder</t>
        </is>
      </c>
      <c r="Y5">
        <f>N5-IF(T5="C",Assumptions!$B$27,IF(T5="B",Assumptions!$B$26,0))</f>
        <v/>
      </c>
    </row>
    <row r="6">
      <c r="A6" s="9" t="inlineStr">
        <is>
          <t>San Antonio Spurs</t>
        </is>
      </c>
      <c r="B6" t="inlineStr">
        <is>
          <t>West; win total 59.5</t>
        </is>
      </c>
      <c r="C6" t="inlineStr">
        <is>
          <t>Kalshi 21.5%</t>
        </is>
      </c>
      <c r="D6" t="n">
        <v>0.1628</v>
      </c>
      <c r="E6" t="n">
        <v>0.253</v>
      </c>
      <c r="F6" t="n">
        <v>0.4209</v>
      </c>
      <c r="G6" t="n">
        <v>0.6616</v>
      </c>
      <c r="H6" t="n">
        <v>0.9597</v>
      </c>
      <c r="I6" t="n">
        <v>0.5883</v>
      </c>
      <c r="J6" t="n">
        <v>0.0546</v>
      </c>
      <c r="K6" t="n">
        <v>10.083</v>
      </c>
      <c r="L6">
        <f>Assumptions!$B$3*D6+Assumptions!$C$3*(E6-D6)+Assumptions!$D$3*(F6-E6)+Assumptions!$E$3*(G6-F6)+Assumptions!$F$3*(H6-G6)</f>
        <v/>
      </c>
      <c r="M6">
        <f>K6+MIN(L6,Assumptions!$H$3)</f>
        <v/>
      </c>
      <c r="N6">
        <f>M6-Assumptions!$I$3</f>
        <v/>
      </c>
      <c r="O6">
        <f>N6-Assumptions!$B$25*Q6</f>
        <v/>
      </c>
      <c r="P6" t="n">
        <v>1</v>
      </c>
      <c r="Q6" t="n">
        <v>2.878</v>
      </c>
      <c r="R6" t="inlineStr">
        <is>
          <t>KXNBA-27 exchange mid-price, pulled 2026-10-08; p(final)=KXNBAEAST/KXNBAWEST-27 Kalshi mid | league_sim.py: full-schedule + real playoff bracket Monte Carlo, ratings fitted to Kalshi</t>
        </is>
      </c>
      <c r="S6" t="inlineStr">
        <is>
          <t>2026-10-08</t>
        </is>
      </c>
      <c r="T6" t="inlineStr">
        <is>
          <t>A</t>
        </is>
      </c>
      <c r="U6" t="inlineStr">
        <is>
          <t>[sim: playoffs 96%, rd2 66%, conf final 42%]</t>
        </is>
      </c>
      <c r="X6" s="16" t="inlineStr">
        <is>
          <t>Wu</t>
        </is>
      </c>
      <c r="Y6">
        <f>N6-IF(T6="C",Assumptions!$B$27,IF(T6="B",Assumptions!$B$26,0))</f>
        <v/>
      </c>
    </row>
    <row r="7">
      <c r="A7" s="9" t="inlineStr">
        <is>
          <t>Philadelphia 76ers</t>
        </is>
      </c>
      <c r="B7" t="inlineStr">
        <is>
          <t>East; win total 50.5</t>
        </is>
      </c>
      <c r="C7" t="inlineStr">
        <is>
          <t>Kalshi 12.5%</t>
        </is>
      </c>
      <c r="D7" t="n">
        <v>0.0829</v>
      </c>
      <c r="E7" t="n">
        <v>0.1645</v>
      </c>
      <c r="F7" t="n">
        <v>0.2954</v>
      </c>
      <c r="G7" t="n">
        <v>0.5164</v>
      </c>
      <c r="H7" t="n">
        <v>0.873</v>
      </c>
      <c r="I7" t="n">
        <v>0.5590000000000001</v>
      </c>
      <c r="J7" t="n">
        <v>0.0552</v>
      </c>
      <c r="K7" t="n">
        <v>8.403</v>
      </c>
      <c r="L7">
        <f>Assumptions!$B$3*D7+Assumptions!$C$3*(E7-D7)+Assumptions!$D$3*(F7-E7)+Assumptions!$E$3*(G7-F7)+Assumptions!$F$3*(H7-G7)</f>
        <v/>
      </c>
      <c r="M7">
        <f>K7+MIN(L7,Assumptions!$H$3)</f>
        <v/>
      </c>
      <c r="N7">
        <f>M7-Assumptions!$I$3</f>
        <v/>
      </c>
      <c r="O7">
        <f>N7-Assumptions!$B$25*Q7</f>
        <v/>
      </c>
      <c r="P7" t="n">
        <v>1</v>
      </c>
      <c r="Q7" t="n">
        <v>3.35</v>
      </c>
      <c r="R7" t="inlineStr">
        <is>
          <t>KXNBA-27 exchange mid-price, pulled 2026-10-08; p(final)=KXNBAEAST/KXNBAWEST-27 Kalshi mid | league_sim.py: full-schedule + real playoff bracket Monte Carlo, ratings fitted to Kalshi</t>
        </is>
      </c>
      <c r="S7" t="inlineStr">
        <is>
          <t>2026-10-08</t>
        </is>
      </c>
      <c r="T7" t="inlineStr">
        <is>
          <t>A</t>
        </is>
      </c>
      <c r="U7" t="inlineStr">
        <is>
          <t>ESPN reports LeBron signing (unverified) [sim: playoffs 87%, rd2 52%, conf final 30%]</t>
        </is>
      </c>
      <c r="Y7">
        <f>N7-IF(T7="C",Assumptions!$B$27,IF(T7="B",Assumptions!$B$26,0))</f>
        <v/>
      </c>
    </row>
    <row r="8">
      <c r="A8" s="17" t="inlineStr">
        <is>
          <t>New York Knicks</t>
        </is>
      </c>
      <c r="B8" t="inlineStr">
        <is>
          <t>East; win total 52.5</t>
        </is>
      </c>
      <c r="C8" t="inlineStr">
        <is>
          <t>Kalshi 8.5%</t>
        </is>
      </c>
      <c r="D8" t="n">
        <v>0.0877</v>
      </c>
      <c r="E8" t="n">
        <v>0.1787</v>
      </c>
      <c r="F8" t="n">
        <v>0.3103</v>
      </c>
      <c r="G8" t="n">
        <v>0.5215</v>
      </c>
      <c r="H8" t="n">
        <v>0.8491</v>
      </c>
      <c r="I8" t="n">
        <v>0.5517</v>
      </c>
      <c r="J8" t="n">
        <v>0.0548</v>
      </c>
      <c r="K8" t="n">
        <v>7.957</v>
      </c>
      <c r="L8">
        <f>Assumptions!$B$3*D8+Assumptions!$C$3*(E8-D8)+Assumptions!$D$3*(F8-E8)+Assumptions!$E$3*(G8-F8)+Assumptions!$F$3*(H8-G8)</f>
        <v/>
      </c>
      <c r="M8">
        <f>K8+MIN(L8,Assumptions!$H$3)</f>
        <v/>
      </c>
      <c r="N8">
        <f>M8-Assumptions!$I$3</f>
        <v/>
      </c>
      <c r="O8">
        <f>N8-Assumptions!$B$25*Q8</f>
        <v/>
      </c>
      <c r="P8" t="n">
        <v>2</v>
      </c>
      <c r="Q8" t="n">
        <v>3.434</v>
      </c>
      <c r="R8" t="inlineStr">
        <is>
          <t>KXNBA-27 exchange mid-price, pulled 2026-10-08; p(final)=KXNBAEAST/KXNBAWEST-27 Kalshi mid | league_sim.py: full-schedule + real playoff bracket Monte Carlo, ratings fitted to Kalshi</t>
        </is>
      </c>
      <c r="S8" t="inlineStr">
        <is>
          <t>2026-10-08</t>
        </is>
      </c>
      <c r="T8" t="inlineStr">
        <is>
          <t>A</t>
        </is>
      </c>
      <c r="U8" t="inlineStr">
        <is>
          <t>2026 champion in this league's data [sim: playoffs 85%, rd2 52%, conf final 31%]</t>
        </is>
      </c>
      <c r="X8" s="16" t="inlineStr">
        <is>
          <t>Buckley</t>
        </is>
      </c>
      <c r="Y8">
        <f>N8-IF(T8="C",Assumptions!$B$27,IF(T8="B",Assumptions!$B$26,0))</f>
        <v/>
      </c>
    </row>
    <row r="9">
      <c r="A9" s="17" t="inlineStr">
        <is>
          <t>Minnesota Timberwolves</t>
        </is>
      </c>
      <c r="B9" t="inlineStr">
        <is>
          <t>West; win total 48.5</t>
        </is>
      </c>
      <c r="C9" t="inlineStr">
        <is>
          <t>Kalshi 6.5%</t>
        </is>
      </c>
      <c r="D9" t="n">
        <v>0.0545</v>
      </c>
      <c r="E9" t="n">
        <v>0.1032</v>
      </c>
      <c r="F9" t="n">
        <v>0.2218</v>
      </c>
      <c r="G9" t="n">
        <v>0.4537</v>
      </c>
      <c r="H9" t="n">
        <v>0.8287</v>
      </c>
      <c r="I9" t="n">
        <v>0.5422</v>
      </c>
      <c r="J9" t="n">
        <v>0.0548</v>
      </c>
      <c r="K9" t="n">
        <v>7.436</v>
      </c>
      <c r="L9">
        <f>Assumptions!$B$3*D9+Assumptions!$C$3*(E9-D9)+Assumptions!$D$3*(F9-E9)+Assumptions!$E$3*(G9-F9)+Assumptions!$F$3*(H9-G9)</f>
        <v/>
      </c>
      <c r="M9">
        <f>K9+MIN(L9,Assumptions!$H$3)</f>
        <v/>
      </c>
      <c r="N9">
        <f>M9-Assumptions!$I$3</f>
        <v/>
      </c>
      <c r="O9">
        <f>N9-Assumptions!$B$25*Q9</f>
        <v/>
      </c>
      <c r="P9" t="n">
        <v>2</v>
      </c>
      <c r="Q9" t="n">
        <v>3.425</v>
      </c>
      <c r="R9" t="inlineStr">
        <is>
          <t>KXNBA-27 exchange mid-price, pulled 2026-10-08; p(final)=KXNBAEAST/KXNBAWEST-27 Kalshi mid | league_sim.py: full-schedule + real playoff bracket Monte Carlo, ratings fitted to Kalshi</t>
        </is>
      </c>
      <c r="S9" t="inlineStr">
        <is>
          <t>2026-10-08</t>
        </is>
      </c>
      <c r="T9" t="inlineStr">
        <is>
          <t>A</t>
        </is>
      </c>
      <c r="U9" t="inlineStr">
        <is>
          <t>[sim: playoffs 83%, rd2 45%, conf final 22%]</t>
        </is>
      </c>
      <c r="X9" s="16" t="inlineStr">
        <is>
          <t>Todd</t>
        </is>
      </c>
      <c r="Y9">
        <f>N9-IF(T9="C",Assumptions!$B$27,IF(T9="B",Assumptions!$B$26,0))</f>
        <v/>
      </c>
    </row>
    <row r="10">
      <c r="A10" s="17" t="inlineStr">
        <is>
          <t>Boston Celtics</t>
        </is>
      </c>
      <c r="B10" t="inlineStr">
        <is>
          <t>East; win total 51.5</t>
        </is>
      </c>
      <c r="C10" t="inlineStr">
        <is>
          <t>Kalshi 4.5%</t>
        </is>
      </c>
      <c r="D10" t="n">
        <v>0.0634</v>
      </c>
      <c r="E10" t="n">
        <v>0.1378</v>
      </c>
      <c r="F10" t="n">
        <v>0.2507</v>
      </c>
      <c r="G10" t="n">
        <v>0.4434</v>
      </c>
      <c r="H10" t="n">
        <v>0.779</v>
      </c>
      <c r="I10" t="n">
        <v>0.5368000000000001</v>
      </c>
      <c r="J10" t="n">
        <v>0.054</v>
      </c>
      <c r="K10" t="n">
        <v>7.11</v>
      </c>
      <c r="L10">
        <f>Assumptions!$B$3*D10+Assumptions!$C$3*(E10-D10)+Assumptions!$D$3*(F10-E10)+Assumptions!$E$3*(G10-F10)+Assumptions!$F$3*(H10-G10)</f>
        <v/>
      </c>
      <c r="M10">
        <f>K10+MIN(L10,Assumptions!$H$3)</f>
        <v/>
      </c>
      <c r="N10">
        <f>M10-Assumptions!$I$3</f>
        <v/>
      </c>
      <c r="O10">
        <f>N10-Assumptions!$B$25*Q10</f>
        <v/>
      </c>
      <c r="P10" t="n">
        <v>2</v>
      </c>
      <c r="Q10" t="n">
        <v>3.477</v>
      </c>
      <c r="R10" t="inlineStr">
        <is>
          <t>KXNBA-27 exchange mid-price, pulled 2026-10-08; p(final)=KXNBAEAST/KXNBAWEST-27 Kalshi mid | league_sim.py: full-schedule + real playoff bracket Monte Carlo, ratings fitted to Kalshi</t>
        </is>
      </c>
      <c r="S10" t="inlineStr">
        <is>
          <t>2026-10-08</t>
        </is>
      </c>
      <c r="T10" t="inlineStr">
        <is>
          <t>A</t>
        </is>
      </c>
      <c r="U10" t="inlineStr">
        <is>
          <t>[sim: playoffs 78%, rd2 44%, conf final 25%]</t>
        </is>
      </c>
      <c r="X10" s="16" t="inlineStr">
        <is>
          <t>Shep</t>
        </is>
      </c>
      <c r="Y10">
        <f>N10-IF(T10="C",Assumptions!$B$27,IF(T10="B",Assumptions!$B$26,0))</f>
        <v/>
      </c>
    </row>
    <row r="11">
      <c r="A11" s="17" t="inlineStr">
        <is>
          <t>Toronto Raptors</t>
        </is>
      </c>
      <c r="B11" t="inlineStr">
        <is>
          <t>East; win total 45.5</t>
        </is>
      </c>
      <c r="C11" t="inlineStr">
        <is>
          <t>Kalshi 2.5%</t>
        </is>
      </c>
      <c r="D11" t="n">
        <v>0.0374</v>
      </c>
      <c r="E11" t="n">
        <v>0.0906</v>
      </c>
      <c r="F11" t="n">
        <v>0.1806</v>
      </c>
      <c r="G11" t="n">
        <v>0.3644</v>
      </c>
      <c r="H11" t="n">
        <v>0.7145</v>
      </c>
      <c r="I11" t="n">
        <v>0.5264</v>
      </c>
      <c r="J11" t="n">
        <v>0.0547</v>
      </c>
      <c r="K11" t="n">
        <v>6.437</v>
      </c>
      <c r="L11">
        <f>Assumptions!$B$3*D11+Assumptions!$C$3*(E11-D11)+Assumptions!$D$3*(F11-E11)+Assumptions!$E$3*(G11-F11)+Assumptions!$F$3*(H11-G11)</f>
        <v/>
      </c>
      <c r="M11">
        <f>K11+MIN(L11,Assumptions!$H$3)</f>
        <v/>
      </c>
      <c r="N11">
        <f>M11-Assumptions!$I$3</f>
        <v/>
      </c>
      <c r="O11">
        <f>N11-Assumptions!$B$25*Q11</f>
        <v/>
      </c>
      <c r="P11" t="n">
        <v>2</v>
      </c>
      <c r="Q11" t="n">
        <v>3.499</v>
      </c>
      <c r="R11" t="inlineStr">
        <is>
          <t>KXNBA-27 exchange mid-price, pulled 2026-10-08; p(final)=KXNBAEAST/KXNBAWEST-27 Kalshi mid | league_sim.py: full-schedule + real playoff bracket Monte Carlo, ratings fitted to Kalshi</t>
        </is>
      </c>
      <c r="S11" t="inlineStr">
        <is>
          <t>2026-10-08</t>
        </is>
      </c>
      <c r="T11" t="inlineStr">
        <is>
          <t>A</t>
        </is>
      </c>
      <c r="U11" t="inlineStr">
        <is>
          <t>[sim: playoffs 71%, rd2 36%, conf final 18%]</t>
        </is>
      </c>
      <c r="Y11">
        <f>N11-IF(T11="C",Assumptions!$B$27,IF(T11="B",Assumptions!$B$26,0))</f>
        <v/>
      </c>
    </row>
    <row r="12">
      <c r="A12" s="19" t="inlineStr">
        <is>
          <t>Miami Heat</t>
        </is>
      </c>
      <c r="B12" t="inlineStr">
        <is>
          <t>East; win total 46.5</t>
        </is>
      </c>
      <c r="C12" t="inlineStr">
        <is>
          <t>Kalshi 6.5%</t>
        </is>
      </c>
      <c r="D12" t="n">
        <v>0.044</v>
      </c>
      <c r="E12" t="n">
        <v>0.09859999999999999</v>
      </c>
      <c r="F12" t="n">
        <v>0.1886</v>
      </c>
      <c r="G12" t="n">
        <v>0.3708</v>
      </c>
      <c r="H12" t="n">
        <v>0.6994</v>
      </c>
      <c r="I12" t="n">
        <v>0.523</v>
      </c>
      <c r="J12" t="n">
        <v>0.0542</v>
      </c>
      <c r="K12" t="n">
        <v>6.252</v>
      </c>
      <c r="L12">
        <f>Assumptions!$B$3*D12+Assumptions!$C$3*(E12-D12)+Assumptions!$D$3*(F12-E12)+Assumptions!$E$3*(G12-F12)+Assumptions!$F$3*(H12-G12)</f>
        <v/>
      </c>
      <c r="M12">
        <f>K12+MIN(L12,Assumptions!$H$3)</f>
        <v/>
      </c>
      <c r="N12">
        <f>M12-Assumptions!$I$3</f>
        <v/>
      </c>
      <c r="O12">
        <f>N12-Assumptions!$B$25*Q12</f>
        <v/>
      </c>
      <c r="P12" t="n">
        <v>3</v>
      </c>
      <c r="Q12" t="n">
        <v>3.415</v>
      </c>
      <c r="R12" t="inlineStr">
        <is>
          <t>KXNBA-27 exchange mid-price, pulled 2026-10-08; p(final)=KXNBAEAST/KXNBAWEST-27 Kalshi mid | league_sim.py: full-schedule + real playoff bracket Monte Carlo, ratings fitted to Kalshi</t>
        </is>
      </c>
      <c r="S12" t="inlineStr">
        <is>
          <t>2026-10-08</t>
        </is>
      </c>
      <c r="T12" t="inlineStr">
        <is>
          <t>A</t>
        </is>
      </c>
      <c r="U12" t="inlineStr">
        <is>
          <t>[sim: playoffs 70%, rd2 37%, conf final 19%]</t>
        </is>
      </c>
      <c r="Y12">
        <f>N12-IF(T12="C",Assumptions!$B$27,IF(T12="B",Assumptions!$B$26,0))</f>
        <v/>
      </c>
    </row>
    <row r="13">
      <c r="A13" s="19" t="inlineStr">
        <is>
          <t>Los Angeles Lakers</t>
        </is>
      </c>
      <c r="B13" t="inlineStr">
        <is>
          <t>West; win total 46.5</t>
        </is>
      </c>
      <c r="C13" t="inlineStr">
        <is>
          <t>Kalshi 3.5%</t>
        </is>
      </c>
      <c r="D13" t="n">
        <v>0.0294</v>
      </c>
      <c r="E13" t="n">
        <v>0.0674</v>
      </c>
      <c r="F13" t="n">
        <v>0.1611</v>
      </c>
      <c r="G13" t="n">
        <v>0.3564</v>
      </c>
      <c r="H13" t="n">
        <v>0.7246</v>
      </c>
      <c r="I13" t="n">
        <v>0.5224</v>
      </c>
      <c r="J13" t="n">
        <v>0.055</v>
      </c>
      <c r="K13" t="n">
        <v>6.17</v>
      </c>
      <c r="L13">
        <f>Assumptions!$B$3*D13+Assumptions!$C$3*(E13-D13)+Assumptions!$D$3*(F13-E13)+Assumptions!$E$3*(G13-F13)+Assumptions!$F$3*(H13-G13)</f>
        <v/>
      </c>
      <c r="M13">
        <f>K13+MIN(L13,Assumptions!$H$3)</f>
        <v/>
      </c>
      <c r="N13">
        <f>M13-Assumptions!$I$3</f>
        <v/>
      </c>
      <c r="O13">
        <f>N13-Assumptions!$B$25*Q13</f>
        <v/>
      </c>
      <c r="P13" t="n">
        <v>3</v>
      </c>
      <c r="Q13" t="n">
        <v>3.464</v>
      </c>
      <c r="R13" t="inlineStr">
        <is>
          <t>KXNBA-27 exchange mid-price, pulled 2026-10-08; p(final)=KXNBAEAST/KXNBAWEST-27 Kalshi mid | league_sim.py: full-schedule + real playoff bracket Monte Carlo, ratings fitted to Kalshi</t>
        </is>
      </c>
      <c r="S13" t="inlineStr">
        <is>
          <t>2026-10-08</t>
        </is>
      </c>
      <c r="T13" t="inlineStr">
        <is>
          <t>A</t>
        </is>
      </c>
      <c r="U13" t="inlineStr">
        <is>
          <t>[sim: playoffs 72%, rd2 36%, conf final 16%]</t>
        </is>
      </c>
      <c r="X13" s="16" t="inlineStr">
        <is>
          <t>Theo</t>
        </is>
      </c>
      <c r="Y13">
        <f>N13-IF(T13="C",Assumptions!$B$27,IF(T13="B",Assumptions!$B$26,0))</f>
        <v/>
      </c>
    </row>
    <row r="14">
      <c r="A14" s="19" t="inlineStr">
        <is>
          <t>Detroit Pistons</t>
        </is>
      </c>
      <c r="B14" t="inlineStr">
        <is>
          <t>East; win total 49.5</t>
        </is>
      </c>
      <c r="C14" t="inlineStr">
        <is>
          <t>+2200</t>
        </is>
      </c>
      <c r="D14" t="n">
        <v>0.0318</v>
      </c>
      <c r="E14" t="n">
        <v>0.079</v>
      </c>
      <c r="F14" t="n">
        <v>0.1671</v>
      </c>
      <c r="G14" t="n">
        <v>0.3369</v>
      </c>
      <c r="H14" t="n">
        <v>0.6786</v>
      </c>
      <c r="I14" t="n">
        <v>0.5209</v>
      </c>
      <c r="J14" t="n">
        <v>0.0542</v>
      </c>
      <c r="K14" t="n">
        <v>6.046</v>
      </c>
      <c r="L14">
        <f>Assumptions!$B$3*D14+Assumptions!$C$3*(E14-D14)+Assumptions!$D$3*(F14-E14)+Assumptions!$E$3*(G14-F14)+Assumptions!$F$3*(H14-G14)</f>
        <v/>
      </c>
      <c r="M14">
        <f>K14+MIN(L14,Assumptions!$H$3)</f>
        <v/>
      </c>
      <c r="N14">
        <f>M14-Assumptions!$I$3</f>
        <v/>
      </c>
      <c r="O14">
        <f>N14-Assumptions!$B$25*Q14</f>
        <v/>
      </c>
      <c r="P14" t="n">
        <v>3</v>
      </c>
      <c r="Q14" t="n">
        <v>3.455</v>
      </c>
      <c r="R14" t="inlineStr">
        <is>
          <t>FanDuel ~2026-10-07; Polymarket via Covers; BetMGM win totals; p(final)=KXNBAEAST/KXNBAWEST-27 Kalshi mid | league_sim.py: full-schedule + real playoff bracket Monte Carlo, ratings fitted to Kalshi</t>
        </is>
      </c>
      <c r="S14" t="inlineStr">
        <is>
          <t>2026-10-08</t>
        </is>
      </c>
      <c r="T14" t="inlineStr">
        <is>
          <t>A</t>
        </is>
      </c>
      <c r="U14" t="inlineStr">
        <is>
          <t>| price superseded by Kalshi field; p rescaled [sim: playoffs 68%, rd2 34%, conf final 17%]</t>
        </is>
      </c>
      <c r="Y14">
        <f>N14-IF(T14="C",Assumptions!$B$27,IF(T14="B",Assumptions!$B$26,0))</f>
        <v/>
      </c>
    </row>
    <row r="15">
      <c r="A15" s="19" t="inlineStr">
        <is>
          <t>Denver Nuggets</t>
        </is>
      </c>
      <c r="B15" t="inlineStr">
        <is>
          <t>West; win total 49.5</t>
        </is>
      </c>
      <c r="C15" t="inlineStr">
        <is>
          <t>Kalshi 2.5%</t>
        </is>
      </c>
      <c r="D15" t="n">
        <v>0.031</v>
      </c>
      <c r="E15" t="n">
        <v>0.0614</v>
      </c>
      <c r="F15" t="n">
        <v>0.1462</v>
      </c>
      <c r="G15" t="n">
        <v>0.3292</v>
      </c>
      <c r="H15" t="n">
        <v>0.6894</v>
      </c>
      <c r="I15" t="n">
        <v>0.5174</v>
      </c>
      <c r="J15" t="n">
        <v>0.0553</v>
      </c>
      <c r="K15" t="n">
        <v>5.834</v>
      </c>
      <c r="L15">
        <f>Assumptions!$B$3*D15+Assumptions!$C$3*(E15-D15)+Assumptions!$D$3*(F15-E15)+Assumptions!$E$3*(G15-F15)+Assumptions!$F$3*(H15-G15)</f>
        <v/>
      </c>
      <c r="M15">
        <f>K15+MIN(L15,Assumptions!$H$3)</f>
        <v/>
      </c>
      <c r="N15">
        <f>M15-Assumptions!$I$3</f>
        <v/>
      </c>
      <c r="O15">
        <f>N15-Assumptions!$B$25*Q15</f>
        <v/>
      </c>
      <c r="P15" t="n">
        <v>3</v>
      </c>
      <c r="Q15" t="n">
        <v>3.432</v>
      </c>
      <c r="R15" t="inlineStr">
        <is>
          <t>KXNBA-27 exchange mid-price, pulled 2026-10-08; p(final)=KXNBAEAST/KXNBAWEST-27 Kalshi mid | league_sim.py: full-schedule + real playoff bracket Monte Carlo, ratings fitted to Kalshi</t>
        </is>
      </c>
      <c r="S15" t="inlineStr">
        <is>
          <t>2026-10-08</t>
        </is>
      </c>
      <c r="T15" t="inlineStr">
        <is>
          <t>A</t>
        </is>
      </c>
      <c r="U15" t="inlineStr">
        <is>
          <t>[sim: playoffs 69%, rd2 33%, conf final 15%]</t>
        </is>
      </c>
      <c r="X15" s="16" t="inlineStr">
        <is>
          <t>Tim</t>
        </is>
      </c>
      <c r="Y15">
        <f>N15-IF(T15="C",Assumptions!$B$27,IF(T15="B",Assumptions!$B$26,0))</f>
        <v/>
      </c>
    </row>
    <row r="16">
      <c r="A16" s="19" t="inlineStr">
        <is>
          <t>Houston Rockets</t>
        </is>
      </c>
      <c r="B16" t="inlineStr">
        <is>
          <t>West; win total 47.5</t>
        </is>
      </c>
      <c r="C16" t="inlineStr">
        <is>
          <t>Kalshi 1.5%</t>
        </is>
      </c>
      <c r="D16" t="n">
        <v>0.025</v>
      </c>
      <c r="E16" t="n">
        <v>0.0539</v>
      </c>
      <c r="F16" t="n">
        <v>0.1411</v>
      </c>
      <c r="G16" t="n">
        <v>0.3225</v>
      </c>
      <c r="H16" t="n">
        <v>0.6776</v>
      </c>
      <c r="I16" t="n">
        <v>0.5151</v>
      </c>
      <c r="J16" t="n">
        <v>0.0542</v>
      </c>
      <c r="K16" t="n">
        <v>5.62</v>
      </c>
      <c r="L16">
        <f>Assumptions!$B$3*D16+Assumptions!$C$3*(E16-D16)+Assumptions!$D$3*(F16-E16)+Assumptions!$E$3*(G16-F16)+Assumptions!$F$3*(H16-G16)</f>
        <v/>
      </c>
      <c r="M16">
        <f>K16+MIN(L16,Assumptions!$H$3)</f>
        <v/>
      </c>
      <c r="N16">
        <f>M16-Assumptions!$I$3</f>
        <v/>
      </c>
      <c r="O16">
        <f>N16-Assumptions!$B$25*Q16</f>
        <v/>
      </c>
      <c r="P16" t="n">
        <v>3</v>
      </c>
      <c r="Q16" t="n">
        <v>3.399</v>
      </c>
      <c r="R16" t="inlineStr">
        <is>
          <t>KXNBA-27 exchange mid-price, pulled 2026-10-08; p(final)=KXNBAEAST/KXNBAWEST-27 Kalshi mid | league_sim.py: full-schedule + real playoff bracket Monte Carlo, ratings fitted to Kalshi</t>
        </is>
      </c>
      <c r="S16" t="inlineStr">
        <is>
          <t>2026-10-08</t>
        </is>
      </c>
      <c r="T16" t="inlineStr">
        <is>
          <t>A</t>
        </is>
      </c>
      <c r="U16" t="inlineStr">
        <is>
          <t>[sim: playoffs 68%, rd2 32%, conf final 14%]</t>
        </is>
      </c>
      <c r="X16" s="16" t="inlineStr">
        <is>
          <t>Korch</t>
        </is>
      </c>
      <c r="Y16">
        <f>N16-IF(T16="C",Assumptions!$B$27,IF(T16="B",Assumptions!$B$26,0))</f>
        <v/>
      </c>
    </row>
    <row r="17">
      <c r="A17" s="19" t="inlineStr">
        <is>
          <t>Indiana Pacers</t>
        </is>
      </c>
      <c r="B17" t="inlineStr">
        <is>
          <t>East; win total 44.5</t>
        </is>
      </c>
      <c r="C17" t="inlineStr">
        <is>
          <t>Kalshi 1.5%</t>
        </is>
      </c>
      <c r="D17" t="n">
        <v>0.0213</v>
      </c>
      <c r="E17" t="n">
        <v>0.0584</v>
      </c>
      <c r="F17" t="n">
        <v>0.1331</v>
      </c>
      <c r="G17" t="n">
        <v>0.2871</v>
      </c>
      <c r="H17" t="n">
        <v>0.6179</v>
      </c>
      <c r="I17" t="n">
        <v>0.5114</v>
      </c>
      <c r="J17" t="n">
        <v>0.0553</v>
      </c>
      <c r="K17" t="n">
        <v>5.502</v>
      </c>
      <c r="L17">
        <f>Assumptions!$B$3*D17+Assumptions!$C$3*(E17-D17)+Assumptions!$D$3*(F17-E17)+Assumptions!$E$3*(G17-F17)+Assumptions!$F$3*(H17-G17)</f>
        <v/>
      </c>
      <c r="M17">
        <f>K17+MIN(L17,Assumptions!$H$3)</f>
        <v/>
      </c>
      <c r="N17">
        <f>M17-Assumptions!$I$3</f>
        <v/>
      </c>
      <c r="O17">
        <f>N17-Assumptions!$B$25*Q17</f>
        <v/>
      </c>
      <c r="P17" t="n">
        <v>3</v>
      </c>
      <c r="Q17" t="n">
        <v>3.389</v>
      </c>
      <c r="R17" t="inlineStr">
        <is>
          <t>KXNBA-27 exchange mid-price, pulled 2026-10-08; p(final)=KXNBAEAST/KXNBAWEST-27 Kalshi mid | league_sim.py: full-schedule + real playoff bracket Monte Carlo, ratings fitted to Kalshi</t>
        </is>
      </c>
      <c r="S17" t="inlineStr">
        <is>
          <t>2026-10-08</t>
        </is>
      </c>
      <c r="T17" t="inlineStr">
        <is>
          <t>A</t>
        </is>
      </c>
      <c r="U17" t="inlineStr">
        <is>
          <t>[sim: playoffs 62%, rd2 29%, conf final 13%]</t>
        </is>
      </c>
      <c r="Y17">
        <f>N17-IF(T17="C",Assumptions!$B$27,IF(T17="B",Assumptions!$B$26,0))</f>
        <v/>
      </c>
    </row>
    <row r="18">
      <c r="A18" t="inlineStr">
        <is>
          <t>Cleveland Cavaliers</t>
        </is>
      </c>
      <c r="B18" t="inlineStr">
        <is>
          <t>East; win total 47.5</t>
        </is>
      </c>
      <c r="C18" t="inlineStr">
        <is>
          <t>Kalshi 2.5%</t>
        </is>
      </c>
      <c r="D18" t="n">
        <v>0.0199</v>
      </c>
      <c r="E18" t="n">
        <v>0.0548</v>
      </c>
      <c r="F18" t="n">
        <v>0.1264</v>
      </c>
      <c r="G18" t="n">
        <v>0.2739</v>
      </c>
      <c r="H18" t="n">
        <v>0.5835</v>
      </c>
      <c r="I18" t="n">
        <v>0.5076000000000001</v>
      </c>
      <c r="J18" t="n">
        <v>0.055</v>
      </c>
      <c r="K18" t="n">
        <v>5.236</v>
      </c>
      <c r="L18">
        <f>Assumptions!$B$3*D18+Assumptions!$C$3*(E18-D18)+Assumptions!$D$3*(F18-E18)+Assumptions!$E$3*(G18-F18)+Assumptions!$F$3*(H18-G18)</f>
        <v/>
      </c>
      <c r="M18">
        <f>K18+MIN(L18,Assumptions!$H$3)</f>
        <v/>
      </c>
      <c r="N18">
        <f>M18-Assumptions!$I$3</f>
        <v/>
      </c>
      <c r="O18">
        <f>N18-Assumptions!$B$25*Q18</f>
        <v/>
      </c>
      <c r="P18" t="n">
        <v>4</v>
      </c>
      <c r="Q18" t="n">
        <v>3.341</v>
      </c>
      <c r="R18" t="inlineStr">
        <is>
          <t>KXNBA-27 exchange mid-price, pulled 2026-10-08; p(final)=KXNBAEAST/KXNBAWEST-27 Kalshi mid | league_sim.py: full-schedule + real playoff bracket Monte Carlo, ratings fitted to Kalshi</t>
        </is>
      </c>
      <c r="S18" t="inlineStr">
        <is>
          <t>2026-10-08</t>
        </is>
      </c>
      <c r="T18" t="inlineStr">
        <is>
          <t>A</t>
        </is>
      </c>
      <c r="U18" t="inlineStr">
        <is>
          <t>[sim: playoffs 58%, rd2 27%, conf final 13%]</t>
        </is>
      </c>
      <c r="X18" s="16" t="inlineStr">
        <is>
          <t>Jens</t>
        </is>
      </c>
      <c r="Y18">
        <f>N18-IF(T18="C",Assumptions!$B$27,IF(T18="B",Assumptions!$B$26,0))</f>
        <v/>
      </c>
    </row>
    <row r="19">
      <c r="A19" t="inlineStr">
        <is>
          <t>Portland Trail Blazers</t>
        </is>
      </c>
      <c r="B19" t="inlineStr">
        <is>
          <t>West; win total 42.5</t>
        </is>
      </c>
      <c r="D19" t="n">
        <v>0.0146</v>
      </c>
      <c r="E19" t="n">
        <v>0.0372</v>
      </c>
      <c r="F19" t="n">
        <v>0.0968</v>
      </c>
      <c r="G19" t="n">
        <v>0.2404</v>
      </c>
      <c r="H19" t="n">
        <v>0.5713</v>
      </c>
      <c r="I19" t="n">
        <v>0.4994</v>
      </c>
      <c r="J19" t="n">
        <v>0.0551</v>
      </c>
      <c r="K19" t="n">
        <v>4.875</v>
      </c>
      <c r="L19">
        <f>Assumptions!$B$3*D19+Assumptions!$C$3*(E19-D19)+Assumptions!$D$3*(F19-E19)+Assumptions!$E$3*(G19-F19)+Assumptions!$F$3*(H19-G19)</f>
        <v/>
      </c>
      <c r="M19">
        <f>K19+MIN(L19,Assumptions!$H$3)</f>
        <v/>
      </c>
      <c r="N19">
        <f>M19-Assumptions!$I$3</f>
        <v/>
      </c>
      <c r="O19">
        <f>N19-Assumptions!$B$25*Q19</f>
        <v/>
      </c>
      <c r="P19" t="n">
        <v>4</v>
      </c>
      <c r="Q19" t="n">
        <v>3.255</v>
      </c>
      <c r="R19" t="inlineStr">
        <is>
          <t>BetMGM win total; title price estimated; p(final)=KXNBAEAST/KXNBAWEST-27 Kalshi mid | league_sim.py: full-schedule + real playoff bracket Monte Carlo, ratings fitted to Kalshi</t>
        </is>
      </c>
      <c r="S19" t="inlineStr">
        <is>
          <t>2026-10-08</t>
        </is>
      </c>
      <c r="T19" t="inlineStr">
        <is>
          <t>A</t>
        </is>
      </c>
      <c r="U19" t="inlineStr">
        <is>
          <t>[sim: playoffs 57%, rd2 24%, conf final 10%]</t>
        </is>
      </c>
      <c r="Y19">
        <f>N19-IF(T19="C",Assumptions!$B$27,IF(T19="B",Assumptions!$B$26,0))</f>
        <v/>
      </c>
    </row>
    <row r="20">
      <c r="A20" t="inlineStr">
        <is>
          <t>Atlanta Hawks</t>
        </is>
      </c>
      <c r="B20" t="inlineStr">
        <is>
          <t>East; win total 43.5</t>
        </is>
      </c>
      <c r="D20" t="n">
        <v>0.0152</v>
      </c>
      <c r="E20" t="n">
        <v>0.0396</v>
      </c>
      <c r="F20" t="n">
        <v>0.09760000000000001</v>
      </c>
      <c r="G20" t="n">
        <v>0.2289</v>
      </c>
      <c r="H20" t="n">
        <v>0.518</v>
      </c>
      <c r="I20" t="n">
        <v>0.4974</v>
      </c>
      <c r="J20" t="n">
        <v>0.055</v>
      </c>
      <c r="K20" t="n">
        <v>4.635</v>
      </c>
      <c r="L20">
        <f>Assumptions!$B$3*D20+Assumptions!$C$3*(E20-D20)+Assumptions!$D$3*(F20-E20)+Assumptions!$E$3*(G20-F20)+Assumptions!$F$3*(H20-G20)</f>
        <v/>
      </c>
      <c r="M20">
        <f>K20+MIN(L20,Assumptions!$H$3)</f>
        <v/>
      </c>
      <c r="N20">
        <f>M20-Assumptions!$I$3</f>
        <v/>
      </c>
      <c r="O20">
        <f>N20-Assumptions!$B$25*Q20</f>
        <v/>
      </c>
      <c r="P20" t="n">
        <v>4</v>
      </c>
      <c r="Q20" t="n">
        <v>3.166</v>
      </c>
      <c r="R20" t="inlineStr">
        <is>
          <t>BetMGM win total; title price estimated | league_sim.py: full-schedule + real playoff bracket Monte Carlo, ratings fitted to Kalshi</t>
        </is>
      </c>
      <c r="S20" t="inlineStr">
        <is>
          <t>2026-10-08</t>
        </is>
      </c>
      <c r="T20" t="inlineStr">
        <is>
          <t>A</t>
        </is>
      </c>
      <c r="U20" t="inlineStr">
        <is>
          <t>[sim: playoffs 52%, rd2 23%, conf final 10%]</t>
        </is>
      </c>
      <c r="Y20">
        <f>N20-IF(T20="C",Assumptions!$B$27,IF(T20="B",Assumptions!$B$26,0))</f>
        <v/>
      </c>
    </row>
    <row r="21">
      <c r="A21" t="inlineStr">
        <is>
          <t>Phoenix Suns</t>
        </is>
      </c>
      <c r="B21" t="inlineStr">
        <is>
          <t>West; win total 40.5</t>
        </is>
      </c>
      <c r="D21" t="n">
        <v>0.0131</v>
      </c>
      <c r="E21" t="n">
        <v>0.0311</v>
      </c>
      <c r="F21" t="n">
        <v>0.0819</v>
      </c>
      <c r="G21" t="n">
        <v>0.2054</v>
      </c>
      <c r="H21" t="n">
        <v>0.4994</v>
      </c>
      <c r="I21" t="n">
        <v>0.4895</v>
      </c>
      <c r="J21" t="n">
        <v>0.0552</v>
      </c>
      <c r="K21" t="n">
        <v>4.3</v>
      </c>
      <c r="L21">
        <f>Assumptions!$B$3*D21+Assumptions!$C$3*(E21-D21)+Assumptions!$D$3*(F21-E21)+Assumptions!$E$3*(G21-F21)+Assumptions!$F$3*(H21-G21)</f>
        <v/>
      </c>
      <c r="M21">
        <f>K21+MIN(L21,Assumptions!$H$3)</f>
        <v/>
      </c>
      <c r="N21">
        <f>M21-Assumptions!$I$3</f>
        <v/>
      </c>
      <c r="O21">
        <f>N21-Assumptions!$B$25*Q21</f>
        <v/>
      </c>
      <c r="P21" t="n">
        <v>4</v>
      </c>
      <c r="Q21" t="n">
        <v>3.057</v>
      </c>
      <c r="R21" t="inlineStr">
        <is>
          <t>BetMGM win total; title price estimated | league_sim.py: full-schedule + real playoff bracket Monte Carlo, ratings fitted to Kalshi</t>
        </is>
      </c>
      <c r="S21" t="inlineStr">
        <is>
          <t>2026-10-08</t>
        </is>
      </c>
      <c r="T21" t="inlineStr">
        <is>
          <t>A</t>
        </is>
      </c>
      <c r="U21" t="inlineStr">
        <is>
          <t>[sim: playoffs 50%, rd2 21%, conf final 8%]</t>
        </is>
      </c>
      <c r="Y21">
        <f>N21-IF(T21="C",Assumptions!$B$27,IF(T21="B",Assumptions!$B$26,0))</f>
        <v/>
      </c>
    </row>
    <row r="22">
      <c r="A22" t="inlineStr">
        <is>
          <t>Orlando Magic</t>
        </is>
      </c>
      <c r="B22" t="inlineStr">
        <is>
          <t>East; win total 43.5</t>
        </is>
      </c>
      <c r="C22" t="inlineStr">
        <is>
          <t>Kalshi 1.5%</t>
        </is>
      </c>
      <c r="D22" t="n">
        <v>0.014</v>
      </c>
      <c r="E22" t="n">
        <v>0.0382</v>
      </c>
      <c r="F22" t="n">
        <v>0.08599999999999999</v>
      </c>
      <c r="G22" t="n">
        <v>0.205</v>
      </c>
      <c r="H22" t="n">
        <v>0.4606</v>
      </c>
      <c r="I22" t="n">
        <v>0.4888</v>
      </c>
      <c r="J22" t="n">
        <v>0.0548</v>
      </c>
      <c r="K22" t="n">
        <v>4.309</v>
      </c>
      <c r="L22">
        <f>Assumptions!$B$3*D22+Assumptions!$C$3*(E22-D22)+Assumptions!$D$3*(F22-E22)+Assumptions!$E$3*(G22-F22)+Assumptions!$F$3*(H22-G22)</f>
        <v/>
      </c>
      <c r="M22">
        <f>K22+MIN(L22,Assumptions!$H$3)</f>
        <v/>
      </c>
      <c r="N22">
        <f>M22-Assumptions!$I$3</f>
        <v/>
      </c>
      <c r="O22">
        <f>N22-Assumptions!$B$25*Q22</f>
        <v/>
      </c>
      <c r="P22" t="n">
        <v>4</v>
      </c>
      <c r="Q22" t="n">
        <v>3.062</v>
      </c>
      <c r="R22" t="inlineStr">
        <is>
          <t>KXNBA-27 exchange mid-price, pulled 2026-10-08; p(final)=KXNBAEAST/KXNBAWEST-27 Kalshi mid | league_sim.py: full-schedule + real playoff bracket Monte Carlo, ratings fitted to Kalshi</t>
        </is>
      </c>
      <c r="S22" t="inlineStr">
        <is>
          <t>2026-10-08</t>
        </is>
      </c>
      <c r="T22" t="inlineStr">
        <is>
          <t>A</t>
        </is>
      </c>
      <c r="U22" t="inlineStr">
        <is>
          <t>[sim: playoffs 46%, rd2 20%, conf final 9%]</t>
        </is>
      </c>
      <c r="X22" s="16" t="inlineStr">
        <is>
          <t>Jamzee</t>
        </is>
      </c>
      <c r="Y22">
        <f>N22-IF(T22="C",Assumptions!$B$27,IF(T22="B",Assumptions!$B$26,0))</f>
        <v/>
      </c>
    </row>
    <row r="23">
      <c r="A23" t="inlineStr">
        <is>
          <t>Dallas Mavericks</t>
        </is>
      </c>
      <c r="B23" t="inlineStr">
        <is>
          <t>West; win total 34.5</t>
        </is>
      </c>
      <c r="D23" t="n">
        <v>0.0083</v>
      </c>
      <c r="E23" t="n">
        <v>0.0221</v>
      </c>
      <c r="F23" t="n">
        <v>0.0629</v>
      </c>
      <c r="G23" t="n">
        <v>0.165</v>
      </c>
      <c r="H23" t="n">
        <v>0.4098</v>
      </c>
      <c r="I23" t="n">
        <v>0.476</v>
      </c>
      <c r="J23" t="n">
        <v>0.0548</v>
      </c>
      <c r="K23" t="n">
        <v>3.705</v>
      </c>
      <c r="L23">
        <f>Assumptions!$B$3*D23+Assumptions!$C$3*(E23-D23)+Assumptions!$D$3*(F23-E23)+Assumptions!$E$3*(G23-F23)+Assumptions!$F$3*(H23-G23)</f>
        <v/>
      </c>
      <c r="M23">
        <f>K23+MIN(L23,Assumptions!$H$3)</f>
        <v/>
      </c>
      <c r="N23">
        <f>M23-Assumptions!$I$3</f>
        <v/>
      </c>
      <c r="O23">
        <f>N23-Assumptions!$B$25*Q23</f>
        <v/>
      </c>
      <c r="P23" t="n">
        <v>4</v>
      </c>
      <c r="Q23" t="n">
        <v>2.839</v>
      </c>
      <c r="R23" t="inlineStr">
        <is>
          <t>BetMGM win total; title price estimated | league_sim.py: full-schedule + real playoff bracket Monte Carlo, ratings fitted to Kalshi</t>
        </is>
      </c>
      <c r="S23" t="inlineStr">
        <is>
          <t>2026-10-08</t>
        </is>
      </c>
      <c r="T23" t="inlineStr">
        <is>
          <t>A</t>
        </is>
      </c>
      <c r="U23" t="inlineStr">
        <is>
          <t>[sim: playoffs 41%, rd2 16%, conf final 6%]</t>
        </is>
      </c>
      <c r="Y23">
        <f>N23-IF(T23="C",Assumptions!$B$27,IF(T23="B",Assumptions!$B$26,0))</f>
        <v/>
      </c>
    </row>
    <row r="24">
      <c r="A24" t="inlineStr">
        <is>
          <t>Washington Wizards</t>
        </is>
      </c>
      <c r="B24" t="inlineStr">
        <is>
          <t>East; win total 34.5</t>
        </is>
      </c>
      <c r="D24" t="n">
        <v>0.0067</v>
      </c>
      <c r="E24" t="n">
        <v>0.0211</v>
      </c>
      <c r="F24" t="n">
        <v>0.0534</v>
      </c>
      <c r="G24" t="n">
        <v>0.1457</v>
      </c>
      <c r="H24" t="n">
        <v>0.3741</v>
      </c>
      <c r="I24" t="n">
        <v>0.4783</v>
      </c>
      <c r="J24" t="n">
        <v>0.0544</v>
      </c>
      <c r="K24" t="n">
        <v>3.774</v>
      </c>
      <c r="L24">
        <f>Assumptions!$B$3*D24+Assumptions!$C$3*(E24-D24)+Assumptions!$D$3*(F24-E24)+Assumptions!$E$3*(G24-F24)+Assumptions!$F$3*(H24-G24)</f>
        <v/>
      </c>
      <c r="M24">
        <f>K24+MIN(L24,Assumptions!$H$3)</f>
        <v/>
      </c>
      <c r="N24">
        <f>M24-Assumptions!$I$3</f>
        <v/>
      </c>
      <c r="O24">
        <f>N24-Assumptions!$B$25*Q24</f>
        <v/>
      </c>
      <c r="P24" t="n">
        <v>4</v>
      </c>
      <c r="Q24" t="n">
        <v>2.851</v>
      </c>
      <c r="R24" t="inlineStr">
        <is>
          <t>BetMGM win total; title price estimated | league_sim.py: full-schedule + real playoff bracket Monte Carlo, ratings fitted to Kalshi</t>
        </is>
      </c>
      <c r="S24" t="inlineStr">
        <is>
          <t>2026-10-08</t>
        </is>
      </c>
      <c r="T24" t="inlineStr">
        <is>
          <t>A</t>
        </is>
      </c>
      <c r="U24" t="inlineStr">
        <is>
          <t>[sim: playoffs 37%, rd2 15%, conf final 5%]</t>
        </is>
      </c>
      <c r="Y24">
        <f>N24-IF(T24="C",Assumptions!$B$27,IF(T24="B",Assumptions!$B$26,0))</f>
        <v/>
      </c>
    </row>
    <row r="25">
      <c r="A25" t="inlineStr">
        <is>
          <t>Charlotte Hornets</t>
        </is>
      </c>
      <c r="B25" t="inlineStr">
        <is>
          <t>East; win total 39.5</t>
        </is>
      </c>
      <c r="D25" t="n">
        <v>0.0036</v>
      </c>
      <c r="E25" t="n">
        <v>0.0173</v>
      </c>
      <c r="F25" t="n">
        <v>0.0485</v>
      </c>
      <c r="G25" t="n">
        <v>0.1232</v>
      </c>
      <c r="H25" t="n">
        <v>0.3285</v>
      </c>
      <c r="I25" t="n">
        <v>0.4722</v>
      </c>
      <c r="J25" t="n">
        <v>0.0544</v>
      </c>
      <c r="K25" t="n">
        <v>3.569</v>
      </c>
      <c r="L25">
        <f>Assumptions!$B$3*D25+Assumptions!$C$3*(E25-D25)+Assumptions!$D$3*(F25-E25)+Assumptions!$E$3*(G25-F25)+Assumptions!$F$3*(H25-G25)</f>
        <v/>
      </c>
      <c r="M25">
        <f>K25+MIN(L25,Assumptions!$H$3)</f>
        <v/>
      </c>
      <c r="N25">
        <f>M25-Assumptions!$I$3</f>
        <v/>
      </c>
      <c r="O25">
        <f>N25-Assumptions!$B$25*Q25</f>
        <v/>
      </c>
      <c r="P25" t="n">
        <v>4</v>
      </c>
      <c r="Q25" t="n">
        <v>2.773</v>
      </c>
      <c r="R25" t="inlineStr">
        <is>
          <t>BetMGM win total; title price estimated | league_sim.py: full-schedule + real playoff bracket Monte Carlo, ratings fitted to Kalshi</t>
        </is>
      </c>
      <c r="S25" t="inlineStr">
        <is>
          <t>2026-10-08</t>
        </is>
      </c>
      <c r="T25" t="inlineStr">
        <is>
          <t>A</t>
        </is>
      </c>
      <c r="U25" t="inlineStr">
        <is>
          <t>[sim: playoffs 33%, rd2 12%, conf final 5%]</t>
        </is>
      </c>
      <c r="Y25">
        <f>N25-IF(T25="C",Assumptions!$B$27,IF(T25="B",Assumptions!$B$26,0))</f>
        <v/>
      </c>
    </row>
    <row r="26">
      <c r="A26" t="inlineStr">
        <is>
          <t>Utah Jazz</t>
        </is>
      </c>
      <c r="B26" t="inlineStr">
        <is>
          <t>West; win total 37.5</t>
        </is>
      </c>
      <c r="D26" t="n">
        <v>0.0063</v>
      </c>
      <c r="E26" t="n">
        <v>0.0146</v>
      </c>
      <c r="F26" t="n">
        <v>0.0454</v>
      </c>
      <c r="G26" t="n">
        <v>0.13</v>
      </c>
      <c r="H26" t="n">
        <v>0.3606</v>
      </c>
      <c r="I26" t="n">
        <v>0.4694</v>
      </c>
      <c r="J26" t="n">
        <v>0.055</v>
      </c>
      <c r="K26" t="n">
        <v>3.465</v>
      </c>
      <c r="L26">
        <f>Assumptions!$B$3*D26+Assumptions!$C$3*(E26-D26)+Assumptions!$D$3*(F26-E26)+Assumptions!$E$3*(G26-F26)+Assumptions!$F$3*(H26-G26)</f>
        <v/>
      </c>
      <c r="M26">
        <f>K26+MIN(L26,Assumptions!$H$3)</f>
        <v/>
      </c>
      <c r="N26">
        <f>M26-Assumptions!$I$3</f>
        <v/>
      </c>
      <c r="O26">
        <f>N26-Assumptions!$B$25*Q26</f>
        <v/>
      </c>
      <c r="P26" t="n">
        <v>4</v>
      </c>
      <c r="Q26" t="n">
        <v>2.766</v>
      </c>
      <c r="R26" t="inlineStr">
        <is>
          <t>BetMGM win total; title price estimated; p(final)=KXNBAEAST/KXNBAWEST-27 Kalshi mid | league_sim.py: full-schedule + real playoff bracket Monte Carlo, ratings fitted to Kalshi</t>
        </is>
      </c>
      <c r="S26" t="inlineStr">
        <is>
          <t>2026-10-08</t>
        </is>
      </c>
      <c r="T26" t="inlineStr">
        <is>
          <t>A</t>
        </is>
      </c>
      <c r="U26" t="inlineStr">
        <is>
          <t>[sim: playoffs 36%, rd2 13%, conf final 5%]</t>
        </is>
      </c>
      <c r="Y26">
        <f>N26-IF(T26="C",Assumptions!$B$27,IF(T26="B",Assumptions!$B$26,0))</f>
        <v/>
      </c>
    </row>
    <row r="27">
      <c r="A27" t="inlineStr">
        <is>
          <t>Golden State Warriors</t>
        </is>
      </c>
      <c r="B27" t="inlineStr">
        <is>
          <t>West; win total 40.5</t>
        </is>
      </c>
      <c r="D27" t="n">
        <v>0.0054</v>
      </c>
      <c r="E27" t="n">
        <v>0.015</v>
      </c>
      <c r="F27" t="n">
        <v>0.0451</v>
      </c>
      <c r="G27" t="n">
        <v>0.1326</v>
      </c>
      <c r="H27" t="n">
        <v>0.3566</v>
      </c>
      <c r="I27" t="n">
        <v>0.4692</v>
      </c>
      <c r="J27" t="n">
        <v>0.0544</v>
      </c>
      <c r="K27" t="n">
        <v>3.465</v>
      </c>
      <c r="L27">
        <f>Assumptions!$B$3*D27+Assumptions!$C$3*(E27-D27)+Assumptions!$D$3*(F27-E27)+Assumptions!$E$3*(G27-F27)+Assumptions!$F$3*(H27-G27)</f>
        <v/>
      </c>
      <c r="M27">
        <f>K27+MIN(L27,Assumptions!$H$3)</f>
        <v/>
      </c>
      <c r="N27">
        <f>M27-Assumptions!$I$3</f>
        <v/>
      </c>
      <c r="O27">
        <f>N27-Assumptions!$B$25*Q27</f>
        <v/>
      </c>
      <c r="P27" t="n">
        <v>4</v>
      </c>
      <c r="Q27" t="n">
        <v>2.787</v>
      </c>
      <c r="R27" t="inlineStr">
        <is>
          <t>BetMGM win total; title price estimated; p(final)=KXNBAEAST/KXNBAWEST-27 Kalshi mid | league_sim.py: full-schedule + real playoff bracket Monte Carlo, ratings fitted to Kalshi</t>
        </is>
      </c>
      <c r="S27" t="inlineStr">
        <is>
          <t>2026-10-08</t>
        </is>
      </c>
      <c r="T27" t="inlineStr">
        <is>
          <t>A</t>
        </is>
      </c>
      <c r="U27" t="inlineStr">
        <is>
          <t>[sim: playoffs 36%, rd2 13%, conf final 5%]</t>
        </is>
      </c>
      <c r="X27" s="16" t="inlineStr">
        <is>
          <t>Mitchell</t>
        </is>
      </c>
      <c r="Y27">
        <f>N27-IF(T27="C",Assumptions!$B$27,IF(T27="B",Assumptions!$B$26,0))</f>
        <v/>
      </c>
    </row>
    <row r="28">
      <c r="A28" t="inlineStr">
        <is>
          <t>Memphis Grizzlies</t>
        </is>
      </c>
      <c r="B28" t="inlineStr">
        <is>
          <t>West; win total 29.5</t>
        </is>
      </c>
      <c r="D28" t="n">
        <v>0.0039</v>
      </c>
      <c r="E28" t="n">
        <v>0.008999999999999999</v>
      </c>
      <c r="F28" t="n">
        <v>0.0296</v>
      </c>
      <c r="G28" t="n">
        <v>0.0929</v>
      </c>
      <c r="H28" t="n">
        <v>0.3071</v>
      </c>
      <c r="I28" t="n">
        <v>0.4612</v>
      </c>
      <c r="J28" t="n">
        <v>0.0542</v>
      </c>
      <c r="K28" t="n">
        <v>3.076</v>
      </c>
      <c r="L28">
        <f>Assumptions!$B$3*D28+Assumptions!$C$3*(E28-D28)+Assumptions!$D$3*(F28-E28)+Assumptions!$E$3*(G28-F28)+Assumptions!$F$3*(H28-G28)</f>
        <v/>
      </c>
      <c r="M28">
        <f>K28+MIN(L28,Assumptions!$H$3)</f>
        <v/>
      </c>
      <c r="N28">
        <f>M28-Assumptions!$I$3</f>
        <v/>
      </c>
      <c r="O28">
        <f>N28-Assumptions!$B$25*Q28</f>
        <v/>
      </c>
      <c r="P28" t="n">
        <v>4</v>
      </c>
      <c r="Q28" t="n">
        <v>2.512</v>
      </c>
      <c r="R28" t="inlineStr">
        <is>
          <t>BetMGM win total; title price estimated | league_sim.py: full-schedule + real playoff bracket Monte Carlo, ratings fitted to Kalshi</t>
        </is>
      </c>
      <c r="S28" t="inlineStr">
        <is>
          <t>2026-10-08</t>
        </is>
      </c>
      <c r="T28" t="inlineStr">
        <is>
          <t>A</t>
        </is>
      </c>
      <c r="U28" t="inlineStr">
        <is>
          <t>[sim: playoffs 31%, rd2 9%, conf final 3%]</t>
        </is>
      </c>
      <c r="Y28">
        <f>N28-IF(T28="C",Assumptions!$B$27,IF(T28="B",Assumptions!$B$26,0))</f>
        <v/>
      </c>
    </row>
    <row r="29">
      <c r="A29" t="inlineStr">
        <is>
          <t>Los Angeles Clippers</t>
        </is>
      </c>
      <c r="B29" t="inlineStr">
        <is>
          <t>West; win total 30.5</t>
        </is>
      </c>
      <c r="D29" t="n">
        <v>0.0026</v>
      </c>
      <c r="E29" t="n">
        <v>0.0076</v>
      </c>
      <c r="F29" t="n">
        <v>0.0261</v>
      </c>
      <c r="G29" t="n">
        <v>0.0828</v>
      </c>
      <c r="H29" t="n">
        <v>0.252</v>
      </c>
      <c r="I29" t="n">
        <v>0.4531</v>
      </c>
      <c r="J29" t="n">
        <v>0.0548</v>
      </c>
      <c r="K29" t="n">
        <v>2.754</v>
      </c>
      <c r="L29">
        <f>Assumptions!$B$3*D29+Assumptions!$C$3*(E29-D29)+Assumptions!$D$3*(F29-E29)+Assumptions!$E$3*(G29-F29)+Assumptions!$F$3*(H29-G29)</f>
        <v/>
      </c>
      <c r="M29">
        <f>K29+MIN(L29,Assumptions!$H$3)</f>
        <v/>
      </c>
      <c r="N29">
        <f>M29-Assumptions!$I$3</f>
        <v/>
      </c>
      <c r="O29">
        <f>N29-Assumptions!$B$25*Q29</f>
        <v/>
      </c>
      <c r="P29" t="n">
        <v>4</v>
      </c>
      <c r="Q29" t="n">
        <v>2.295</v>
      </c>
      <c r="R29" t="inlineStr">
        <is>
          <t>BetMGM win total; title price estimated | league_sim.py: full-schedule + real playoff bracket Monte Carlo, ratings fitted to Kalshi</t>
        </is>
      </c>
      <c r="S29" t="inlineStr">
        <is>
          <t>2026-10-08</t>
        </is>
      </c>
      <c r="T29" t="inlineStr">
        <is>
          <t>A</t>
        </is>
      </c>
      <c r="U29" t="inlineStr">
        <is>
          <t>[sim: playoffs 25%, rd2 8%, conf final 3%]</t>
        </is>
      </c>
      <c r="X29" s="16" t="inlineStr">
        <is>
          <t>Fryar</t>
        </is>
      </c>
      <c r="Y29">
        <f>N29-IF(T29="C",Assumptions!$B$27,IF(T29="B",Assumptions!$B$26,0))</f>
        <v/>
      </c>
    </row>
    <row r="30">
      <c r="A30" t="inlineStr">
        <is>
          <t>New Orleans Pelicans</t>
        </is>
      </c>
      <c r="B30" t="inlineStr">
        <is>
          <t>West; win total 27.5</t>
        </is>
      </c>
      <c r="D30" t="n">
        <v>0.0034</v>
      </c>
      <c r="E30" t="n">
        <v>0.009599999999999999</v>
      </c>
      <c r="F30" t="n">
        <v>0.0295</v>
      </c>
      <c r="G30" t="n">
        <v>0.0801</v>
      </c>
      <c r="H30" t="n">
        <v>0.2375</v>
      </c>
      <c r="I30" t="n">
        <v>0.4502</v>
      </c>
      <c r="J30" t="n">
        <v>0.0543</v>
      </c>
      <c r="K30" t="n">
        <v>2.652</v>
      </c>
      <c r="L30">
        <f>Assumptions!$B$3*D30+Assumptions!$C$3*(E30-D30)+Assumptions!$D$3*(F30-E30)+Assumptions!$E$3*(G30-F30)+Assumptions!$F$3*(H30-G30)</f>
        <v/>
      </c>
      <c r="M30">
        <f>K30+MIN(L30,Assumptions!$H$3)</f>
        <v/>
      </c>
      <c r="N30">
        <f>M30-Assumptions!$I$3</f>
        <v/>
      </c>
      <c r="O30">
        <f>N30-Assumptions!$B$25*Q30</f>
        <v/>
      </c>
      <c r="P30" t="n">
        <v>4</v>
      </c>
      <c r="Q30" t="n">
        <v>2.265</v>
      </c>
      <c r="R30" t="inlineStr">
        <is>
          <t>BetMGM win total; title price estimated | league_sim.py: full-schedule + real playoff bracket Monte Carlo, ratings fitted to Kalshi</t>
        </is>
      </c>
      <c r="S30" t="inlineStr">
        <is>
          <t>2026-10-08</t>
        </is>
      </c>
      <c r="T30" t="inlineStr">
        <is>
          <t>A</t>
        </is>
      </c>
      <c r="U30" t="inlineStr">
        <is>
          <t>[sim: playoffs 24%, rd2 8%, conf final 3%]</t>
        </is>
      </c>
      <c r="Y30">
        <f>N30-IF(T30="C",Assumptions!$B$27,IF(T30="B",Assumptions!$B$26,0))</f>
        <v/>
      </c>
    </row>
    <row r="31">
      <c r="A31" t="inlineStr">
        <is>
          <t>Brooklyn Nets</t>
        </is>
      </c>
      <c r="B31" t="inlineStr">
        <is>
          <t>East; win total 24.5</t>
        </is>
      </c>
      <c r="D31" t="n">
        <v>0.0035</v>
      </c>
      <c r="E31" t="n">
        <v>0.0089</v>
      </c>
      <c r="F31" t="n">
        <v>0.0275</v>
      </c>
      <c r="G31" t="n">
        <v>0.075</v>
      </c>
      <c r="H31" t="n">
        <v>0.1956</v>
      </c>
      <c r="I31" t="n">
        <v>0.4477</v>
      </c>
      <c r="J31" t="n">
        <v>0.0546</v>
      </c>
      <c r="K31" t="n">
        <v>2.634</v>
      </c>
      <c r="L31">
        <f>Assumptions!$B$3*D31+Assumptions!$C$3*(E31-D31)+Assumptions!$D$3*(F31-E31)+Assumptions!$E$3*(G31-F31)+Assumptions!$F$3*(H31-G31)</f>
        <v/>
      </c>
      <c r="M31">
        <f>K31+MIN(L31,Assumptions!$H$3)</f>
        <v/>
      </c>
      <c r="N31">
        <f>M31-Assumptions!$I$3</f>
        <v/>
      </c>
      <c r="O31">
        <f>N31-Assumptions!$B$25*Q31</f>
        <v/>
      </c>
      <c r="P31" t="n">
        <v>4</v>
      </c>
      <c r="Q31" t="n">
        <v>2.241</v>
      </c>
      <c r="R31" t="inlineStr">
        <is>
          <t>BetMGM win total; title price estimated | league_sim.py: full-schedule + real playoff bracket Monte Carlo, ratings fitted to Kalshi</t>
        </is>
      </c>
      <c r="S31" t="inlineStr">
        <is>
          <t>2026-10-08</t>
        </is>
      </c>
      <c r="T31" t="inlineStr">
        <is>
          <t>A</t>
        </is>
      </c>
      <c r="U31" t="inlineStr">
        <is>
          <t>[sim: playoffs 20%, rd2 8%, conf final 3%]</t>
        </is>
      </c>
      <c r="Y31">
        <f>N31-IF(T31="C",Assumptions!$B$27,IF(T31="B",Assumptions!$B$26,0))</f>
        <v/>
      </c>
    </row>
    <row r="32">
      <c r="A32" t="inlineStr">
        <is>
          <t>Chicago Bulls</t>
        </is>
      </c>
      <c r="B32" t="inlineStr">
        <is>
          <t>East; win total 29.5</t>
        </is>
      </c>
      <c r="D32" t="n">
        <v>0.0018</v>
      </c>
      <c r="E32" t="n">
        <v>0.006</v>
      </c>
      <c r="F32" t="n">
        <v>0.0181</v>
      </c>
      <c r="G32" t="n">
        <v>0.0584</v>
      </c>
      <c r="H32" t="n">
        <v>0.17</v>
      </c>
      <c r="I32" t="n">
        <v>0.4431</v>
      </c>
      <c r="J32" t="n">
        <v>0.0544</v>
      </c>
      <c r="K32" t="n">
        <v>2.412</v>
      </c>
      <c r="L32">
        <f>Assumptions!$B$3*D32+Assumptions!$C$3*(E32-D32)+Assumptions!$D$3*(F32-E32)+Assumptions!$E$3*(G32-F32)+Assumptions!$F$3*(H32-G32)</f>
        <v/>
      </c>
      <c r="M32">
        <f>K32+MIN(L32,Assumptions!$H$3)</f>
        <v/>
      </c>
      <c r="N32">
        <f>M32-Assumptions!$I$3</f>
        <v/>
      </c>
      <c r="O32">
        <f>N32-Assumptions!$B$25*Q32</f>
        <v/>
      </c>
      <c r="P32" t="n">
        <v>4</v>
      </c>
      <c r="Q32" t="n">
        <v>2.108</v>
      </c>
      <c r="R32" t="inlineStr">
        <is>
          <t>BetMGM win total; title price estimated | league_sim.py: full-schedule + real playoff bracket Monte Carlo, ratings fitted to Kalshi</t>
        </is>
      </c>
      <c r="S32" t="inlineStr">
        <is>
          <t>2026-10-08</t>
        </is>
      </c>
      <c r="T32" t="inlineStr">
        <is>
          <t>A</t>
        </is>
      </c>
      <c r="U32" t="inlineStr">
        <is>
          <t>[sim: playoffs 17%, rd2 6%, conf final 2%]</t>
        </is>
      </c>
      <c r="Y32">
        <f>N32-IF(T32="C",Assumptions!$B$27,IF(T32="B",Assumptions!$B$26,0))</f>
        <v/>
      </c>
    </row>
    <row r="33">
      <c r="A33" t="inlineStr">
        <is>
          <t>Milwaukee Bucks</t>
        </is>
      </c>
      <c r="B33" t="inlineStr">
        <is>
          <t>East; win total 25.5</t>
        </is>
      </c>
      <c r="D33" t="n">
        <v>0.0018</v>
      </c>
      <c r="E33" t="n">
        <v>0.0065</v>
      </c>
      <c r="F33" t="n">
        <v>0.0166</v>
      </c>
      <c r="G33" t="n">
        <v>0.0495</v>
      </c>
      <c r="H33" t="n">
        <v>0.1581</v>
      </c>
      <c r="I33" t="n">
        <v>0.4405</v>
      </c>
      <c r="J33" t="n">
        <v>0.0542</v>
      </c>
      <c r="K33" t="n">
        <v>2.38</v>
      </c>
      <c r="L33">
        <f>Assumptions!$B$3*D33+Assumptions!$C$3*(E33-D33)+Assumptions!$D$3*(F33-E33)+Assumptions!$E$3*(G33-F33)+Assumptions!$F$3*(H33-G33)</f>
        <v/>
      </c>
      <c r="M33">
        <f>K33+MIN(L33,Assumptions!$H$3)</f>
        <v/>
      </c>
      <c r="N33">
        <f>M33-Assumptions!$I$3</f>
        <v/>
      </c>
      <c r="O33">
        <f>N33-Assumptions!$B$25*Q33</f>
        <v/>
      </c>
      <c r="P33" t="n">
        <v>4</v>
      </c>
      <c r="Q33" t="n">
        <v>2.018</v>
      </c>
      <c r="R33" t="inlineStr">
        <is>
          <t>BetMGM win total; title price estimated | league_sim.py: full-schedule + real playoff bracket Monte Carlo, ratings fitted to Kalshi</t>
        </is>
      </c>
      <c r="S33" t="inlineStr">
        <is>
          <t>2026-10-08</t>
        </is>
      </c>
      <c r="T33" t="inlineStr">
        <is>
          <t>A</t>
        </is>
      </c>
      <c r="U33" t="inlineStr">
        <is>
          <t>[sim: playoffs 16%, rd2 5%, conf final 2%]</t>
        </is>
      </c>
      <c r="X33" s="16" t="inlineStr">
        <is>
          <t>Molmen</t>
        </is>
      </c>
      <c r="Y33">
        <f>N33-IF(T33="C",Assumptions!$B$27,IF(T33="B",Assumptions!$B$26,0))</f>
        <v/>
      </c>
    </row>
    <row r="34">
      <c r="A34" t="inlineStr">
        <is>
          <t>Sacramento Kings</t>
        </is>
      </c>
      <c r="B34" t="inlineStr">
        <is>
          <t>West; win total 21.5</t>
        </is>
      </c>
      <c r="D34" t="n">
        <v>0.0005</v>
      </c>
      <c r="E34" t="n">
        <v>0.0025</v>
      </c>
      <c r="F34" t="n">
        <v>0.0101</v>
      </c>
      <c r="G34" t="n">
        <v>0.0386</v>
      </c>
      <c r="H34" t="n">
        <v>0.1388</v>
      </c>
      <c r="I34" t="n">
        <v>0.4285</v>
      </c>
      <c r="J34" t="n">
        <v>0.0547</v>
      </c>
      <c r="K34" t="n">
        <v>2.083</v>
      </c>
      <c r="L34">
        <f>Assumptions!$B$3*D34+Assumptions!$C$3*(E34-D34)+Assumptions!$D$3*(F34-E34)+Assumptions!$E$3*(G34-F34)+Assumptions!$F$3*(H34-G34)</f>
        <v/>
      </c>
      <c r="M34">
        <f>K34+MIN(L34,Assumptions!$H$3)</f>
        <v/>
      </c>
      <c r="N34">
        <f>M34-Assumptions!$I$3</f>
        <v/>
      </c>
      <c r="O34">
        <f>N34-Assumptions!$B$25*Q34</f>
        <v/>
      </c>
      <c r="P34" t="n">
        <v>4</v>
      </c>
      <c r="Q34" t="n">
        <v>1.797</v>
      </c>
      <c r="R34" t="inlineStr">
        <is>
          <t>BetMGM win total; title price estimated | league_sim.py: full-schedule + real playoff bracket Monte Carlo, ratings fitted to Kalshi</t>
        </is>
      </c>
      <c r="S34" t="inlineStr">
        <is>
          <t>2026-10-08</t>
        </is>
      </c>
      <c r="T34" t="inlineStr">
        <is>
          <t>A</t>
        </is>
      </c>
      <c r="U34" t="inlineStr">
        <is>
          <t>[sim: playoffs 14%, rd2 4%, conf final 1%]</t>
        </is>
      </c>
      <c r="Y34">
        <f>N34-IF(T34="C",Assumptions!$B$27,IF(T34="B",Assumptions!$B$26,0))</f>
        <v/>
      </c>
    </row>
    <row r="36">
      <c r="A36" s="8" t="inlineStr">
        <is>
          <t>Replacement-level EV (Nth best)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3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36" customWidth="1" min="2" max="2"/>
    <col width="22" customWidth="1" min="3" max="3"/>
    <col width="11" customWidth="1" min="4" max="4"/>
    <col width="11" customWidth="1" min="5" max="5"/>
    <col width="11" customWidth="1" min="6" max="6"/>
    <col width="11" customWidth="1" min="7" max="7"/>
    <col width="11" customWidth="1" min="8" max="8"/>
    <col width="9" customWidth="1" min="9" max="9"/>
    <col width="9" customWidth="1" min="10" max="10"/>
    <col width="11" customWidth="1" min="11" max="11"/>
    <col width="10" customWidth="1" min="12" max="12"/>
    <col width="10" customWidth="1" min="13" max="13"/>
    <col width="9" customWidth="1" min="14" max="14"/>
    <col width="11" customWidth="1" min="15" max="15"/>
    <col width="6" customWidth="1" min="16" max="16"/>
    <col width="9" customWidth="1" min="17" max="17"/>
    <col width="38" customWidth="1" min="18" max="18"/>
    <col width="11" customWidth="1" min="19" max="19"/>
    <col width="6" customWidth="1" min="20" max="20"/>
    <col width="60" customWidth="1" min="21" max="21"/>
    <col width="12" customWidth="1" min="22" max="22"/>
    <col width="9" customWidth="1" min="23" max="23"/>
    <col width="11" customWidth="1" min="24" max="24"/>
    <col width="11" customWidth="1" min="25" max="25"/>
  </cols>
  <sheetData>
    <row r="1">
      <c r="A1" s="18" t="inlineStr">
        <is>
          <t>MLB — 2027 draft research (EV model; see README)</t>
        </is>
      </c>
    </row>
    <row r="2">
      <c r="A2" t="inlineStr">
        <is>
          <t>As of 2026-10-22. Sorted by E[total]. Yellow = inferred / low-confidence (C).</t>
        </is>
      </c>
    </row>
    <row r="4">
      <c r="A4" s="7" t="inlineStr">
        <is>
          <t>Candidate</t>
        </is>
      </c>
      <c r="B4" s="7" t="inlineStr">
        <is>
          <t>Detail</t>
        </is>
      </c>
      <c r="C4" s="7" t="inlineStr">
        <is>
          <t>Odds / price</t>
        </is>
      </c>
      <c r="D4" s="7" t="inlineStr">
        <is>
          <t>p(champ)</t>
        </is>
      </c>
      <c r="E4" s="7" t="inlineStr">
        <is>
          <t>p(final)</t>
        </is>
      </c>
      <c r="F4" s="7" t="inlineStr">
        <is>
          <t>p(semi)</t>
        </is>
      </c>
      <c r="G4" s="7" t="inlineStr">
        <is>
          <t>p(quarter)</t>
        </is>
      </c>
      <c r="H4" s="7" t="inlineStr">
        <is>
          <t>p(rd 1)</t>
        </is>
      </c>
      <c r="I4" s="7" t="inlineStr">
        <is>
          <t>mu</t>
        </is>
      </c>
      <c r="J4" s="7" t="inlineStr">
        <is>
          <t>sd</t>
        </is>
      </c>
      <c r="K4" s="7" t="inlineStr">
        <is>
          <t>E[rank pts] (MC)</t>
        </is>
      </c>
      <c r="L4" s="7" t="inlineStr">
        <is>
          <t>E[bonus]</t>
        </is>
      </c>
      <c r="M4" s="7" t="inlineStr">
        <is>
          <t>E[total]</t>
        </is>
      </c>
      <c r="N4" s="7" t="inlineStr">
        <is>
          <t>VOR</t>
        </is>
      </c>
      <c r="O4" s="7" t="inlineStr">
        <is>
          <t>Risk-adj VOR</t>
        </is>
      </c>
      <c r="P4" s="7" t="inlineStr">
        <is>
          <t>Tier</t>
        </is>
      </c>
      <c r="Q4" s="7" t="inlineStr">
        <is>
          <t>SD rank pts</t>
        </is>
      </c>
      <c r="R4" s="7" t="inlineStr">
        <is>
          <t>Source</t>
        </is>
      </c>
      <c r="S4" s="7" t="inlineStr">
        <is>
          <t>As of</t>
        </is>
      </c>
      <c r="T4" s="7" t="inlineStr">
        <is>
          <t>Conf</t>
        </is>
      </c>
      <c r="U4" s="7" t="inlineStr">
        <is>
          <t>Notes</t>
        </is>
      </c>
      <c r="V4" s="7" t="inlineStr">
        <is>
          <t>Field draft score</t>
        </is>
      </c>
      <c r="W4" s="7" t="inlineStr">
        <is>
          <t>Field rank</t>
        </is>
      </c>
      <c r="X4" s="7" t="inlineStr">
        <is>
          <t>Owner</t>
        </is>
      </c>
      <c r="Y4" s="7" t="inlineStr">
        <is>
          <t>Conf-adj VOR</t>
        </is>
      </c>
    </row>
    <row r="5">
      <c r="A5" s="9" t="inlineStr">
        <is>
          <t>Los Angeles Dodgers</t>
        </is>
      </c>
      <c r="B5" t="inlineStr">
        <is>
          <t>2026: 100-62 (.6173)</t>
        </is>
      </c>
      <c r="D5" t="n">
        <v>0.0902</v>
      </c>
      <c r="E5" t="n">
        <v>0.1804</v>
      </c>
      <c r="F5" t="n">
        <v>0.3608</v>
      </c>
      <c r="G5" t="n">
        <v>0.7216</v>
      </c>
      <c r="H5" t="n">
        <v>0.97</v>
      </c>
      <c r="I5" t="n">
        <v>0.54</v>
      </c>
      <c r="J5" t="n">
        <v>0.1</v>
      </c>
      <c r="K5" t="n">
        <v>7.524</v>
      </c>
      <c r="L5">
        <f>Assumptions!$B$4*D5+Assumptions!$C$4*(E5-D5)+Assumptions!$D$4*(F5-E5)+Assumptions!$E$4*(G5-F5)+Assumptions!$F$4*(H5-G5)</f>
        <v/>
      </c>
      <c r="M5">
        <f>K5+MIN(L5,Assumptions!$H$4)</f>
        <v/>
      </c>
      <c r="N5">
        <f>M5-Assumptions!$I$4</f>
        <v/>
      </c>
      <c r="O5">
        <f>N5-Assumptions!$B$25*Q5</f>
        <v/>
      </c>
      <c r="P5" t="n">
        <v>1</v>
      </c>
      <c r="Q5" t="n">
        <v>3.676</v>
      </c>
      <c r="R5" t="inlineStr">
        <is>
          <t>2026 win% from league standings (A); title prob = model estimate — no 2027 World Series odds posted</t>
        </is>
      </c>
      <c r="S5" t="inlineStr">
        <is>
          <t>2026-10-08</t>
        </is>
      </c>
      <c r="T5" s="9" t="inlineStr">
        <is>
          <t>C</t>
        </is>
      </c>
      <c r="U5" t="inlineStr">
        <is>
          <t>2026 playoffs still in progress [v2 certainty adj: sd x2.0, mu shrink 50%, p shrink 50%]</t>
        </is>
      </c>
      <c r="X5" s="16" t="inlineStr">
        <is>
          <t>Wu</t>
        </is>
      </c>
      <c r="Y5">
        <f>N5-IF(T5="C",Assumptions!$B$27,IF(T5="B",Assumptions!$B$26,0))</f>
        <v/>
      </c>
    </row>
    <row r="6">
      <c r="A6" s="9" t="inlineStr">
        <is>
          <t>Milwaukee Brewers</t>
        </is>
      </c>
      <c r="B6" t="inlineStr">
        <is>
          <t>2026: 103-59 (.6358)</t>
        </is>
      </c>
      <c r="D6" t="n">
        <v>0.0559</v>
      </c>
      <c r="E6" t="n">
        <v>0.1118</v>
      </c>
      <c r="F6" t="n">
        <v>0.2236</v>
      </c>
      <c r="G6" t="n">
        <v>0.4472</v>
      </c>
      <c r="H6" t="n">
        <v>0.8944</v>
      </c>
      <c r="I6" t="n">
        <v>0.5442</v>
      </c>
      <c r="J6" t="n">
        <v>0.1</v>
      </c>
      <c r="K6" t="n">
        <v>7.601</v>
      </c>
      <c r="L6">
        <f>Assumptions!$B$4*D6+Assumptions!$C$4*(E6-D6)+Assumptions!$D$4*(F6-E6)+Assumptions!$E$4*(G6-F6)+Assumptions!$F$4*(H6-G6)</f>
        <v/>
      </c>
      <c r="M6">
        <f>K6+MIN(L6,Assumptions!$H$4)</f>
        <v/>
      </c>
      <c r="N6">
        <f>M6-Assumptions!$I$4</f>
        <v/>
      </c>
      <c r="O6">
        <f>N6-Assumptions!$B$25*Q6</f>
        <v/>
      </c>
      <c r="P6" t="n">
        <v>1</v>
      </c>
      <c r="Q6" t="n">
        <v>3.719</v>
      </c>
      <c r="R6" t="inlineStr">
        <is>
          <t>2026 win% from league standings (A); title prob = model estimate — no 2027 World Series odds posted</t>
        </is>
      </c>
      <c r="S6" t="inlineStr">
        <is>
          <t>2026-10-08</t>
        </is>
      </c>
      <c r="T6" s="9" t="inlineStr">
        <is>
          <t>C</t>
        </is>
      </c>
      <c r="U6" t="inlineStr">
        <is>
          <t>2026 playoffs still in progress [v2 certainty adj: sd x2.0, mu shrink 50%, p shrink 50%]</t>
        </is>
      </c>
      <c r="X6" s="16" t="inlineStr">
        <is>
          <t>Buckley</t>
        </is>
      </c>
      <c r="Y6">
        <f>N6-IF(T6="C",Assumptions!$B$27,IF(T6="B",Assumptions!$B$26,0))</f>
        <v/>
      </c>
    </row>
    <row r="7">
      <c r="A7" s="9" t="inlineStr">
        <is>
          <t>New York Yankees</t>
        </is>
      </c>
      <c r="B7" t="inlineStr">
        <is>
          <t>2026: 94-68 (.5776)</t>
        </is>
      </c>
      <c r="D7" t="n">
        <v>0.0559</v>
      </c>
      <c r="E7" t="n">
        <v>0.1118</v>
      </c>
      <c r="F7" t="n">
        <v>0.2236</v>
      </c>
      <c r="G7" t="n">
        <v>0.4472</v>
      </c>
      <c r="H7" t="n">
        <v>0.8944</v>
      </c>
      <c r="I7" t="n">
        <v>0.5311</v>
      </c>
      <c r="J7" t="n">
        <v>0.1</v>
      </c>
      <c r="K7" t="n">
        <v>7.183</v>
      </c>
      <c r="L7">
        <f>Assumptions!$B$4*D7+Assumptions!$C$4*(E7-D7)+Assumptions!$D$4*(F7-E7)+Assumptions!$E$4*(G7-F7)+Assumptions!$F$4*(H7-G7)</f>
        <v/>
      </c>
      <c r="M7">
        <f>K7+MIN(L7,Assumptions!$H$4)</f>
        <v/>
      </c>
      <c r="N7">
        <f>M7-Assumptions!$I$4</f>
        <v/>
      </c>
      <c r="O7">
        <f>N7-Assumptions!$B$25*Q7</f>
        <v/>
      </c>
      <c r="P7" t="n">
        <v>1</v>
      </c>
      <c r="Q7" t="n">
        <v>3.758</v>
      </c>
      <c r="R7" t="inlineStr">
        <is>
          <t>2026 win% from league standings (A); title prob = model estimate — no 2027 World Series odds posted</t>
        </is>
      </c>
      <c r="S7" t="inlineStr">
        <is>
          <t>2026-10-08</t>
        </is>
      </c>
      <c r="T7" s="9" t="inlineStr">
        <is>
          <t>C</t>
        </is>
      </c>
      <c r="U7" t="inlineStr">
        <is>
          <t>2026 playoffs still in progress [v2 certainty adj: sd x2.0, mu shrink 50%, p shrink 50%]</t>
        </is>
      </c>
      <c r="X7" s="16" t="inlineStr">
        <is>
          <t>Jens</t>
        </is>
      </c>
      <c r="Y7">
        <f>N7-IF(T7="C",Assumptions!$B$27,IF(T7="B",Assumptions!$B$26,0))</f>
        <v/>
      </c>
    </row>
    <row r="8">
      <c r="A8" s="17" t="inlineStr">
        <is>
          <t>Atlanta Braves</t>
        </is>
      </c>
      <c r="B8" t="inlineStr">
        <is>
          <t>2026: 94-68 (.5802)</t>
        </is>
      </c>
      <c r="D8" t="n">
        <v>0.0485</v>
      </c>
      <c r="E8" t="n">
        <v>0.097</v>
      </c>
      <c r="F8" t="n">
        <v>0.194</v>
      </c>
      <c r="G8" t="n">
        <v>0.388</v>
      </c>
      <c r="H8" t="n">
        <v>0.776</v>
      </c>
      <c r="I8" t="n">
        <v>0.5317</v>
      </c>
      <c r="J8" t="n">
        <v>0.1</v>
      </c>
      <c r="K8" t="n">
        <v>7.106</v>
      </c>
      <c r="L8">
        <f>Assumptions!$B$4*D8+Assumptions!$C$4*(E8-D8)+Assumptions!$D$4*(F8-E8)+Assumptions!$E$4*(G8-F8)+Assumptions!$F$4*(H8-G8)</f>
        <v/>
      </c>
      <c r="M8">
        <f>K8+MIN(L8,Assumptions!$H$4)</f>
        <v/>
      </c>
      <c r="N8">
        <f>M8-Assumptions!$I$4</f>
        <v/>
      </c>
      <c r="O8">
        <f>N8-Assumptions!$B$25*Q8</f>
        <v/>
      </c>
      <c r="P8" t="n">
        <v>2</v>
      </c>
      <c r="Q8" t="n">
        <v>3.73</v>
      </c>
      <c r="R8" t="inlineStr">
        <is>
          <t>2026 win% from league standings (A); title prob = model estimate — no 2027 World Series odds posted</t>
        </is>
      </c>
      <c r="S8" t="inlineStr">
        <is>
          <t>2026-10-08</t>
        </is>
      </c>
      <c r="T8" s="9" t="inlineStr">
        <is>
          <t>C</t>
        </is>
      </c>
      <c r="U8" t="inlineStr">
        <is>
          <t>2026 playoffs still in progress [v2 certainty adj: sd x2.0, mu shrink 50%, p shrink 50%]</t>
        </is>
      </c>
      <c r="X8" s="16" t="inlineStr">
        <is>
          <t>Todd</t>
        </is>
      </c>
      <c r="Y8">
        <f>N8-IF(T8="C",Assumptions!$B$27,IF(T8="B",Assumptions!$B$26,0))</f>
        <v/>
      </c>
    </row>
    <row r="9">
      <c r="A9" s="17" t="inlineStr">
        <is>
          <t>Tampa Bay Rays</t>
        </is>
      </c>
      <c r="B9" t="inlineStr">
        <is>
          <t>2026: 98-64 (.6049)</t>
        </is>
      </c>
      <c r="D9" t="n">
        <v>0.0436</v>
      </c>
      <c r="E9" t="n">
        <v>0.0872</v>
      </c>
      <c r="F9" t="n">
        <v>0.1744</v>
      </c>
      <c r="G9" t="n">
        <v>0.3488</v>
      </c>
      <c r="H9" t="n">
        <v>0.6976</v>
      </c>
      <c r="I9" t="n">
        <v>0.5372</v>
      </c>
      <c r="J9" t="n">
        <v>0.1</v>
      </c>
      <c r="K9" t="n">
        <v>7.329</v>
      </c>
      <c r="L9">
        <f>Assumptions!$B$4*D9+Assumptions!$C$4*(E9-D9)+Assumptions!$D$4*(F9-E9)+Assumptions!$E$4*(G9-F9)+Assumptions!$F$4*(H9-G9)</f>
        <v/>
      </c>
      <c r="M9">
        <f>K9+MIN(L9,Assumptions!$H$4)</f>
        <v/>
      </c>
      <c r="N9">
        <f>M9-Assumptions!$I$4</f>
        <v/>
      </c>
      <c r="O9">
        <f>N9-Assumptions!$B$25*Q9</f>
        <v/>
      </c>
      <c r="P9" t="n">
        <v>2</v>
      </c>
      <c r="Q9" t="n">
        <v>3.704</v>
      </c>
      <c r="R9" t="inlineStr">
        <is>
          <t>2026 win% from league standings (A); title prob = model estimate — no 2027 World Series odds posted</t>
        </is>
      </c>
      <c r="S9" t="inlineStr">
        <is>
          <t>2026-10-08</t>
        </is>
      </c>
      <c r="T9" s="9" t="inlineStr">
        <is>
          <t>C</t>
        </is>
      </c>
      <c r="U9" t="inlineStr">
        <is>
          <t>2026 playoffs still in progress [v2 certainty adj: sd x2.0, mu shrink 50%, p shrink 50%]</t>
        </is>
      </c>
      <c r="Y9">
        <f>N9-IF(T9="C",Assumptions!$B$27,IF(T9="B",Assumptions!$B$26,0))</f>
        <v/>
      </c>
    </row>
    <row r="10">
      <c r="A10" s="17" t="inlineStr">
        <is>
          <t>Chicago Cubs</t>
        </is>
      </c>
      <c r="B10" t="inlineStr">
        <is>
          <t>2026: 89-73 (.5494)</t>
        </is>
      </c>
      <c r="D10" t="n">
        <v>0.0412</v>
      </c>
      <c r="E10" t="n">
        <v>0.0824</v>
      </c>
      <c r="F10" t="n">
        <v>0.1648</v>
      </c>
      <c r="G10" t="n">
        <v>0.3296</v>
      </c>
      <c r="H10" t="n">
        <v>0.6592</v>
      </c>
      <c r="I10" t="n">
        <v>0.5247000000000001</v>
      </c>
      <c r="J10" t="n">
        <v>0.1</v>
      </c>
      <c r="K10" t="n">
        <v>6.979</v>
      </c>
      <c r="L10">
        <f>Assumptions!$B$4*D10+Assumptions!$C$4*(E10-D10)+Assumptions!$D$4*(F10-E10)+Assumptions!$E$4*(G10-F10)+Assumptions!$F$4*(H10-G10)</f>
        <v/>
      </c>
      <c r="M10">
        <f>K10+MIN(L10,Assumptions!$H$4)</f>
        <v/>
      </c>
      <c r="N10">
        <f>M10-Assumptions!$I$4</f>
        <v/>
      </c>
      <c r="O10">
        <f>N10-Assumptions!$B$25*Q10</f>
        <v/>
      </c>
      <c r="P10" t="n">
        <v>2</v>
      </c>
      <c r="Q10" t="n">
        <v>3.728</v>
      </c>
      <c r="R10" t="inlineStr">
        <is>
          <t>2026 win% from league standings (A); title prob = model estimate — no 2027 World Series odds posted</t>
        </is>
      </c>
      <c r="S10" t="inlineStr">
        <is>
          <t>2026-10-08</t>
        </is>
      </c>
      <c r="T10" s="9" t="inlineStr">
        <is>
          <t>C</t>
        </is>
      </c>
      <c r="U10" t="inlineStr">
        <is>
          <t>2026 playoffs still in progress [v2 certainty adj: sd x2.0, mu shrink 50%, p shrink 50%]</t>
        </is>
      </c>
      <c r="X10" s="16" t="inlineStr">
        <is>
          <t>Tim</t>
        </is>
      </c>
      <c r="Y10">
        <f>N10-IF(T10="C",Assumptions!$B$27,IF(T10="B",Assumptions!$B$26,0))</f>
        <v/>
      </c>
    </row>
    <row r="11">
      <c r="A11" s="17" t="inlineStr">
        <is>
          <t>San Diego Padres</t>
        </is>
      </c>
      <c r="B11" t="inlineStr">
        <is>
          <t>2026: 91-71 (.5617)</t>
        </is>
      </c>
      <c r="D11" t="n">
        <v>0.0412</v>
      </c>
      <c r="E11" t="n">
        <v>0.0824</v>
      </c>
      <c r="F11" t="n">
        <v>0.1648</v>
      </c>
      <c r="G11" t="n">
        <v>0.3296</v>
      </c>
      <c r="H11" t="n">
        <v>0.6592</v>
      </c>
      <c r="I11" t="n">
        <v>0.5275</v>
      </c>
      <c r="J11" t="n">
        <v>0.1</v>
      </c>
      <c r="K11" t="n">
        <v>6.97</v>
      </c>
      <c r="L11">
        <f>Assumptions!$B$4*D11+Assumptions!$C$4*(E11-D11)+Assumptions!$D$4*(F11-E11)+Assumptions!$E$4*(G11-F11)+Assumptions!$F$4*(H11-G11)</f>
        <v/>
      </c>
      <c r="M11">
        <f>K11+MIN(L11,Assumptions!$H$4)</f>
        <v/>
      </c>
      <c r="N11">
        <f>M11-Assumptions!$I$4</f>
        <v/>
      </c>
      <c r="O11">
        <f>N11-Assumptions!$B$25*Q11</f>
        <v/>
      </c>
      <c r="P11" t="n">
        <v>2</v>
      </c>
      <c r="Q11" t="n">
        <v>3.741</v>
      </c>
      <c r="R11" t="inlineStr">
        <is>
          <t>2026 win% from league standings (A); title prob = model estimate — no 2027 World Series odds posted</t>
        </is>
      </c>
      <c r="S11" t="inlineStr">
        <is>
          <t>2026-10-08</t>
        </is>
      </c>
      <c r="T11" s="9" t="inlineStr">
        <is>
          <t>C</t>
        </is>
      </c>
      <c r="U11" t="inlineStr">
        <is>
          <t>2026 playoffs still in progress [v2 certainty adj: sd x2.0, mu shrink 50%, p shrink 50%]</t>
        </is>
      </c>
      <c r="X11" s="16" t="inlineStr">
        <is>
          <t>Theo</t>
        </is>
      </c>
      <c r="Y11">
        <f>N11-IF(T11="C",Assumptions!$B$27,IF(T11="B",Assumptions!$B$26,0))</f>
        <v/>
      </c>
    </row>
    <row r="12">
      <c r="A12" s="19" t="inlineStr">
        <is>
          <t>Philadelphia Phillies</t>
        </is>
      </c>
      <c r="B12" t="inlineStr">
        <is>
          <t>2026: 88-74 (.5432)</t>
        </is>
      </c>
      <c r="D12" t="n">
        <v>0.0412</v>
      </c>
      <c r="E12" t="n">
        <v>0.0824</v>
      </c>
      <c r="F12" t="n">
        <v>0.1648</v>
      </c>
      <c r="G12" t="n">
        <v>0.3296</v>
      </c>
      <c r="H12" t="n">
        <v>0.6592</v>
      </c>
      <c r="I12" t="n">
        <v>0.5233</v>
      </c>
      <c r="J12" t="n">
        <v>0.1</v>
      </c>
      <c r="K12" t="n">
        <v>6.929</v>
      </c>
      <c r="L12">
        <f>Assumptions!$B$4*D12+Assumptions!$C$4*(E12-D12)+Assumptions!$D$4*(F12-E12)+Assumptions!$E$4*(G12-F12)+Assumptions!$F$4*(H12-G12)</f>
        <v/>
      </c>
      <c r="M12">
        <f>K12+MIN(L12,Assumptions!$H$4)</f>
        <v/>
      </c>
      <c r="N12">
        <f>M12-Assumptions!$I$4</f>
        <v/>
      </c>
      <c r="O12">
        <f>N12-Assumptions!$B$25*Q12</f>
        <v/>
      </c>
      <c r="P12" t="n">
        <v>3</v>
      </c>
      <c r="Q12" t="n">
        <v>3.76</v>
      </c>
      <c r="R12" t="inlineStr">
        <is>
          <t>2026 win% from league standings (A); title prob = model estimate — no 2027 World Series odds posted</t>
        </is>
      </c>
      <c r="S12" t="inlineStr">
        <is>
          <t>2026-10-08</t>
        </is>
      </c>
      <c r="T12" s="9" t="inlineStr">
        <is>
          <t>C</t>
        </is>
      </c>
      <c r="U12" t="inlineStr">
        <is>
          <t>2026 playoffs still in progress [v2 certainty adj: sd x2.0, mu shrink 50%, p shrink 50%]</t>
        </is>
      </c>
      <c r="X12" s="16" t="inlineStr">
        <is>
          <t>Mitchell</t>
        </is>
      </c>
      <c r="Y12">
        <f>N12-IF(T12="C",Assumptions!$B$27,IF(T12="B",Assumptions!$B$26,0))</f>
        <v/>
      </c>
    </row>
    <row r="13">
      <c r="A13" s="19" t="inlineStr">
        <is>
          <t>Boston Red Sox</t>
        </is>
      </c>
      <c r="B13" t="inlineStr">
        <is>
          <t>2026: 87-75 (.5370)</t>
        </is>
      </c>
      <c r="D13" t="n">
        <v>0.0387</v>
      </c>
      <c r="E13" t="n">
        <v>0.0774</v>
      </c>
      <c r="F13" t="n">
        <v>0.1548</v>
      </c>
      <c r="G13" t="n">
        <v>0.3096</v>
      </c>
      <c r="H13" t="n">
        <v>0.6192</v>
      </c>
      <c r="I13" t="n">
        <v>0.522</v>
      </c>
      <c r="J13" t="n">
        <v>0.1</v>
      </c>
      <c r="K13" t="n">
        <v>6.821</v>
      </c>
      <c r="L13">
        <f>Assumptions!$B$4*D13+Assumptions!$C$4*(E13-D13)+Assumptions!$D$4*(F13-E13)+Assumptions!$E$4*(G13-F13)+Assumptions!$F$4*(H13-G13)</f>
        <v/>
      </c>
      <c r="M13">
        <f>K13+MIN(L13,Assumptions!$H$4)</f>
        <v/>
      </c>
      <c r="N13">
        <f>M13-Assumptions!$I$4</f>
        <v/>
      </c>
      <c r="O13">
        <f>N13-Assumptions!$B$25*Q13</f>
        <v/>
      </c>
      <c r="P13" t="n">
        <v>3</v>
      </c>
      <c r="Q13" t="n">
        <v>3.746</v>
      </c>
      <c r="R13" t="inlineStr">
        <is>
          <t>2026 win% from league standings (A); title prob = model estimate — no 2027 World Series odds posted</t>
        </is>
      </c>
      <c r="S13" t="inlineStr">
        <is>
          <t>2026-10-08</t>
        </is>
      </c>
      <c r="T13" s="9" t="inlineStr">
        <is>
          <t>C</t>
        </is>
      </c>
      <c r="U13" t="inlineStr">
        <is>
          <t>2026 playoffs still in progress [v2 certainty adj: sd x2.0, mu shrink 50%, p shrink 50%]</t>
        </is>
      </c>
      <c r="Y13">
        <f>N13-IF(T13="C",Assumptions!$B$27,IF(T13="B",Assumptions!$B$26,0))</f>
        <v/>
      </c>
    </row>
    <row r="14">
      <c r="A14" s="19" t="inlineStr">
        <is>
          <t>Arizona Diamondbacks</t>
        </is>
      </c>
      <c r="B14" t="inlineStr">
        <is>
          <t>2026: 86-76 (.5309)</t>
        </is>
      </c>
      <c r="D14" t="n">
        <v>0.0314</v>
      </c>
      <c r="E14" t="n">
        <v>0.06279999999999999</v>
      </c>
      <c r="F14" t="n">
        <v>0.1256</v>
      </c>
      <c r="G14" t="n">
        <v>0.2512</v>
      </c>
      <c r="H14" t="n">
        <v>0.5024</v>
      </c>
      <c r="I14" t="n">
        <v>0.5206</v>
      </c>
      <c r="J14" t="n">
        <v>0.1</v>
      </c>
      <c r="K14" t="n">
        <v>6.766</v>
      </c>
      <c r="L14">
        <f>Assumptions!$B$4*D14+Assumptions!$C$4*(E14-D14)+Assumptions!$D$4*(F14-E14)+Assumptions!$E$4*(G14-F14)+Assumptions!$F$4*(H14-G14)</f>
        <v/>
      </c>
      <c r="M14">
        <f>K14+MIN(L14,Assumptions!$H$4)</f>
        <v/>
      </c>
      <c r="N14">
        <f>M14-Assumptions!$I$4</f>
        <v/>
      </c>
      <c r="O14">
        <f>N14-Assumptions!$B$25*Q14</f>
        <v/>
      </c>
      <c r="P14" t="n">
        <v>3</v>
      </c>
      <c r="Q14" t="n">
        <v>3.726</v>
      </c>
      <c r="R14" t="inlineStr">
        <is>
          <t>2026 win% from league standings (A); title prob = model estimate — no 2027 World Series odds posted</t>
        </is>
      </c>
      <c r="S14" t="inlineStr">
        <is>
          <t>2026-10-08</t>
        </is>
      </c>
      <c r="T14" s="9" t="inlineStr">
        <is>
          <t>C</t>
        </is>
      </c>
      <c r="U14" t="inlineStr">
        <is>
          <t>2026 playoffs still in progress [v2 certainty adj: sd x2.0, mu shrink 50%, p shrink 50%]</t>
        </is>
      </c>
      <c r="Y14">
        <f>N14-IF(T14="C",Assumptions!$B$27,IF(T14="B",Assumptions!$B$26,0))</f>
        <v/>
      </c>
    </row>
    <row r="15">
      <c r="A15" s="19" t="inlineStr">
        <is>
          <t>Cleveland Guardians</t>
        </is>
      </c>
      <c r="B15" t="inlineStr">
        <is>
          <t>2026: 85-77 (.5247)</t>
        </is>
      </c>
      <c r="D15" t="n">
        <v>0.0289</v>
      </c>
      <c r="E15" t="n">
        <v>0.0578</v>
      </c>
      <c r="F15" t="n">
        <v>0.1156</v>
      </c>
      <c r="G15" t="n">
        <v>0.2312</v>
      </c>
      <c r="H15" t="n">
        <v>0.4624</v>
      </c>
      <c r="I15" t="n">
        <v>0.5192</v>
      </c>
      <c r="J15" t="n">
        <v>0.1</v>
      </c>
      <c r="K15" t="n">
        <v>6.718</v>
      </c>
      <c r="L15">
        <f>Assumptions!$B$4*D15+Assumptions!$C$4*(E15-D15)+Assumptions!$D$4*(F15-E15)+Assumptions!$E$4*(G15-F15)+Assumptions!$F$4*(H15-G15)</f>
        <v/>
      </c>
      <c r="M15">
        <f>K15+MIN(L15,Assumptions!$H$4)</f>
        <v/>
      </c>
      <c r="N15">
        <f>M15-Assumptions!$I$4</f>
        <v/>
      </c>
      <c r="O15">
        <f>N15-Assumptions!$B$25*Q15</f>
        <v/>
      </c>
      <c r="P15" t="n">
        <v>3</v>
      </c>
      <c r="Q15" t="n">
        <v>3.723</v>
      </c>
      <c r="R15" t="inlineStr">
        <is>
          <t>2026 win% from league standings (A); title prob = model estimate — no 2027 World Series odds posted</t>
        </is>
      </c>
      <c r="S15" t="inlineStr">
        <is>
          <t>2026-10-08</t>
        </is>
      </c>
      <c r="T15" s="9" t="inlineStr">
        <is>
          <t>C</t>
        </is>
      </c>
      <c r="U15" t="inlineStr">
        <is>
          <t>2026 playoffs still in progress [v2 certainty adj: sd x2.0, mu shrink 50%, p shrink 50%]</t>
        </is>
      </c>
      <c r="X15" s="16" t="inlineStr">
        <is>
          <t>Fryar</t>
        </is>
      </c>
      <c r="Y15">
        <f>N15-IF(T15="C",Assumptions!$B$27,IF(T15="B",Assumptions!$B$26,0))</f>
        <v/>
      </c>
    </row>
    <row r="16">
      <c r="A16" s="19" t="inlineStr">
        <is>
          <t>Pittsburgh Pirates</t>
        </is>
      </c>
      <c r="B16" t="inlineStr">
        <is>
          <t>2026: 82-80 (.5062)</t>
        </is>
      </c>
      <c r="D16" t="n">
        <v>0.0314</v>
      </c>
      <c r="E16" t="n">
        <v>0.06279999999999999</v>
      </c>
      <c r="F16" t="n">
        <v>0.1256</v>
      </c>
      <c r="G16" t="n">
        <v>0.2512</v>
      </c>
      <c r="H16" t="n">
        <v>0.5024</v>
      </c>
      <c r="I16" t="n">
        <v>0.515</v>
      </c>
      <c r="J16" t="n">
        <v>0.1</v>
      </c>
      <c r="K16" t="n">
        <v>6.536</v>
      </c>
      <c r="L16">
        <f>Assumptions!$B$4*D16+Assumptions!$C$4*(E16-D16)+Assumptions!$D$4*(F16-E16)+Assumptions!$E$4*(G16-F16)+Assumptions!$F$4*(H16-G16)</f>
        <v/>
      </c>
      <c r="M16">
        <f>K16+MIN(L16,Assumptions!$H$4)</f>
        <v/>
      </c>
      <c r="N16">
        <f>M16-Assumptions!$I$4</f>
        <v/>
      </c>
      <c r="O16">
        <f>N16-Assumptions!$B$25*Q16</f>
        <v/>
      </c>
      <c r="P16" t="n">
        <v>3</v>
      </c>
      <c r="Q16" t="n">
        <v>3.702</v>
      </c>
      <c r="R16" t="inlineStr">
        <is>
          <t>2026 win% from league standings (A); title prob = model estimate — no 2027 World Series odds posted</t>
        </is>
      </c>
      <c r="S16" t="inlineStr">
        <is>
          <t>2026-10-08</t>
        </is>
      </c>
      <c r="T16" s="9" t="inlineStr">
        <is>
          <t>C</t>
        </is>
      </c>
      <c r="U16" t="inlineStr">
        <is>
          <t>2026 playoffs still in progress [v2 certainty adj: sd x2.0, mu shrink 50%, p shrink 50%]</t>
        </is>
      </c>
      <c r="Y16">
        <f>N16-IF(T16="C",Assumptions!$B$27,IF(T16="B",Assumptions!$B$26,0))</f>
        <v/>
      </c>
    </row>
    <row r="17">
      <c r="A17" s="19" t="inlineStr">
        <is>
          <t>Toronto Blue Jays</t>
        </is>
      </c>
      <c r="B17" t="inlineStr">
        <is>
          <t>2026: 79-83 (.4877)</t>
        </is>
      </c>
      <c r="D17" t="n">
        <v>0.0314</v>
      </c>
      <c r="E17" t="n">
        <v>0.06279999999999999</v>
      </c>
      <c r="F17" t="n">
        <v>0.1256</v>
      </c>
      <c r="G17" t="n">
        <v>0.2512</v>
      </c>
      <c r="H17" t="n">
        <v>0.5024</v>
      </c>
      <c r="I17" t="n">
        <v>0.5109</v>
      </c>
      <c r="J17" t="n">
        <v>0.1</v>
      </c>
      <c r="K17" t="n">
        <v>6.438</v>
      </c>
      <c r="L17">
        <f>Assumptions!$B$4*D17+Assumptions!$C$4*(E17-D17)+Assumptions!$D$4*(F17-E17)+Assumptions!$E$4*(G17-F17)+Assumptions!$F$4*(H17-G17)</f>
        <v/>
      </c>
      <c r="M17">
        <f>K17+MIN(L17,Assumptions!$H$4)</f>
        <v/>
      </c>
      <c r="N17">
        <f>M17-Assumptions!$I$4</f>
        <v/>
      </c>
      <c r="O17">
        <f>N17-Assumptions!$B$25*Q17</f>
        <v/>
      </c>
      <c r="P17" t="n">
        <v>3</v>
      </c>
      <c r="Q17" t="n">
        <v>3.715</v>
      </c>
      <c r="R17" t="inlineStr">
        <is>
          <t>2026 win% from league standings (A); title prob = model estimate — no 2027 World Series odds posted</t>
        </is>
      </c>
      <c r="S17" t="inlineStr">
        <is>
          <t>2026-10-08</t>
        </is>
      </c>
      <c r="T17" s="9" t="inlineStr">
        <is>
          <t>C</t>
        </is>
      </c>
      <c r="U17" t="inlineStr">
        <is>
          <t>2026 playoffs still in progress [v2 certainty adj: sd x2.0, mu shrink 50%, p shrink 50%]</t>
        </is>
      </c>
      <c r="X17" s="16" t="inlineStr">
        <is>
          <t>Korch</t>
        </is>
      </c>
      <c r="Y17">
        <f>N17-IF(T17="C",Assumptions!$B$27,IF(T17="B",Assumptions!$B$26,0))</f>
        <v/>
      </c>
    </row>
    <row r="18">
      <c r="A18" t="inlineStr">
        <is>
          <t>Baltimore Orioles</t>
        </is>
      </c>
      <c r="B18" t="inlineStr">
        <is>
          <t>2026: 79-83 (.4907)</t>
        </is>
      </c>
      <c r="D18" t="n">
        <v>0.0314</v>
      </c>
      <c r="E18" t="n">
        <v>0.06279999999999999</v>
      </c>
      <c r="F18" t="n">
        <v>0.1256</v>
      </c>
      <c r="G18" t="n">
        <v>0.2512</v>
      </c>
      <c r="H18" t="n">
        <v>0.5024</v>
      </c>
      <c r="I18" t="n">
        <v>0.5115</v>
      </c>
      <c r="J18" t="n">
        <v>0.1</v>
      </c>
      <c r="K18" t="n">
        <v>6.401</v>
      </c>
      <c r="L18">
        <f>Assumptions!$B$4*D18+Assumptions!$C$4*(E18-D18)+Assumptions!$D$4*(F18-E18)+Assumptions!$E$4*(G18-F18)+Assumptions!$F$4*(H18-G18)</f>
        <v/>
      </c>
      <c r="M18">
        <f>K18+MIN(L18,Assumptions!$H$4)</f>
        <v/>
      </c>
      <c r="N18">
        <f>M18-Assumptions!$I$4</f>
        <v/>
      </c>
      <c r="O18">
        <f>N18-Assumptions!$B$25*Q18</f>
        <v/>
      </c>
      <c r="P18" t="n">
        <v>4</v>
      </c>
      <c r="Q18" t="n">
        <v>3.735</v>
      </c>
      <c r="R18" t="inlineStr">
        <is>
          <t>2026 win% from league standings (A); title prob = model estimate — no 2027 World Series odds posted</t>
        </is>
      </c>
      <c r="S18" t="inlineStr">
        <is>
          <t>2026-10-08</t>
        </is>
      </c>
      <c r="T18" s="9" t="inlineStr">
        <is>
          <t>C</t>
        </is>
      </c>
      <c r="U18" t="inlineStr">
        <is>
          <t>2026 playoffs still in progress [v2 certainty adj: sd x2.0, mu shrink 50%, p shrink 50%]</t>
        </is>
      </c>
      <c r="Y18">
        <f>N18-IF(T18="C",Assumptions!$B$27,IF(T18="B",Assumptions!$B$26,0))</f>
        <v/>
      </c>
    </row>
    <row r="19">
      <c r="A19" t="inlineStr">
        <is>
          <t>New York Mets</t>
        </is>
      </c>
      <c r="B19" t="inlineStr">
        <is>
          <t>2026: 74-88 (.4568)</t>
        </is>
      </c>
      <c r="D19" t="n">
        <v>0.0338</v>
      </c>
      <c r="E19" t="n">
        <v>0.06759999999999999</v>
      </c>
      <c r="F19" t="n">
        <v>0.1352</v>
      </c>
      <c r="G19" t="n">
        <v>0.2704</v>
      </c>
      <c r="H19" t="n">
        <v>0.5407999999999999</v>
      </c>
      <c r="I19" t="n">
        <v>0.5039</v>
      </c>
      <c r="J19" t="n">
        <v>0.1</v>
      </c>
      <c r="K19" t="n">
        <v>6.225</v>
      </c>
      <c r="L19">
        <f>Assumptions!$B$4*D19+Assumptions!$C$4*(E19-D19)+Assumptions!$D$4*(F19-E19)+Assumptions!$E$4*(G19-F19)+Assumptions!$F$4*(H19-G19)</f>
        <v/>
      </c>
      <c r="M19">
        <f>K19+MIN(L19,Assumptions!$H$4)</f>
        <v/>
      </c>
      <c r="N19">
        <f>M19-Assumptions!$I$4</f>
        <v/>
      </c>
      <c r="O19">
        <f>N19-Assumptions!$B$25*Q19</f>
        <v/>
      </c>
      <c r="P19" t="n">
        <v>4</v>
      </c>
      <c r="Q19" t="n">
        <v>3.697</v>
      </c>
      <c r="R19" t="inlineStr">
        <is>
          <t>2026 win% from league standings (A); title prob = model estimate — no 2027 World Series odds posted</t>
        </is>
      </c>
      <c r="S19" t="inlineStr">
        <is>
          <t>2026-10-08</t>
        </is>
      </c>
      <c r="T19" s="9" t="inlineStr">
        <is>
          <t>C</t>
        </is>
      </c>
      <c r="U19" t="inlineStr">
        <is>
          <t>2026 playoffs still in progress [v2 certainty adj: sd x2.0, mu shrink 50%, p shrink 50%]</t>
        </is>
      </c>
      <c r="X19" s="16" t="inlineStr">
        <is>
          <t>Feder</t>
        </is>
      </c>
      <c r="Y19">
        <f>N19-IF(T19="C",Assumptions!$B$27,IF(T19="B",Assumptions!$B$26,0))</f>
        <v/>
      </c>
    </row>
    <row r="20">
      <c r="A20" t="inlineStr">
        <is>
          <t>Houston Astros</t>
        </is>
      </c>
      <c r="B20" t="inlineStr">
        <is>
          <t>2026: 81-81 (.5000)</t>
        </is>
      </c>
      <c r="D20" t="n">
        <v>0.0289</v>
      </c>
      <c r="E20" t="n">
        <v>0.0578</v>
      </c>
      <c r="F20" t="n">
        <v>0.1156</v>
      </c>
      <c r="G20" t="n">
        <v>0.2312</v>
      </c>
      <c r="H20" t="n">
        <v>0.4624</v>
      </c>
      <c r="I20" t="n">
        <v>0.5135999999999999</v>
      </c>
      <c r="J20" t="n">
        <v>0.1</v>
      </c>
      <c r="K20" t="n">
        <v>6.489</v>
      </c>
      <c r="L20">
        <f>Assumptions!$B$4*D20+Assumptions!$C$4*(E20-D20)+Assumptions!$D$4*(F20-E20)+Assumptions!$E$4*(G20-F20)+Assumptions!$F$4*(H20-G20)</f>
        <v/>
      </c>
      <c r="M20">
        <f>K20+MIN(L20,Assumptions!$H$4)</f>
        <v/>
      </c>
      <c r="N20">
        <f>M20-Assumptions!$I$4</f>
        <v/>
      </c>
      <c r="O20">
        <f>N20-Assumptions!$B$25*Q20</f>
        <v/>
      </c>
      <c r="P20" t="n">
        <v>4</v>
      </c>
      <c r="Q20" t="n">
        <v>3.691</v>
      </c>
      <c r="R20" t="inlineStr">
        <is>
          <t>2026 win% from league standings (A); title prob = model estimate — no 2027 World Series odds posted</t>
        </is>
      </c>
      <c r="S20" t="inlineStr">
        <is>
          <t>2026-10-08</t>
        </is>
      </c>
      <c r="T20" s="9" t="inlineStr">
        <is>
          <t>C</t>
        </is>
      </c>
      <c r="U20" t="inlineStr">
        <is>
          <t>2026 playoffs still in progress [v2 certainty adj: sd x2.0, mu shrink 50%, p shrink 50%]</t>
        </is>
      </c>
      <c r="X20" s="16" t="inlineStr">
        <is>
          <t>Shep</t>
        </is>
      </c>
      <c r="Y20">
        <f>N20-IF(T20="C",Assumptions!$B$27,IF(T20="B",Assumptions!$B$26,0))</f>
        <v/>
      </c>
    </row>
    <row r="21">
      <c r="A21" t="inlineStr">
        <is>
          <t>Chicago White Sox</t>
        </is>
      </c>
      <c r="B21" t="inlineStr">
        <is>
          <t>2026: 84-78 (.5185)</t>
        </is>
      </c>
      <c r="D21" t="n">
        <v>0.0265</v>
      </c>
      <c r="E21" t="n">
        <v>0.053</v>
      </c>
      <c r="F21" t="n">
        <v>0.106</v>
      </c>
      <c r="G21" t="n">
        <v>0.212</v>
      </c>
      <c r="H21" t="n">
        <v>0.424</v>
      </c>
      <c r="I21" t="n">
        <v>0.5178</v>
      </c>
      <c r="J21" t="n">
        <v>0.1</v>
      </c>
      <c r="K21" t="n">
        <v>6.657</v>
      </c>
      <c r="L21">
        <f>Assumptions!$B$4*D21+Assumptions!$C$4*(E21-D21)+Assumptions!$D$4*(F21-E21)+Assumptions!$E$4*(G21-F21)+Assumptions!$F$4*(H21-G21)</f>
        <v/>
      </c>
      <c r="M21">
        <f>K21+MIN(L21,Assumptions!$H$4)</f>
        <v/>
      </c>
      <c r="N21">
        <f>M21-Assumptions!$I$4</f>
        <v/>
      </c>
      <c r="O21">
        <f>N21-Assumptions!$B$25*Q21</f>
        <v/>
      </c>
      <c r="P21" t="n">
        <v>4</v>
      </c>
      <c r="Q21" t="n">
        <v>3.741</v>
      </c>
      <c r="R21" t="inlineStr">
        <is>
          <t>2026 win% from league standings (A); title prob = model estimate — no 2027 World Series odds posted</t>
        </is>
      </c>
      <c r="S21" t="inlineStr">
        <is>
          <t>2026-10-08</t>
        </is>
      </c>
      <c r="T21" s="9" t="inlineStr">
        <is>
          <t>C</t>
        </is>
      </c>
      <c r="U21" t="inlineStr">
        <is>
          <t>2026 playoffs still in progress [v2 certainty adj: sd x2.0, mu shrink 50%, p shrink 50%]</t>
        </is>
      </c>
      <c r="Y21">
        <f>N21-IF(T21="C",Assumptions!$B$27,IF(T21="B",Assumptions!$B$26,0))</f>
        <v/>
      </c>
    </row>
    <row r="22">
      <c r="A22" t="inlineStr">
        <is>
          <t>Texas Rangers</t>
        </is>
      </c>
      <c r="B22" t="inlineStr">
        <is>
          <t>2026: 80-82 (.4938)</t>
        </is>
      </c>
      <c r="D22" t="n">
        <v>0.0289</v>
      </c>
      <c r="E22" t="n">
        <v>0.0578</v>
      </c>
      <c r="F22" t="n">
        <v>0.1156</v>
      </c>
      <c r="G22" t="n">
        <v>0.2312</v>
      </c>
      <c r="H22" t="n">
        <v>0.4624</v>
      </c>
      <c r="I22" t="n">
        <v>0.5122</v>
      </c>
      <c r="J22" t="n">
        <v>0.1</v>
      </c>
      <c r="K22" t="n">
        <v>6.448</v>
      </c>
      <c r="L22">
        <f>Assumptions!$B$4*D22+Assumptions!$C$4*(E22-D22)+Assumptions!$D$4*(F22-E22)+Assumptions!$E$4*(G22-F22)+Assumptions!$F$4*(H22-G22)</f>
        <v/>
      </c>
      <c r="M22">
        <f>K22+MIN(L22,Assumptions!$H$4)</f>
        <v/>
      </c>
      <c r="N22">
        <f>M22-Assumptions!$I$4</f>
        <v/>
      </c>
      <c r="O22">
        <f>N22-Assumptions!$B$25*Q22</f>
        <v/>
      </c>
      <c r="P22" t="n">
        <v>4</v>
      </c>
      <c r="Q22" t="n">
        <v>3.74</v>
      </c>
      <c r="R22" t="inlineStr">
        <is>
          <t>2026 win% from league standings (A); title prob = model estimate — no 2027 World Series odds posted</t>
        </is>
      </c>
      <c r="S22" t="inlineStr">
        <is>
          <t>2026-10-08</t>
        </is>
      </c>
      <c r="T22" s="9" t="inlineStr">
        <is>
          <t>C</t>
        </is>
      </c>
      <c r="U22" t="inlineStr">
        <is>
          <t>2026 playoffs still in progress [v2 certainty adj: sd x2.0, mu shrink 50%, p shrink 50%]</t>
        </is>
      </c>
      <c r="X22" s="16" t="inlineStr">
        <is>
          <t>Molmen</t>
        </is>
      </c>
      <c r="Y22">
        <f>N22-IF(T22="C",Assumptions!$B$27,IF(T22="B",Assumptions!$B$26,0))</f>
        <v/>
      </c>
    </row>
    <row r="23">
      <c r="A23" t="inlineStr">
        <is>
          <t>Seattle Mariners</t>
        </is>
      </c>
      <c r="B23" t="inlineStr">
        <is>
          <t>2026: 76-86 (.4691)</t>
        </is>
      </c>
      <c r="D23" t="n">
        <v>0.0314</v>
      </c>
      <c r="E23" t="n">
        <v>0.06279999999999999</v>
      </c>
      <c r="F23" t="n">
        <v>0.1256</v>
      </c>
      <c r="G23" t="n">
        <v>0.2512</v>
      </c>
      <c r="H23" t="n">
        <v>0.5024</v>
      </c>
      <c r="I23" t="n">
        <v>0.5067</v>
      </c>
      <c r="J23" t="n">
        <v>0.1</v>
      </c>
      <c r="K23" t="n">
        <v>6.238</v>
      </c>
      <c r="L23">
        <f>Assumptions!$B$4*D23+Assumptions!$C$4*(E23-D23)+Assumptions!$D$4*(F23-E23)+Assumptions!$E$4*(G23-F23)+Assumptions!$F$4*(H23-G23)</f>
        <v/>
      </c>
      <c r="M23">
        <f>K23+MIN(L23,Assumptions!$H$4)</f>
        <v/>
      </c>
      <c r="N23">
        <f>M23-Assumptions!$I$4</f>
        <v/>
      </c>
      <c r="O23">
        <f>N23-Assumptions!$B$25*Q23</f>
        <v/>
      </c>
      <c r="P23" t="n">
        <v>4</v>
      </c>
      <c r="Q23" t="n">
        <v>3.682</v>
      </c>
      <c r="R23" t="inlineStr">
        <is>
          <t>2026 win% from league standings (A); title prob = model estimate — no 2027 World Series odds posted</t>
        </is>
      </c>
      <c r="S23" t="inlineStr">
        <is>
          <t>2026-10-08</t>
        </is>
      </c>
      <c r="T23" s="9" t="inlineStr">
        <is>
          <t>C</t>
        </is>
      </c>
      <c r="U23" t="inlineStr">
        <is>
          <t>2026 playoffs still in progress [v2 certainty adj: sd x2.0, mu shrink 50%, p shrink 50%]</t>
        </is>
      </c>
      <c r="X23" s="16" t="inlineStr">
        <is>
          <t>Jamzee</t>
        </is>
      </c>
      <c r="Y23">
        <f>N23-IF(T23="C",Assumptions!$B$27,IF(T23="B",Assumptions!$B$26,0))</f>
        <v/>
      </c>
    </row>
    <row r="24">
      <c r="A24" t="inlineStr">
        <is>
          <t>Detroit Tigers</t>
        </is>
      </c>
      <c r="B24" t="inlineStr">
        <is>
          <t>2026: 76-86 (.4691)</t>
        </is>
      </c>
      <c r="D24" t="n">
        <v>0.0289</v>
      </c>
      <c r="E24" t="n">
        <v>0.0578</v>
      </c>
      <c r="F24" t="n">
        <v>0.1156</v>
      </c>
      <c r="G24" t="n">
        <v>0.2312</v>
      </c>
      <c r="H24" t="n">
        <v>0.4624</v>
      </c>
      <c r="I24" t="n">
        <v>0.5067</v>
      </c>
      <c r="J24" t="n">
        <v>0.1</v>
      </c>
      <c r="K24" t="n">
        <v>6.278</v>
      </c>
      <c r="L24">
        <f>Assumptions!$B$4*D24+Assumptions!$C$4*(E24-D24)+Assumptions!$D$4*(F24-E24)+Assumptions!$E$4*(G24-F24)+Assumptions!$F$4*(H24-G24)</f>
        <v/>
      </c>
      <c r="M24">
        <f>K24+MIN(L24,Assumptions!$H$4)</f>
        <v/>
      </c>
      <c r="N24">
        <f>M24-Assumptions!$I$4</f>
        <v/>
      </c>
      <c r="O24">
        <f>N24-Assumptions!$B$25*Q24</f>
        <v/>
      </c>
      <c r="P24" t="n">
        <v>4</v>
      </c>
      <c r="Q24" t="n">
        <v>3.71</v>
      </c>
      <c r="R24" t="inlineStr">
        <is>
          <t>2026 win% from league standings (A); title prob = model estimate — no 2027 World Series odds posted</t>
        </is>
      </c>
      <c r="S24" t="inlineStr">
        <is>
          <t>2026-10-08</t>
        </is>
      </c>
      <c r="T24" s="9" t="inlineStr">
        <is>
          <t>C</t>
        </is>
      </c>
      <c r="U24" t="inlineStr">
        <is>
          <t>2026 playoffs still in progress [v2 certainty adj: sd x2.0, mu shrink 50%, p shrink 50%]</t>
        </is>
      </c>
      <c r="Y24">
        <f>N24-IF(T24="C",Assumptions!$B$27,IF(T24="B",Assumptions!$B$26,0))</f>
        <v/>
      </c>
    </row>
    <row r="25">
      <c r="A25" t="inlineStr">
        <is>
          <t>Miami Marlins</t>
        </is>
      </c>
      <c r="B25" t="inlineStr">
        <is>
          <t>2026: 80-82 (.4938)</t>
        </is>
      </c>
      <c r="D25" t="n">
        <v>0.0226</v>
      </c>
      <c r="E25" t="n">
        <v>0.0452</v>
      </c>
      <c r="F25" t="n">
        <v>0.09039999999999999</v>
      </c>
      <c r="G25" t="n">
        <v>0.1808</v>
      </c>
      <c r="H25" t="n">
        <v>0.3616</v>
      </c>
      <c r="I25" t="n">
        <v>0.5122</v>
      </c>
      <c r="J25" t="n">
        <v>0.1</v>
      </c>
      <c r="K25" t="n">
        <v>6.428</v>
      </c>
      <c r="L25">
        <f>Assumptions!$B$4*D25+Assumptions!$C$4*(E25-D25)+Assumptions!$D$4*(F25-E25)+Assumptions!$E$4*(G25-F25)+Assumptions!$F$4*(H25-G25)</f>
        <v/>
      </c>
      <c r="M25">
        <f>K25+MIN(L25,Assumptions!$H$4)</f>
        <v/>
      </c>
      <c r="N25">
        <f>M25-Assumptions!$I$4</f>
        <v/>
      </c>
      <c r="O25">
        <f>N25-Assumptions!$B$25*Q25</f>
        <v/>
      </c>
      <c r="P25" t="n">
        <v>4</v>
      </c>
      <c r="Q25" t="n">
        <v>3.753</v>
      </c>
      <c r="R25" t="inlineStr">
        <is>
          <t>2026 win% from league standings (A); title prob = model estimate — no 2027 World Series odds posted</t>
        </is>
      </c>
      <c r="S25" t="inlineStr">
        <is>
          <t>2026-10-08</t>
        </is>
      </c>
      <c r="T25" s="9" t="inlineStr">
        <is>
          <t>C</t>
        </is>
      </c>
      <c r="U25" t="inlineStr">
        <is>
          <t>2026 playoffs still in progress [v2 certainty adj: sd x2.0, mu shrink 50%, p shrink 50%]</t>
        </is>
      </c>
      <c r="Y25">
        <f>N25-IF(T25="C",Assumptions!$B$27,IF(T25="B",Assumptions!$B$26,0))</f>
        <v/>
      </c>
    </row>
    <row r="26">
      <c r="A26" t="inlineStr">
        <is>
          <t>Cincinnati Reds</t>
        </is>
      </c>
      <c r="B26" t="inlineStr">
        <is>
          <t>2026: 75-87 (.4630)</t>
        </is>
      </c>
      <c r="D26" t="n">
        <v>0.024</v>
      </c>
      <c r="E26" t="n">
        <v>0.048</v>
      </c>
      <c r="F26" t="n">
        <v>0.096</v>
      </c>
      <c r="G26" t="n">
        <v>0.192</v>
      </c>
      <c r="H26" t="n">
        <v>0.384</v>
      </c>
      <c r="I26" t="n">
        <v>0.5053</v>
      </c>
      <c r="J26" t="n">
        <v>0.1</v>
      </c>
      <c r="K26" t="n">
        <v>6.207</v>
      </c>
      <c r="L26">
        <f>Assumptions!$B$4*D26+Assumptions!$C$4*(E26-D26)+Assumptions!$D$4*(F26-E26)+Assumptions!$E$4*(G26-F26)+Assumptions!$F$4*(H26-G26)</f>
        <v/>
      </c>
      <c r="M26">
        <f>K26+MIN(L26,Assumptions!$H$4)</f>
        <v/>
      </c>
      <c r="N26">
        <f>M26-Assumptions!$I$4</f>
        <v/>
      </c>
      <c r="O26">
        <f>N26-Assumptions!$B$25*Q26</f>
        <v/>
      </c>
      <c r="P26" t="n">
        <v>4</v>
      </c>
      <c r="Q26" t="n">
        <v>3.697</v>
      </c>
      <c r="R26" t="inlineStr">
        <is>
          <t>2026 win% from league standings (A); title prob = model estimate — no 2027 World Series odds posted</t>
        </is>
      </c>
      <c r="S26" t="inlineStr">
        <is>
          <t>2026-10-08</t>
        </is>
      </c>
      <c r="T26" s="9" t="inlineStr">
        <is>
          <t>C</t>
        </is>
      </c>
      <c r="U26" t="inlineStr">
        <is>
          <t>2026 playoffs still in progress [v2 certainty adj: sd x2.0, mu shrink 50%, p shrink 50%]</t>
        </is>
      </c>
      <c r="Y26">
        <f>N26-IF(T26="C",Assumptions!$B$27,IF(T26="B",Assumptions!$B$26,0))</f>
        <v/>
      </c>
    </row>
    <row r="27">
      <c r="A27" t="inlineStr">
        <is>
          <t>Minnesota Twins</t>
        </is>
      </c>
      <c r="B27" t="inlineStr">
        <is>
          <t>2026: 77-85 (.4753)</t>
        </is>
      </c>
      <c r="D27" t="n">
        <v>0.0216</v>
      </c>
      <c r="E27" t="n">
        <v>0.0432</v>
      </c>
      <c r="F27" t="n">
        <v>0.0864</v>
      </c>
      <c r="G27" t="n">
        <v>0.1728</v>
      </c>
      <c r="H27" t="n">
        <v>0.3456</v>
      </c>
      <c r="I27" t="n">
        <v>0.5081</v>
      </c>
      <c r="J27" t="n">
        <v>0.1</v>
      </c>
      <c r="K27" t="n">
        <v>6.317</v>
      </c>
      <c r="L27">
        <f>Assumptions!$B$4*D27+Assumptions!$C$4*(E27-D27)+Assumptions!$D$4*(F27-E27)+Assumptions!$E$4*(G27-F27)+Assumptions!$F$4*(H27-G27)</f>
        <v/>
      </c>
      <c r="M27">
        <f>K27+MIN(L27,Assumptions!$H$4)</f>
        <v/>
      </c>
      <c r="N27">
        <f>M27-Assumptions!$I$4</f>
        <v/>
      </c>
      <c r="O27">
        <f>N27-Assumptions!$B$25*Q27</f>
        <v/>
      </c>
      <c r="P27" t="n">
        <v>4</v>
      </c>
      <c r="Q27" t="n">
        <v>3.663</v>
      </c>
      <c r="R27" t="inlineStr">
        <is>
          <t>2026 win% from league standings (A); title prob = model estimate — no 2027 World Series odds posted</t>
        </is>
      </c>
      <c r="S27" t="inlineStr">
        <is>
          <t>2026-10-08</t>
        </is>
      </c>
      <c r="T27" s="9" t="inlineStr">
        <is>
          <t>C</t>
        </is>
      </c>
      <c r="U27" t="inlineStr">
        <is>
          <t>2026 playoffs still in progress [v2 certainty adj: sd x2.0, mu shrink 50%, p shrink 50%]</t>
        </is>
      </c>
      <c r="Y27">
        <f>N27-IF(T27="C",Assumptions!$B$27,IF(T27="B",Assumptions!$B$26,0))</f>
        <v/>
      </c>
    </row>
    <row r="28">
      <c r="A28" t="inlineStr">
        <is>
          <t>Washington Nationals</t>
        </is>
      </c>
      <c r="B28" t="inlineStr">
        <is>
          <t>2026: 77-85 (.4753)</t>
        </is>
      </c>
      <c r="D28" t="n">
        <v>0.0216</v>
      </c>
      <c r="E28" t="n">
        <v>0.0432</v>
      </c>
      <c r="F28" t="n">
        <v>0.0864</v>
      </c>
      <c r="G28" t="n">
        <v>0.1728</v>
      </c>
      <c r="H28" t="n">
        <v>0.3456</v>
      </c>
      <c r="I28" t="n">
        <v>0.5081</v>
      </c>
      <c r="J28" t="n">
        <v>0.1</v>
      </c>
      <c r="K28" t="n">
        <v>6.311</v>
      </c>
      <c r="L28">
        <f>Assumptions!$B$4*D28+Assumptions!$C$4*(E28-D28)+Assumptions!$D$4*(F28-E28)+Assumptions!$E$4*(G28-F28)+Assumptions!$F$4*(H28-G28)</f>
        <v/>
      </c>
      <c r="M28">
        <f>K28+MIN(L28,Assumptions!$H$4)</f>
        <v/>
      </c>
      <c r="N28">
        <f>M28-Assumptions!$I$4</f>
        <v/>
      </c>
      <c r="O28">
        <f>N28-Assumptions!$B$25*Q28</f>
        <v/>
      </c>
      <c r="P28" t="n">
        <v>4</v>
      </c>
      <c r="Q28" t="n">
        <v>3.699</v>
      </c>
      <c r="R28" t="inlineStr">
        <is>
          <t>2026 win% from league standings (A); title prob = model estimate — no 2027 World Series odds posted</t>
        </is>
      </c>
      <c r="S28" t="inlineStr">
        <is>
          <t>2026-10-08</t>
        </is>
      </c>
      <c r="T28" s="9" t="inlineStr">
        <is>
          <t>C</t>
        </is>
      </c>
      <c r="U28" t="inlineStr">
        <is>
          <t>2026 playoffs still in progress [v2 certainty adj: sd x2.0, mu shrink 50%, p shrink 50%]</t>
        </is>
      </c>
      <c r="Y28">
        <f>N28-IF(T28="C",Assumptions!$B$27,IF(T28="B",Assumptions!$B$26,0))</f>
        <v/>
      </c>
    </row>
    <row r="29">
      <c r="A29" t="inlineStr">
        <is>
          <t>St. Louis Cardinals</t>
        </is>
      </c>
      <c r="B29" t="inlineStr">
        <is>
          <t>2026: 77-85 (.4753)</t>
        </is>
      </c>
      <c r="D29" t="n">
        <v>0.0216</v>
      </c>
      <c r="E29" t="n">
        <v>0.0432</v>
      </c>
      <c r="F29" t="n">
        <v>0.0864</v>
      </c>
      <c r="G29" t="n">
        <v>0.1728</v>
      </c>
      <c r="H29" t="n">
        <v>0.3456</v>
      </c>
      <c r="I29" t="n">
        <v>0.5081</v>
      </c>
      <c r="J29" t="n">
        <v>0.1</v>
      </c>
      <c r="K29" t="n">
        <v>6.305</v>
      </c>
      <c r="L29">
        <f>Assumptions!$B$4*D29+Assumptions!$C$4*(E29-D29)+Assumptions!$D$4*(F29-E29)+Assumptions!$E$4*(G29-F29)+Assumptions!$F$4*(H29-G29)</f>
        <v/>
      </c>
      <c r="M29">
        <f>K29+MIN(L29,Assumptions!$H$4)</f>
        <v/>
      </c>
      <c r="N29">
        <f>M29-Assumptions!$I$4</f>
        <v/>
      </c>
      <c r="O29">
        <f>N29-Assumptions!$B$25*Q29</f>
        <v/>
      </c>
      <c r="P29" t="n">
        <v>4</v>
      </c>
      <c r="Q29" t="n">
        <v>3.694</v>
      </c>
      <c r="R29" t="inlineStr">
        <is>
          <t>2026 win% from league standings (A); title prob = model estimate — no 2027 World Series odds posted</t>
        </is>
      </c>
      <c r="S29" t="inlineStr">
        <is>
          <t>2026-10-08</t>
        </is>
      </c>
      <c r="T29" s="9" t="inlineStr">
        <is>
          <t>C</t>
        </is>
      </c>
      <c r="U29" t="inlineStr">
        <is>
          <t>2026 playoffs still in progress [v2 certainty adj: sd x2.0, mu shrink 50%, p shrink 50%]</t>
        </is>
      </c>
      <c r="Y29">
        <f>N29-IF(T29="C",Assumptions!$B$27,IF(T29="B",Assumptions!$B$26,0))</f>
        <v/>
      </c>
    </row>
    <row r="30">
      <c r="A30" t="inlineStr">
        <is>
          <t>Kansas City Royals</t>
        </is>
      </c>
      <c r="B30" t="inlineStr">
        <is>
          <t>2026: 69-93 (.4259)</t>
        </is>
      </c>
      <c r="D30" t="n">
        <v>0.0216</v>
      </c>
      <c r="E30" t="n">
        <v>0.0432</v>
      </c>
      <c r="F30" t="n">
        <v>0.0864</v>
      </c>
      <c r="G30" t="n">
        <v>0.1728</v>
      </c>
      <c r="H30" t="n">
        <v>0.3456</v>
      </c>
      <c r="I30" t="n">
        <v>0.497</v>
      </c>
      <c r="J30" t="n">
        <v>0.1</v>
      </c>
      <c r="K30" t="n">
        <v>5.885</v>
      </c>
      <c r="L30">
        <f>Assumptions!$B$4*D30+Assumptions!$C$4*(E30-D30)+Assumptions!$D$4*(F30-E30)+Assumptions!$E$4*(G30-F30)+Assumptions!$F$4*(H30-G30)</f>
        <v/>
      </c>
      <c r="M30">
        <f>K30+MIN(L30,Assumptions!$H$4)</f>
        <v/>
      </c>
      <c r="N30">
        <f>M30-Assumptions!$I$4</f>
        <v/>
      </c>
      <c r="O30">
        <f>N30-Assumptions!$B$25*Q30</f>
        <v/>
      </c>
      <c r="P30" t="n">
        <v>4</v>
      </c>
      <c r="Q30" t="n">
        <v>3.651</v>
      </c>
      <c r="R30" t="inlineStr">
        <is>
          <t>2026 win% from league standings (A); title prob = model estimate — no 2027 World Series odds posted</t>
        </is>
      </c>
      <c r="S30" t="inlineStr">
        <is>
          <t>2026-10-08</t>
        </is>
      </c>
      <c r="T30" s="9" t="inlineStr">
        <is>
          <t>C</t>
        </is>
      </c>
      <c r="U30" t="inlineStr">
        <is>
          <t>2026 playoffs still in progress [v2 certainty adj: sd x2.0, mu shrink 50%, p shrink 50%]</t>
        </is>
      </c>
      <c r="Y30">
        <f>N30-IF(T30="C",Assumptions!$B$27,IF(T30="B",Assumptions!$B$26,0))</f>
        <v/>
      </c>
    </row>
    <row r="31">
      <c r="A31" t="inlineStr">
        <is>
          <t>Athletics</t>
        </is>
      </c>
      <c r="B31" t="inlineStr">
        <is>
          <t>2026: 64-98 (.3951)</t>
        </is>
      </c>
      <c r="D31" t="n">
        <v>0.0216</v>
      </c>
      <c r="E31" t="n">
        <v>0.0432</v>
      </c>
      <c r="F31" t="n">
        <v>0.0864</v>
      </c>
      <c r="G31" t="n">
        <v>0.1728</v>
      </c>
      <c r="H31" t="n">
        <v>0.3456</v>
      </c>
      <c r="I31" t="n">
        <v>0.49</v>
      </c>
      <c r="J31" t="n">
        <v>0.1</v>
      </c>
      <c r="K31" t="n">
        <v>5.683</v>
      </c>
      <c r="L31">
        <f>Assumptions!$B$4*D31+Assumptions!$C$4*(E31-D31)+Assumptions!$D$4*(F31-E31)+Assumptions!$E$4*(G31-F31)+Assumptions!$F$4*(H31-G31)</f>
        <v/>
      </c>
      <c r="M31">
        <f>K31+MIN(L31,Assumptions!$H$4)</f>
        <v/>
      </c>
      <c r="N31">
        <f>M31-Assumptions!$I$4</f>
        <v/>
      </c>
      <c r="O31">
        <f>N31-Assumptions!$B$25*Q31</f>
        <v/>
      </c>
      <c r="P31" t="n">
        <v>4</v>
      </c>
      <c r="Q31" t="n">
        <v>3.659</v>
      </c>
      <c r="R31" t="inlineStr">
        <is>
          <t>2026 win% from league standings (A); title prob = model estimate — no 2027 World Series odds posted</t>
        </is>
      </c>
      <c r="S31" t="inlineStr">
        <is>
          <t>2026-10-08</t>
        </is>
      </c>
      <c r="T31" s="9" t="inlineStr">
        <is>
          <t>C</t>
        </is>
      </c>
      <c r="U31" t="inlineStr">
        <is>
          <t>2026 playoffs still in progress [v2 certainty adj: sd x2.0, mu shrink 50%, p shrink 50%]</t>
        </is>
      </c>
      <c r="Y31">
        <f>N31-IF(T31="C",Assumptions!$B$27,IF(T31="B",Assumptions!$B$26,0))</f>
        <v/>
      </c>
    </row>
    <row r="32">
      <c r="A32" t="inlineStr">
        <is>
          <t>San Francisco Giants</t>
        </is>
      </c>
      <c r="B32" t="inlineStr">
        <is>
          <t>2026: 65-97 (.4012)</t>
        </is>
      </c>
      <c r="D32" t="n">
        <v>0.0196</v>
      </c>
      <c r="E32" t="n">
        <v>0.0392</v>
      </c>
      <c r="F32" t="n">
        <v>0.0784</v>
      </c>
      <c r="G32" t="n">
        <v>0.1568</v>
      </c>
      <c r="H32" t="n">
        <v>0.3136</v>
      </c>
      <c r="I32" t="n">
        <v>0.4914</v>
      </c>
      <c r="J32" t="n">
        <v>0.1</v>
      </c>
      <c r="K32" t="n">
        <v>5.807</v>
      </c>
      <c r="L32">
        <f>Assumptions!$B$4*D32+Assumptions!$C$4*(E32-D32)+Assumptions!$D$4*(F32-E32)+Assumptions!$E$4*(G32-F32)+Assumptions!$F$4*(H32-G32)</f>
        <v/>
      </c>
      <c r="M32">
        <f>K32+MIN(L32,Assumptions!$H$4)</f>
        <v/>
      </c>
      <c r="N32">
        <f>M32-Assumptions!$I$4</f>
        <v/>
      </c>
      <c r="O32">
        <f>N32-Assumptions!$B$25*Q32</f>
        <v/>
      </c>
      <c r="P32" t="n">
        <v>4</v>
      </c>
      <c r="Q32" t="n">
        <v>3.671</v>
      </c>
      <c r="R32" t="inlineStr">
        <is>
          <t>2026 win% from league standings (A); title prob = model estimate — no 2027 World Series odds posted</t>
        </is>
      </c>
      <c r="S32" t="inlineStr">
        <is>
          <t>2026-10-08</t>
        </is>
      </c>
      <c r="T32" s="9" t="inlineStr">
        <is>
          <t>C</t>
        </is>
      </c>
      <c r="U32" t="inlineStr">
        <is>
          <t>2026 playoffs still in progress [v2 certainty adj: sd x2.0, mu shrink 50%, p shrink 50%]</t>
        </is>
      </c>
      <c r="Y32">
        <f>N32-IF(T32="C",Assumptions!$B$27,IF(T32="B",Assumptions!$B$26,0))</f>
        <v/>
      </c>
    </row>
    <row r="33">
      <c r="A33" t="inlineStr">
        <is>
          <t>Los Angeles Angels</t>
        </is>
      </c>
      <c r="B33" t="inlineStr">
        <is>
          <t>2026: 62-100 (.3827)</t>
        </is>
      </c>
      <c r="D33" t="n">
        <v>0.0191</v>
      </c>
      <c r="E33" t="n">
        <v>0.0382</v>
      </c>
      <c r="F33" t="n">
        <v>0.0764</v>
      </c>
      <c r="G33" t="n">
        <v>0.1528</v>
      </c>
      <c r="H33" t="n">
        <v>0.3056</v>
      </c>
      <c r="I33" t="n">
        <v>0.4872</v>
      </c>
      <c r="J33" t="n">
        <v>0.1</v>
      </c>
      <c r="K33" t="n">
        <v>5.69</v>
      </c>
      <c r="L33">
        <f>Assumptions!$B$4*D33+Assumptions!$C$4*(E33-D33)+Assumptions!$D$4*(F33-E33)+Assumptions!$E$4*(G33-F33)+Assumptions!$F$4*(H33-G33)</f>
        <v/>
      </c>
      <c r="M33">
        <f>K33+MIN(L33,Assumptions!$H$4)</f>
        <v/>
      </c>
      <c r="N33">
        <f>M33-Assumptions!$I$4</f>
        <v/>
      </c>
      <c r="O33">
        <f>N33-Assumptions!$B$25*Q33</f>
        <v/>
      </c>
      <c r="P33" t="n">
        <v>4</v>
      </c>
      <c r="Q33" t="n">
        <v>3.573</v>
      </c>
      <c r="R33" t="inlineStr">
        <is>
          <t>2026 win% from league standings (A); title prob = model estimate — no 2027 World Series odds posted</t>
        </is>
      </c>
      <c r="S33" t="inlineStr">
        <is>
          <t>2026-10-08</t>
        </is>
      </c>
      <c r="T33" s="9" t="inlineStr">
        <is>
          <t>C</t>
        </is>
      </c>
      <c r="U33" t="inlineStr">
        <is>
          <t>2026 playoffs still in progress [v2 certainty adj: sd x2.0, mu shrink 50%, p shrink 50%]</t>
        </is>
      </c>
      <c r="Y33">
        <f>N33-IF(T33="C",Assumptions!$B$27,IF(T33="B",Assumptions!$B$26,0))</f>
        <v/>
      </c>
    </row>
    <row r="34">
      <c r="A34" t="inlineStr">
        <is>
          <t>Colorado Rockies</t>
        </is>
      </c>
      <c r="B34" t="inlineStr">
        <is>
          <t>2026: 58-104 (.3580)</t>
        </is>
      </c>
      <c r="D34" t="n">
        <v>0.0177</v>
      </c>
      <c r="E34" t="n">
        <v>0.0354</v>
      </c>
      <c r="F34" t="n">
        <v>0.0708</v>
      </c>
      <c r="G34" t="n">
        <v>0.1416</v>
      </c>
      <c r="H34" t="n">
        <v>0.2832</v>
      </c>
      <c r="I34" t="n">
        <v>0.4817</v>
      </c>
      <c r="J34" t="n">
        <v>0.1</v>
      </c>
      <c r="K34" t="n">
        <v>5.484</v>
      </c>
      <c r="L34">
        <f>Assumptions!$B$4*D34+Assumptions!$C$4*(E34-D34)+Assumptions!$D$4*(F34-E34)+Assumptions!$E$4*(G34-F34)+Assumptions!$F$4*(H34-G34)</f>
        <v/>
      </c>
      <c r="M34">
        <f>K34+MIN(L34,Assumptions!$H$4)</f>
        <v/>
      </c>
      <c r="N34">
        <f>M34-Assumptions!$I$4</f>
        <v/>
      </c>
      <c r="O34">
        <f>N34-Assumptions!$B$25*Q34</f>
        <v/>
      </c>
      <c r="P34" t="n">
        <v>4</v>
      </c>
      <c r="Q34" t="n">
        <v>3.612</v>
      </c>
      <c r="R34" t="inlineStr">
        <is>
          <t>2026 win% from league standings (A); title prob = model estimate — no 2027 World Series odds posted</t>
        </is>
      </c>
      <c r="S34" t="inlineStr">
        <is>
          <t>2026-10-08</t>
        </is>
      </c>
      <c r="T34" s="9" t="inlineStr">
        <is>
          <t>C</t>
        </is>
      </c>
      <c r="U34" t="inlineStr">
        <is>
          <t>2026 playoffs still in progress [v2 certainty adj: sd x2.0, mu shrink 50%, p shrink 50%]</t>
        </is>
      </c>
      <c r="Y34">
        <f>N34-IF(T34="C",Assumptions!$B$27,IF(T34="B",Assumptions!$B$26,0))</f>
        <v/>
      </c>
    </row>
    <row r="36">
      <c r="A36" s="8" t="inlineStr">
        <is>
          <t>Replacement-level EV (Nth best)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3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36" customWidth="1" min="2" max="2"/>
    <col width="22" customWidth="1" min="3" max="3"/>
    <col width="11" customWidth="1" min="4" max="4"/>
    <col width="11" customWidth="1" min="5" max="5"/>
    <col width="11" customWidth="1" min="6" max="6"/>
    <col width="11" customWidth="1" min="7" max="7"/>
    <col width="11" customWidth="1" min="8" max="8"/>
    <col width="9" customWidth="1" min="9" max="9"/>
    <col width="9" customWidth="1" min="10" max="10"/>
    <col width="11" customWidth="1" min="11" max="11"/>
    <col width="10" customWidth="1" min="12" max="12"/>
    <col width="10" customWidth="1" min="13" max="13"/>
    <col width="9" customWidth="1" min="14" max="14"/>
    <col width="11" customWidth="1" min="15" max="15"/>
    <col width="6" customWidth="1" min="16" max="16"/>
    <col width="9" customWidth="1" min="17" max="17"/>
    <col width="38" customWidth="1" min="18" max="18"/>
    <col width="11" customWidth="1" min="19" max="19"/>
    <col width="6" customWidth="1" min="20" max="20"/>
    <col width="60" customWidth="1" min="21" max="21"/>
    <col width="12" customWidth="1" min="22" max="22"/>
    <col width="9" customWidth="1" min="23" max="23"/>
    <col width="11" customWidth="1" min="24" max="24"/>
    <col width="11" customWidth="1" min="25" max="25"/>
  </cols>
  <sheetData>
    <row r="1">
      <c r="A1" s="18" t="inlineStr">
        <is>
          <t>NHL — 2027 draft research (EV model; see README)</t>
        </is>
      </c>
    </row>
    <row r="2">
      <c r="A2" t="inlineStr">
        <is>
          <t>As of 2026-10-22. Sorted by E[total]. Yellow = inferred / low-confidence (C).</t>
        </is>
      </c>
    </row>
    <row r="4">
      <c r="A4" s="7" t="inlineStr">
        <is>
          <t>Candidate</t>
        </is>
      </c>
      <c r="B4" s="7" t="inlineStr">
        <is>
          <t>Detail</t>
        </is>
      </c>
      <c r="C4" s="7" t="inlineStr">
        <is>
          <t>Odds / price</t>
        </is>
      </c>
      <c r="D4" s="7" t="inlineStr">
        <is>
          <t>p(champ)</t>
        </is>
      </c>
      <c r="E4" s="7" t="inlineStr">
        <is>
          <t>p(final)</t>
        </is>
      </c>
      <c r="F4" s="7" t="inlineStr">
        <is>
          <t>p(semi)</t>
        </is>
      </c>
      <c r="G4" s="7" t="inlineStr">
        <is>
          <t>p(quarter)</t>
        </is>
      </c>
      <c r="H4" s="7" t="inlineStr">
        <is>
          <t>p(rd 1)</t>
        </is>
      </c>
      <c r="I4" s="7" t="inlineStr">
        <is>
          <t>mu</t>
        </is>
      </c>
      <c r="J4" s="7" t="inlineStr">
        <is>
          <t>sd</t>
        </is>
      </c>
      <c r="K4" s="7" t="inlineStr">
        <is>
          <t>E[rank pts] (MC)</t>
        </is>
      </c>
      <c r="L4" s="7" t="inlineStr">
        <is>
          <t>E[bonus]</t>
        </is>
      </c>
      <c r="M4" s="7" t="inlineStr">
        <is>
          <t>E[total]</t>
        </is>
      </c>
      <c r="N4" s="7" t="inlineStr">
        <is>
          <t>VOR</t>
        </is>
      </c>
      <c r="O4" s="7" t="inlineStr">
        <is>
          <t>Risk-adj VOR</t>
        </is>
      </c>
      <c r="P4" s="7" t="inlineStr">
        <is>
          <t>Tier</t>
        </is>
      </c>
      <c r="Q4" s="7" t="inlineStr">
        <is>
          <t>SD rank pts</t>
        </is>
      </c>
      <c r="R4" s="7" t="inlineStr">
        <is>
          <t>Source</t>
        </is>
      </c>
      <c r="S4" s="7" t="inlineStr">
        <is>
          <t>As of</t>
        </is>
      </c>
      <c r="T4" s="7" t="inlineStr">
        <is>
          <t>Conf</t>
        </is>
      </c>
      <c r="U4" s="7" t="inlineStr">
        <is>
          <t>Notes</t>
        </is>
      </c>
      <c r="V4" s="7" t="inlineStr">
        <is>
          <t>Field draft score</t>
        </is>
      </c>
      <c r="W4" s="7" t="inlineStr">
        <is>
          <t>Field rank</t>
        </is>
      </c>
      <c r="X4" s="7" t="inlineStr">
        <is>
          <t>Owner</t>
        </is>
      </c>
      <c r="Y4" s="7" t="inlineStr">
        <is>
          <t>Conf-adj VOR</t>
        </is>
      </c>
    </row>
    <row r="5">
      <c r="A5" s="9" t="inlineStr">
        <is>
          <t>Carolina Hurricanes</t>
        </is>
      </c>
      <c r="B5" t="inlineStr">
        <is>
          <t>East</t>
        </is>
      </c>
      <c r="C5" t="inlineStr">
        <is>
          <t>Kalshi 9.5%</t>
        </is>
      </c>
      <c r="D5" t="n">
        <v>0.0946</v>
      </c>
      <c r="E5" t="n">
        <v>0.17</v>
      </c>
      <c r="F5" t="n">
        <v>0.3196</v>
      </c>
      <c r="G5" t="n">
        <v>0.537</v>
      </c>
      <c r="H5" t="n">
        <v>0.9089</v>
      </c>
      <c r="I5" t="n">
        <v>0.6159</v>
      </c>
      <c r="J5" t="n">
        <v>0.0469</v>
      </c>
      <c r="K5" t="n">
        <v>9.196999999999999</v>
      </c>
      <c r="L5">
        <f>Assumptions!$B$5*D5+Assumptions!$C$5*(E5-D5)+Assumptions!$D$5*(F5-E5)+Assumptions!$E$5*(G5-F5)+Assumptions!$F$5*(H5-G5)</f>
        <v/>
      </c>
      <c r="M5">
        <f>K5+MIN(L5,Assumptions!$H$5)</f>
        <v/>
      </c>
      <c r="N5">
        <f>M5-Assumptions!$I$5</f>
        <v/>
      </c>
      <c r="O5">
        <f>N5-Assumptions!$B$25*Q5</f>
        <v/>
      </c>
      <c r="P5" t="n">
        <v>1</v>
      </c>
      <c r="Q5" t="n">
        <v>3.319</v>
      </c>
      <c r="R5" t="inlineStr">
        <is>
          <t>KXNHL-27 exchange mid-price, pulled 2026-10-08; p(final)=KXNHLEAST/KXNHLWEST-27 Kalshi mid | league_sim.py: full-schedule + real playoff bracket Monte Carlo, ratings fitted to Kalshi</t>
        </is>
      </c>
      <c r="S5" t="inlineStr">
        <is>
          <t>2026-10-08</t>
        </is>
      </c>
      <c r="T5" t="inlineStr">
        <is>
          <t>A</t>
        </is>
      </c>
      <c r="U5" t="inlineStr">
        <is>
          <t>pts 108.5, dated; 2026 champion [sim: playoffs 91%, rd2 54%, conf final 32%]</t>
        </is>
      </c>
      <c r="X5" s="16" t="inlineStr">
        <is>
          <t>Jamzee</t>
        </is>
      </c>
      <c r="Y5">
        <f>N5-IF(T5="C",Assumptions!$B$27,IF(T5="B",Assumptions!$B$26,0))</f>
        <v/>
      </c>
    </row>
    <row r="6">
      <c r="A6" s="9" t="inlineStr">
        <is>
          <t>Tampa Bay Lightning</t>
        </is>
      </c>
      <c r="B6" t="inlineStr">
        <is>
          <t>East</t>
        </is>
      </c>
      <c r="C6" t="inlineStr">
        <is>
          <t>Kalshi 5.5%</t>
        </is>
      </c>
      <c r="D6" t="n">
        <v>0.0833</v>
      </c>
      <c r="E6" t="n">
        <v>0.1546</v>
      </c>
      <c r="F6" t="n">
        <v>0.2725</v>
      </c>
      <c r="G6" t="n">
        <v>0.4975</v>
      </c>
      <c r="H6" t="n">
        <v>0.8814</v>
      </c>
      <c r="I6" t="n">
        <v>0.6143</v>
      </c>
      <c r="J6" t="n">
        <v>0.0477</v>
      </c>
      <c r="K6" t="n">
        <v>9.058</v>
      </c>
      <c r="L6">
        <f>Assumptions!$B$5*D6+Assumptions!$C$5*(E6-D6)+Assumptions!$D$5*(F6-E6)+Assumptions!$E$5*(G6-F6)+Assumptions!$F$5*(H6-G6)</f>
        <v/>
      </c>
      <c r="M6">
        <f>K6+MIN(L6,Assumptions!$H$5)</f>
        <v/>
      </c>
      <c r="N6">
        <f>M6-Assumptions!$I$5</f>
        <v/>
      </c>
      <c r="O6">
        <f>N6-Assumptions!$B$25*Q6</f>
        <v/>
      </c>
      <c r="P6" t="n">
        <v>1</v>
      </c>
      <c r="Q6" t="n">
        <v>3.367</v>
      </c>
      <c r="R6" t="inlineStr">
        <is>
          <t>KXNHL-27 exchange mid-price, pulled 2026-10-08; p(final)=KXNHLEAST/KXNHLWEST-27 Kalshi mid | league_sim.py: full-schedule + real playoff bracket Monte Carlo, ratings fitted to Kalshi</t>
        </is>
      </c>
      <c r="S6" t="inlineStr">
        <is>
          <t>2026-10-08</t>
        </is>
      </c>
      <c r="T6" t="inlineStr">
        <is>
          <t>A</t>
        </is>
      </c>
      <c r="U6" t="inlineStr">
        <is>
          <t>est. [sim: playoffs 88%, rd2 50%, conf final 27%]</t>
        </is>
      </c>
      <c r="X6" s="16" t="inlineStr">
        <is>
          <t>Fryar</t>
        </is>
      </c>
      <c r="Y6">
        <f>N6-IF(T6="C",Assumptions!$B$27,IF(T6="B",Assumptions!$B$26,0))</f>
        <v/>
      </c>
    </row>
    <row r="7">
      <c r="A7" s="9" t="inlineStr">
        <is>
          <t>Edmonton Oilers</t>
        </is>
      </c>
      <c r="B7" t="inlineStr">
        <is>
          <t>West</t>
        </is>
      </c>
      <c r="C7" t="inlineStr">
        <is>
          <t>Kalshi 8.5%</t>
        </is>
      </c>
      <c r="D7" t="n">
        <v>0.0765</v>
      </c>
      <c r="E7" t="n">
        <v>0.1455</v>
      </c>
      <c r="F7" t="n">
        <v>0.2931</v>
      </c>
      <c r="G7" t="n">
        <v>0.5152</v>
      </c>
      <c r="H7" t="n">
        <v>0.9026</v>
      </c>
      <c r="I7" t="n">
        <v>0.6082</v>
      </c>
      <c r="J7" t="n">
        <v>0.0481</v>
      </c>
      <c r="K7" t="n">
        <v>8.646000000000001</v>
      </c>
      <c r="L7">
        <f>Assumptions!$B$5*D7+Assumptions!$C$5*(E7-D7)+Assumptions!$D$5*(F7-E7)+Assumptions!$E$5*(G7-F7)+Assumptions!$F$5*(H7-G7)</f>
        <v/>
      </c>
      <c r="M7">
        <f>K7+MIN(L7,Assumptions!$H$5)</f>
        <v/>
      </c>
      <c r="N7">
        <f>M7-Assumptions!$I$5</f>
        <v/>
      </c>
      <c r="O7">
        <f>N7-Assumptions!$B$25*Q7</f>
        <v/>
      </c>
      <c r="P7" t="n">
        <v>1</v>
      </c>
      <c r="Q7" t="n">
        <v>3.473</v>
      </c>
      <c r="R7" t="inlineStr">
        <is>
          <t>KXNHL-27 exchange mid-price, pulled 2026-10-08; p(final)=KXNHLEAST/KXNHLWEST-27 Kalshi mid | league_sim.py: full-schedule + real playoff bracket Monte Carlo, ratings fitted to Kalshi</t>
        </is>
      </c>
      <c r="S7" t="inlineStr">
        <is>
          <t>2026-10-08</t>
        </is>
      </c>
      <c r="T7" t="inlineStr">
        <is>
          <t>A</t>
        </is>
      </c>
      <c r="U7" t="inlineStr">
        <is>
          <t>pts 104.5 [sim: playoffs 90%, rd2 52%, conf final 29%]</t>
        </is>
      </c>
      <c r="X7" s="16" t="inlineStr">
        <is>
          <t>Buckley</t>
        </is>
      </c>
      <c r="Y7">
        <f>N7-IF(T7="C",Assumptions!$B$27,IF(T7="B",Assumptions!$B$26,0))</f>
        <v/>
      </c>
    </row>
    <row r="8">
      <c r="A8" s="17" t="inlineStr">
        <is>
          <t>Colorado Avalanche</t>
        </is>
      </c>
      <c r="B8" t="inlineStr">
        <is>
          <t>West</t>
        </is>
      </c>
      <c r="C8" t="inlineStr">
        <is>
          <t>Kalshi 12.5%</t>
        </is>
      </c>
      <c r="D8" t="n">
        <v>0.1128</v>
      </c>
      <c r="E8" t="n">
        <v>0.1949</v>
      </c>
      <c r="F8" t="n">
        <v>0.3134</v>
      </c>
      <c r="G8" t="n">
        <v>0.5209</v>
      </c>
      <c r="H8" t="n">
        <v>0.8387</v>
      </c>
      <c r="I8" t="n">
        <v>0.5946</v>
      </c>
      <c r="J8" t="n">
        <v>0.0475</v>
      </c>
      <c r="K8" t="n">
        <v>7.656</v>
      </c>
      <c r="L8">
        <f>Assumptions!$B$5*D8+Assumptions!$C$5*(E8-D8)+Assumptions!$D$5*(F8-E8)+Assumptions!$E$5*(G8-F8)+Assumptions!$F$5*(H8-G8)</f>
        <v/>
      </c>
      <c r="M8">
        <f>K8+MIN(L8,Assumptions!$H$5)</f>
        <v/>
      </c>
      <c r="N8">
        <f>M8-Assumptions!$I$5</f>
        <v/>
      </c>
      <c r="O8">
        <f>N8-Assumptions!$B$25*Q8</f>
        <v/>
      </c>
      <c r="P8" t="n">
        <v>2</v>
      </c>
      <c r="Q8" t="n">
        <v>3.608</v>
      </c>
      <c r="R8" t="inlineStr">
        <is>
          <t>KXNHL-27 exchange mid-price, pulled 2026-10-08; p(final)=KXNHLEAST/KXNHLWEST-27 Kalshi mid | league_sim.py: full-schedule + real playoff bracket Monte Carlo, ratings fitted to Kalshi</t>
        </is>
      </c>
      <c r="S8" t="inlineStr">
        <is>
          <t>2026-10-08</t>
        </is>
      </c>
      <c r="T8" t="inlineStr">
        <is>
          <t>A</t>
        </is>
      </c>
      <c r="U8" t="inlineStr">
        <is>
          <t>pts 107.5 [sim: playoffs 84%, rd2 52%, conf final 31%]</t>
        </is>
      </c>
      <c r="X8" s="16" t="inlineStr">
        <is>
          <t>Korch</t>
        </is>
      </c>
      <c r="Y8">
        <f>N8-IF(T8="C",Assumptions!$B$27,IF(T8="B",Assumptions!$B$26,0))</f>
        <v/>
      </c>
    </row>
    <row r="9">
      <c r="A9" s="17" t="inlineStr">
        <is>
          <t>Florida Panthers</t>
        </is>
      </c>
      <c r="B9" t="inlineStr">
        <is>
          <t>East</t>
        </is>
      </c>
      <c r="C9" t="inlineStr">
        <is>
          <t>Kalshi 10.5%</t>
        </is>
      </c>
      <c r="D9" t="n">
        <v>0.0867</v>
      </c>
      <c r="E9" t="n">
        <v>0.1532</v>
      </c>
      <c r="F9" t="n">
        <v>0.2645</v>
      </c>
      <c r="G9" t="n">
        <v>0.4585</v>
      </c>
      <c r="H9" t="n">
        <v>0.7802</v>
      </c>
      <c r="I9" t="n">
        <v>0.5943000000000001</v>
      </c>
      <c r="J9" t="n">
        <v>0.0473</v>
      </c>
      <c r="K9" t="n">
        <v>7.681</v>
      </c>
      <c r="L9">
        <f>Assumptions!$B$5*D9+Assumptions!$C$5*(E9-D9)+Assumptions!$D$5*(F9-E9)+Assumptions!$E$5*(G9-F9)+Assumptions!$F$5*(H9-G9)</f>
        <v/>
      </c>
      <c r="M9">
        <f>K9+MIN(L9,Assumptions!$H$5)</f>
        <v/>
      </c>
      <c r="N9">
        <f>M9-Assumptions!$I$5</f>
        <v/>
      </c>
      <c r="O9">
        <f>N9-Assumptions!$B$25*Q9</f>
        <v/>
      </c>
      <c r="P9" t="n">
        <v>2</v>
      </c>
      <c r="Q9" t="n">
        <v>3.536</v>
      </c>
      <c r="R9" t="inlineStr">
        <is>
          <t>KXNHL-27 exchange mid-price, pulled 2026-10-08; p(final)=KXNHLEAST/KXNHLWEST-27 Kalshi mid | league_sim.py: full-schedule + real playoff bracket Monte Carlo, ratings fitted to Kalshi</t>
        </is>
      </c>
      <c r="S9" t="inlineStr">
        <is>
          <t>2026-10-08</t>
        </is>
      </c>
      <c r="T9" t="inlineStr">
        <is>
          <t>A</t>
        </is>
      </c>
      <c r="U9" t="inlineStr">
        <is>
          <t>pts 107.5 [sim: playoffs 78%, rd2 46%, conf final 26%]</t>
        </is>
      </c>
      <c r="X9" s="16" t="inlineStr">
        <is>
          <t>Todd</t>
        </is>
      </c>
      <c r="Y9">
        <f>N9-IF(T9="C",Assumptions!$B$27,IF(T9="B",Assumptions!$B$26,0))</f>
        <v/>
      </c>
    </row>
    <row r="10">
      <c r="A10" s="17" t="inlineStr">
        <is>
          <t>Vegas Golden Knights</t>
        </is>
      </c>
      <c r="B10" t="inlineStr">
        <is>
          <t>West</t>
        </is>
      </c>
      <c r="C10" t="inlineStr">
        <is>
          <t>Kalshi 7.5%</t>
        </is>
      </c>
      <c r="D10" t="n">
        <v>0.0437</v>
      </c>
      <c r="E10" t="n">
        <v>0.1006</v>
      </c>
      <c r="F10" t="n">
        <v>0.2082</v>
      </c>
      <c r="G10" t="n">
        <v>0.4233</v>
      </c>
      <c r="H10" t="n">
        <v>0.8197</v>
      </c>
      <c r="I10" t="n">
        <v>0.5875</v>
      </c>
      <c r="J10" t="n">
        <v>0.047</v>
      </c>
      <c r="K10" t="n">
        <v>7.211</v>
      </c>
      <c r="L10">
        <f>Assumptions!$B$5*D10+Assumptions!$C$5*(E10-D10)+Assumptions!$D$5*(F10-E10)+Assumptions!$E$5*(G10-F10)+Assumptions!$F$5*(H10-G10)</f>
        <v/>
      </c>
      <c r="M10">
        <f>K10+MIN(L10,Assumptions!$H$5)</f>
        <v/>
      </c>
      <c r="N10">
        <f>M10-Assumptions!$I$5</f>
        <v/>
      </c>
      <c r="O10">
        <f>N10-Assumptions!$B$25*Q10</f>
        <v/>
      </c>
      <c r="P10" t="n">
        <v>2</v>
      </c>
      <c r="Q10" t="n">
        <v>3.586</v>
      </c>
      <c r="R10" t="inlineStr">
        <is>
          <t>KXNHL-27 exchange mid-price, pulled 2026-10-08; p(final)=KXNHLEAST/KXNHLWEST-27 Kalshi mid | league_sim.py: full-schedule + real playoff bracket Monte Carlo, ratings fitted to Kalshi</t>
        </is>
      </c>
      <c r="S10" t="inlineStr">
        <is>
          <t>2026-10-08</t>
        </is>
      </c>
      <c r="T10" t="inlineStr">
        <is>
          <t>A</t>
        </is>
      </c>
      <c r="U10" t="inlineStr">
        <is>
          <t>est. [sim: playoffs 82%, rd2 42%, conf final 21%]</t>
        </is>
      </c>
      <c r="X10" s="16" t="inlineStr">
        <is>
          <t>Tim</t>
        </is>
      </c>
      <c r="Y10">
        <f>N10-IF(T10="C",Assumptions!$B$27,IF(T10="B",Assumptions!$B$26,0))</f>
        <v/>
      </c>
    </row>
    <row r="11">
      <c r="A11" s="17" t="inlineStr">
        <is>
          <t>Minnesota Wild</t>
        </is>
      </c>
      <c r="B11" t="inlineStr">
        <is>
          <t>West</t>
        </is>
      </c>
      <c r="C11" t="inlineStr">
        <is>
          <t>Kalshi 6.5%</t>
        </is>
      </c>
      <c r="D11" t="n">
        <v>0.0579</v>
      </c>
      <c r="E11" t="n">
        <v>0.1181</v>
      </c>
      <c r="F11" t="n">
        <v>0.2216</v>
      </c>
      <c r="G11" t="n">
        <v>0.4161</v>
      </c>
      <c r="H11" t="n">
        <v>0.7843</v>
      </c>
      <c r="I11" t="n">
        <v>0.5846</v>
      </c>
      <c r="J11" t="n">
        <v>0.0473</v>
      </c>
      <c r="K11" t="n">
        <v>6.919</v>
      </c>
      <c r="L11">
        <f>Assumptions!$B$5*D11+Assumptions!$C$5*(E11-D11)+Assumptions!$D$5*(F11-E11)+Assumptions!$E$5*(G11-F11)+Assumptions!$F$5*(H11-G11)</f>
        <v/>
      </c>
      <c r="M11">
        <f>K11+MIN(L11,Assumptions!$H$5)</f>
        <v/>
      </c>
      <c r="N11">
        <f>M11-Assumptions!$I$5</f>
        <v/>
      </c>
      <c r="O11">
        <f>N11-Assumptions!$B$25*Q11</f>
        <v/>
      </c>
      <c r="P11" t="n">
        <v>2</v>
      </c>
      <c r="Q11" t="n">
        <v>3.642</v>
      </c>
      <c r="R11" t="inlineStr">
        <is>
          <t>KXNHL-27 exchange mid-price, pulled 2026-10-08; p(final)=KXNHLEAST/KXNHLWEST-27 Kalshi mid | league_sim.py: full-schedule + real playoff bracket Monte Carlo, ratings fitted to Kalshi</t>
        </is>
      </c>
      <c r="S11" t="inlineStr">
        <is>
          <t>2026-10-08</t>
        </is>
      </c>
      <c r="T11" t="inlineStr">
        <is>
          <t>A</t>
        </is>
      </c>
      <c r="U11" t="inlineStr">
        <is>
          <t>pts 100.5 [sim: playoffs 78%, rd2 42%, conf final 22%]</t>
        </is>
      </c>
      <c r="Y11">
        <f>N11-IF(T11="C",Assumptions!$B$27,IF(T11="B",Assumptions!$B$26,0))</f>
        <v/>
      </c>
    </row>
    <row r="12">
      <c r="A12" s="19" t="inlineStr">
        <is>
          <t>Utah Mammoth</t>
        </is>
      </c>
      <c r="B12" t="inlineStr">
        <is>
          <t>West</t>
        </is>
      </c>
      <c r="C12" t="inlineStr">
        <is>
          <t>Kalshi 3.0%</t>
        </is>
      </c>
      <c r="D12" t="n">
        <v>0.0381</v>
      </c>
      <c r="E12" t="n">
        <v>0.0866</v>
      </c>
      <c r="F12" t="n">
        <v>0.1801</v>
      </c>
      <c r="G12" t="n">
        <v>0.3782</v>
      </c>
      <c r="H12" t="n">
        <v>0.761</v>
      </c>
      <c r="I12" t="n">
        <v>0.5807</v>
      </c>
      <c r="J12" t="n">
        <v>0.0473</v>
      </c>
      <c r="K12" t="n">
        <v>6.578</v>
      </c>
      <c r="L12">
        <f>Assumptions!$B$5*D12+Assumptions!$C$5*(E12-D12)+Assumptions!$D$5*(F12-E12)+Assumptions!$E$5*(G12-F12)+Assumptions!$F$5*(H12-G12)</f>
        <v/>
      </c>
      <c r="M12">
        <f>K12+MIN(L12,Assumptions!$H$5)</f>
        <v/>
      </c>
      <c r="N12">
        <f>M12-Assumptions!$I$5</f>
        <v/>
      </c>
      <c r="O12">
        <f>N12-Assumptions!$B$25*Q12</f>
        <v/>
      </c>
      <c r="P12" t="n">
        <v>3</v>
      </c>
      <c r="Q12" t="n">
        <v>3.589</v>
      </c>
      <c r="R12" t="inlineStr">
        <is>
          <t>KXNHL-27 exchange mid-price, pulled 2026-10-08; p(final)=KXNHLEAST/KXNHLWEST-27 Kalshi mid | league_sim.py: full-schedule + real playoff bracket Monte Carlo, ratings fitted to Kalshi</t>
        </is>
      </c>
      <c r="S12" t="inlineStr">
        <is>
          <t>2026-10-08</t>
        </is>
      </c>
      <c r="T12" t="inlineStr">
        <is>
          <t>A</t>
        </is>
      </c>
      <c r="U12" t="inlineStr">
        <is>
          <t>est. [sim: playoffs 76%, rd2 38%, conf final 18%]</t>
        </is>
      </c>
      <c r="Y12">
        <f>N12-IF(T12="C",Assumptions!$B$27,IF(T12="B",Assumptions!$B$26,0))</f>
        <v/>
      </c>
    </row>
    <row r="13">
      <c r="A13" s="19" t="inlineStr">
        <is>
          <t>Washington Capitals</t>
        </is>
      </c>
      <c r="B13" t="inlineStr">
        <is>
          <t>East</t>
        </is>
      </c>
      <c r="C13" t="inlineStr">
        <is>
          <t>Kalshi 5.5%</t>
        </is>
      </c>
      <c r="D13" t="n">
        <v>0.0442</v>
      </c>
      <c r="E13" t="n">
        <v>0.08749999999999999</v>
      </c>
      <c r="F13" t="n">
        <v>0.1859</v>
      </c>
      <c r="G13" t="n">
        <v>0.3738</v>
      </c>
      <c r="H13" t="n">
        <v>0.6870000000000001</v>
      </c>
      <c r="I13" t="n">
        <v>0.5764</v>
      </c>
      <c r="J13" t="n">
        <v>0.0479</v>
      </c>
      <c r="K13" t="n">
        <v>6.35</v>
      </c>
      <c r="L13">
        <f>Assumptions!$B$5*D13+Assumptions!$C$5*(E13-D13)+Assumptions!$D$5*(F13-E13)+Assumptions!$E$5*(G13-F13)+Assumptions!$F$5*(H13-G13)</f>
        <v/>
      </c>
      <c r="M13">
        <f>K13+MIN(L13,Assumptions!$H$5)</f>
        <v/>
      </c>
      <c r="N13">
        <f>M13-Assumptions!$I$5</f>
        <v/>
      </c>
      <c r="O13">
        <f>N13-Assumptions!$B$25*Q13</f>
        <v/>
      </c>
      <c r="P13" t="n">
        <v>3</v>
      </c>
      <c r="Q13" t="n">
        <v>3.567</v>
      </c>
      <c r="R13" t="inlineStr">
        <is>
          <t>KXNHL-27 exchange mid-price, pulled 2026-10-08; p(final)=KXNHLEAST/KXNHLWEST-27 Kalshi mid | league_sim.py: full-schedule + real playoff bracket Monte Carlo, ratings fitted to Kalshi</t>
        </is>
      </c>
      <c r="S13" t="inlineStr">
        <is>
          <t>2026-10-08</t>
        </is>
      </c>
      <c r="T13" t="inlineStr">
        <is>
          <t>A</t>
        </is>
      </c>
      <c r="U13" t="inlineStr">
        <is>
          <t>est. [sim: playoffs 69%, rd2 37%, conf final 19%]</t>
        </is>
      </c>
      <c r="X13" s="16" t="inlineStr">
        <is>
          <t>Feder</t>
        </is>
      </c>
      <c r="Y13">
        <f>N13-IF(T13="C",Assumptions!$B$27,IF(T13="B",Assumptions!$B$26,0))</f>
        <v/>
      </c>
    </row>
    <row r="14">
      <c r="A14" s="19" t="inlineStr">
        <is>
          <t>Dallas Stars</t>
        </is>
      </c>
      <c r="B14" t="inlineStr">
        <is>
          <t>West</t>
        </is>
      </c>
      <c r="C14" t="inlineStr">
        <is>
          <t>Kalshi 5.5%</t>
        </is>
      </c>
      <c r="D14" t="n">
        <v>0.0444</v>
      </c>
      <c r="E14" t="n">
        <v>0.0891</v>
      </c>
      <c r="F14" t="n">
        <v>0.1726</v>
      </c>
      <c r="G14" t="n">
        <v>0.3544</v>
      </c>
      <c r="H14" t="n">
        <v>0.6989</v>
      </c>
      <c r="I14" t="n">
        <v>0.5713</v>
      </c>
      <c r="J14" t="n">
        <v>0.0479</v>
      </c>
      <c r="K14" t="n">
        <v>5.972</v>
      </c>
      <c r="L14">
        <f>Assumptions!$B$5*D14+Assumptions!$C$5*(E14-D14)+Assumptions!$D$5*(F14-E14)+Assumptions!$E$5*(G14-F14)+Assumptions!$F$5*(H14-G14)</f>
        <v/>
      </c>
      <c r="M14">
        <f>K14+MIN(L14,Assumptions!$H$5)</f>
        <v/>
      </c>
      <c r="N14">
        <f>M14-Assumptions!$I$5</f>
        <v/>
      </c>
      <c r="O14">
        <f>N14-Assumptions!$B$25*Q14</f>
        <v/>
      </c>
      <c r="P14" t="n">
        <v>3</v>
      </c>
      <c r="Q14" t="n">
        <v>3.562</v>
      </c>
      <c r="R14" t="inlineStr">
        <is>
          <t>KXNHL-27 exchange mid-price, pulled 2026-10-08; p(final)=KXNHLEAST/KXNHLWEST-27 Kalshi mid | league_sim.py: full-schedule + real playoff bracket Monte Carlo, ratings fitted to Kalshi</t>
        </is>
      </c>
      <c r="S14" t="inlineStr">
        <is>
          <t>2026-10-08</t>
        </is>
      </c>
      <c r="T14" t="inlineStr">
        <is>
          <t>A</t>
        </is>
      </c>
      <c r="U14" t="inlineStr">
        <is>
          <t>pts 100.5 [sim: playoffs 70%, rd2 35%, conf final 17%]</t>
        </is>
      </c>
      <c r="X14" s="16" t="inlineStr">
        <is>
          <t>Mitchell</t>
        </is>
      </c>
      <c r="Y14">
        <f>N14-IF(T14="C",Assumptions!$B$27,IF(T14="B",Assumptions!$B$26,0))</f>
        <v/>
      </c>
    </row>
    <row r="15">
      <c r="A15" s="19" t="inlineStr">
        <is>
          <t>Boston Bruins</t>
        </is>
      </c>
      <c r="B15" t="inlineStr">
        <is>
          <t>East</t>
        </is>
      </c>
      <c r="C15" t="inlineStr">
        <is>
          <t>Kalshi +9900</t>
        </is>
      </c>
      <c r="D15" t="n">
        <v>0.0265</v>
      </c>
      <c r="E15" t="n">
        <v>0.0549</v>
      </c>
      <c r="F15" t="n">
        <v>0.123</v>
      </c>
      <c r="G15" t="n">
        <v>0.2772</v>
      </c>
      <c r="H15" t="n">
        <v>0.6195000000000001</v>
      </c>
      <c r="I15" t="n">
        <v>0.5728</v>
      </c>
      <c r="J15" t="n">
        <v>0.0481</v>
      </c>
      <c r="K15" t="n">
        <v>6.086</v>
      </c>
      <c r="L15">
        <f>Assumptions!$B$5*D15+Assumptions!$C$5*(E15-D15)+Assumptions!$D$5*(F15-E15)+Assumptions!$E$5*(G15-F15)+Assumptions!$F$5*(H15-G15)</f>
        <v/>
      </c>
      <c r="M15">
        <f>K15+MIN(L15,Assumptions!$H$5)</f>
        <v/>
      </c>
      <c r="N15">
        <f>M15-Assumptions!$I$5</f>
        <v/>
      </c>
      <c r="O15">
        <f>N15-Assumptions!$B$25*Q15</f>
        <v/>
      </c>
      <c r="P15" t="n">
        <v>3</v>
      </c>
      <c r="Q15" t="n">
        <v>3.594</v>
      </c>
      <c r="R15" t="inlineStr">
        <is>
          <t>Kalshi Cup market (~1 month old) normalised; points totals SportsBettingDime | league_sim.py: full-schedule + real playoff bracket Monte Carlo, ratings fitted to Kalshi</t>
        </is>
      </c>
      <c r="S15" t="inlineStr">
        <is>
          <t>2026-10-08</t>
        </is>
      </c>
      <c r="T15" t="inlineStr">
        <is>
          <t>A</t>
        </is>
      </c>
      <c r="U15" t="inlineStr">
        <is>
          <t>pts 88.5 | price superseded by Kalshi field; p rescaled [sim: playoffs 62%, rd2 28%, conf final 12%]</t>
        </is>
      </c>
      <c r="X15" s="16" t="inlineStr">
        <is>
          <t>Shep</t>
        </is>
      </c>
      <c r="Y15">
        <f>N15-IF(T15="C",Assumptions!$B$27,IF(T15="B",Assumptions!$B$26,0))</f>
        <v/>
      </c>
    </row>
    <row r="16">
      <c r="A16" s="19" t="inlineStr">
        <is>
          <t>Ottawa Senators</t>
        </is>
      </c>
      <c r="B16" t="inlineStr">
        <is>
          <t>East</t>
        </is>
      </c>
      <c r="C16" t="inlineStr">
        <is>
          <t>Kalshi +3900</t>
        </is>
      </c>
      <c r="D16" t="n">
        <v>0.0213</v>
      </c>
      <c r="E16" t="n">
        <v>0.0461</v>
      </c>
      <c r="F16" t="n">
        <v>0.1067</v>
      </c>
      <c r="G16" t="n">
        <v>0.2399</v>
      </c>
      <c r="H16" t="n">
        <v>0.5741000000000001</v>
      </c>
      <c r="I16" t="n">
        <v>0.5658</v>
      </c>
      <c r="J16" t="n">
        <v>0.0484</v>
      </c>
      <c r="K16" t="n">
        <v>5.607</v>
      </c>
      <c r="L16">
        <f>Assumptions!$B$5*D16+Assumptions!$C$5*(E16-D16)+Assumptions!$D$5*(F16-E16)+Assumptions!$E$5*(G16-F16)+Assumptions!$F$5*(H16-G16)</f>
        <v/>
      </c>
      <c r="M16">
        <f>K16+MIN(L16,Assumptions!$H$5)</f>
        <v/>
      </c>
      <c r="N16">
        <f>M16-Assumptions!$I$5</f>
        <v/>
      </c>
      <c r="O16">
        <f>N16-Assumptions!$B$25*Q16</f>
        <v/>
      </c>
      <c r="P16" t="n">
        <v>3</v>
      </c>
      <c r="Q16" t="n">
        <v>3.515</v>
      </c>
      <c r="R16" t="inlineStr">
        <is>
          <t>Kalshi Cup market (~1 month old) normalised; points totals SportsBettingDime | league_sim.py: full-schedule + real playoff bracket Monte Carlo, ratings fitted to Kalshi</t>
        </is>
      </c>
      <c r="S16" t="inlineStr">
        <is>
          <t>2026-10-08</t>
        </is>
      </c>
      <c r="T16" t="inlineStr">
        <is>
          <t>A</t>
        </is>
      </c>
      <c r="U16" t="inlineStr">
        <is>
          <t>pts 94.5 | price superseded by Kalshi field; p rescaled [sim: playoffs 57%, rd2 24%, conf final 11%]</t>
        </is>
      </c>
      <c r="Y16">
        <f>N16-IF(T16="C",Assumptions!$B$27,IF(T16="B",Assumptions!$B$26,0))</f>
        <v/>
      </c>
    </row>
    <row r="17">
      <c r="A17" s="19" t="inlineStr">
        <is>
          <t>New Jersey Devils</t>
        </is>
      </c>
      <c r="B17" t="inlineStr">
        <is>
          <t>East</t>
        </is>
      </c>
      <c r="C17" t="inlineStr">
        <is>
          <t>Kalshi 3.5%</t>
        </is>
      </c>
      <c r="D17" t="n">
        <v>0.028</v>
      </c>
      <c r="E17" t="n">
        <v>0.0571</v>
      </c>
      <c r="F17" t="n">
        <v>0.1242</v>
      </c>
      <c r="G17" t="n">
        <v>0.2712</v>
      </c>
      <c r="H17" t="n">
        <v>0.5534</v>
      </c>
      <c r="I17" t="n">
        <v>0.5595</v>
      </c>
      <c r="J17" t="n">
        <v>0.0478</v>
      </c>
      <c r="K17" t="n">
        <v>5.192</v>
      </c>
      <c r="L17">
        <f>Assumptions!$B$5*D17+Assumptions!$C$5*(E17-D17)+Assumptions!$D$5*(F17-E17)+Assumptions!$E$5*(G17-F17)+Assumptions!$F$5*(H17-G17)</f>
        <v/>
      </c>
      <c r="M17">
        <f>K17+MIN(L17,Assumptions!$H$5)</f>
        <v/>
      </c>
      <c r="N17">
        <f>M17-Assumptions!$I$5</f>
        <v/>
      </c>
      <c r="O17">
        <f>N17-Assumptions!$B$25*Q17</f>
        <v/>
      </c>
      <c r="P17" t="n">
        <v>3</v>
      </c>
      <c r="Q17" t="n">
        <v>3.408</v>
      </c>
      <c r="R17" t="inlineStr">
        <is>
          <t>KXNHL-27 exchange mid-price, pulled 2026-10-08; p(final)=KXNHLEAST/KXNHLWEST-27 Kalshi mid | league_sim.py: full-schedule + real playoff bracket Monte Carlo, ratings fitted to Kalshi</t>
        </is>
      </c>
      <c r="S17" t="inlineStr">
        <is>
          <t>2026-10-08</t>
        </is>
      </c>
      <c r="T17" t="inlineStr">
        <is>
          <t>A</t>
        </is>
      </c>
      <c r="U17" t="inlineStr">
        <is>
          <t>pts 95.5 [sim: playoffs 55%, rd2 27%, conf final 12%]</t>
        </is>
      </c>
      <c r="X17" s="16" t="inlineStr">
        <is>
          <t>Wu</t>
        </is>
      </c>
      <c r="Y17">
        <f>N17-IF(T17="C",Assumptions!$B$27,IF(T17="B",Assumptions!$B$26,0))</f>
        <v/>
      </c>
    </row>
    <row r="18">
      <c r="A18" t="inlineStr">
        <is>
          <t>Montreal Canadiens</t>
        </is>
      </c>
      <c r="B18" t="inlineStr">
        <is>
          <t>East</t>
        </is>
      </c>
      <c r="C18" t="inlineStr">
        <is>
          <t>Kalshi 4.5%</t>
        </is>
      </c>
      <c r="D18" t="n">
        <v>0.0357</v>
      </c>
      <c r="E18" t="n">
        <v>0.0679</v>
      </c>
      <c r="F18" t="n">
        <v>0.132</v>
      </c>
      <c r="G18" t="n">
        <v>0.2632</v>
      </c>
      <c r="H18" t="n">
        <v>0.5228</v>
      </c>
      <c r="I18" t="n">
        <v>0.5597</v>
      </c>
      <c r="J18" t="n">
        <v>0.0478</v>
      </c>
      <c r="K18" t="n">
        <v>5.17</v>
      </c>
      <c r="L18">
        <f>Assumptions!$B$5*D18+Assumptions!$C$5*(E18-D18)+Assumptions!$D$5*(F18-E18)+Assumptions!$E$5*(G18-F18)+Assumptions!$F$5*(H18-G18)</f>
        <v/>
      </c>
      <c r="M18">
        <f>K18+MIN(L18,Assumptions!$H$5)</f>
        <v/>
      </c>
      <c r="N18">
        <f>M18-Assumptions!$I$5</f>
        <v/>
      </c>
      <c r="O18">
        <f>N18-Assumptions!$B$25*Q18</f>
        <v/>
      </c>
      <c r="P18" t="n">
        <v>4</v>
      </c>
      <c r="Q18" t="n">
        <v>3.445</v>
      </c>
      <c r="R18" t="inlineStr">
        <is>
          <t>KXNHL-27 exchange mid-price, pulled 2026-10-08; p(final)=KXNHLEAST/KXNHLWEST-27 Kalshi mid | league_sim.py: full-schedule + real playoff bracket Monte Carlo, ratings fitted to Kalshi</t>
        </is>
      </c>
      <c r="S18" t="inlineStr">
        <is>
          <t>2026-10-08</t>
        </is>
      </c>
      <c r="T18" t="inlineStr">
        <is>
          <t>A</t>
        </is>
      </c>
      <c r="U18" t="inlineStr">
        <is>
          <t>pts 98.5 [sim: playoffs 52%, rd2 26%, conf final 13%]</t>
        </is>
      </c>
      <c r="Y18">
        <f>N18-IF(T18="C",Assumptions!$B$27,IF(T18="B",Assumptions!$B$26,0))</f>
        <v/>
      </c>
    </row>
    <row r="19">
      <c r="A19" t="inlineStr">
        <is>
          <t>San Jose Sharks</t>
        </is>
      </c>
      <c r="B19" t="inlineStr">
        <is>
          <t>West</t>
        </is>
      </c>
      <c r="C19" t="inlineStr">
        <is>
          <t>Kalshi 4.5%</t>
        </is>
      </c>
      <c r="D19" t="n">
        <v>0.0286</v>
      </c>
      <c r="E19" t="n">
        <v>0.0633</v>
      </c>
      <c r="F19" t="n">
        <v>0.1439</v>
      </c>
      <c r="G19" t="n">
        <v>0.2921</v>
      </c>
      <c r="H19" t="n">
        <v>0.5856</v>
      </c>
      <c r="I19" t="n">
        <v>0.5545</v>
      </c>
      <c r="J19" t="n">
        <v>0.0474</v>
      </c>
      <c r="K19" t="n">
        <v>4.721</v>
      </c>
      <c r="L19">
        <f>Assumptions!$B$5*D19+Assumptions!$C$5*(E19-D19)+Assumptions!$D$5*(F19-E19)+Assumptions!$E$5*(G19-F19)+Assumptions!$F$5*(H19-G19)</f>
        <v/>
      </c>
      <c r="M19">
        <f>K19+MIN(L19,Assumptions!$H$5)</f>
        <v/>
      </c>
      <c r="N19">
        <f>M19-Assumptions!$I$5</f>
        <v/>
      </c>
      <c r="O19">
        <f>N19-Assumptions!$B$25*Q19</f>
        <v/>
      </c>
      <c r="P19" t="n">
        <v>4</v>
      </c>
      <c r="Q19" t="n">
        <v>3.296</v>
      </c>
      <c r="R19" t="inlineStr">
        <is>
          <t>KXNHL-27 exchange mid-price, pulled 2026-10-08; p(final)=KXNHLEAST/KXNHLWEST-27 Kalshi mid | league_sim.py: full-schedule + real playoff bracket Monte Carlo, ratings fitted to Kalshi</t>
        </is>
      </c>
      <c r="S19" t="inlineStr">
        <is>
          <t>2026-10-08</t>
        </is>
      </c>
      <c r="T19" t="inlineStr">
        <is>
          <t>A</t>
        </is>
      </c>
      <c r="U19" t="inlineStr">
        <is>
          <t>pts 94.5 [sim: playoffs 59%, rd2 29%, conf final 14%]</t>
        </is>
      </c>
      <c r="Y19">
        <f>N19-IF(T19="C",Assumptions!$B$27,IF(T19="B",Assumptions!$B$26,0))</f>
        <v/>
      </c>
    </row>
    <row r="20">
      <c r="A20" t="inlineStr">
        <is>
          <t>Buffalo Sabres</t>
        </is>
      </c>
      <c r="B20" t="inlineStr">
        <is>
          <t>East</t>
        </is>
      </c>
      <c r="C20" t="inlineStr">
        <is>
          <t>Kalshi +2757</t>
        </is>
      </c>
      <c r="D20" t="n">
        <v>0.0255</v>
      </c>
      <c r="E20" t="n">
        <v>0.0505</v>
      </c>
      <c r="F20" t="n">
        <v>0.1024</v>
      </c>
      <c r="G20" t="n">
        <v>0.2122</v>
      </c>
      <c r="H20" t="n">
        <v>0.4434</v>
      </c>
      <c r="I20" t="n">
        <v>0.5503</v>
      </c>
      <c r="J20" t="n">
        <v>0.0473</v>
      </c>
      <c r="K20" t="n">
        <v>4.569</v>
      </c>
      <c r="L20">
        <f>Assumptions!$B$5*D20+Assumptions!$C$5*(E20-D20)+Assumptions!$D$5*(F20-E20)+Assumptions!$E$5*(G20-F20)+Assumptions!$F$5*(H20-G20)</f>
        <v/>
      </c>
      <c r="M20">
        <f>K20+MIN(L20,Assumptions!$H$5)</f>
        <v/>
      </c>
      <c r="N20">
        <f>M20-Assumptions!$I$5</f>
        <v/>
      </c>
      <c r="O20">
        <f>N20-Assumptions!$B$25*Q20</f>
        <v/>
      </c>
      <c r="P20" t="n">
        <v>4</v>
      </c>
      <c r="Q20" t="n">
        <v>3.233</v>
      </c>
      <c r="R20" t="inlineStr">
        <is>
          <t>Kalshi Cup market (~1 month old) normalised; points totals SportsBettingDime; p(final)=KXNHLEAST/KXNHLWEST-27 Kalshi mid | league_sim.py: full-schedule + real playoff bracket Monte Carlo, ratings fitted to Kalshi</t>
        </is>
      </c>
      <c r="S20" t="inlineStr">
        <is>
          <t>2026-10-08</t>
        </is>
      </c>
      <c r="T20" t="inlineStr">
        <is>
          <t>A</t>
        </is>
      </c>
      <c r="U20" t="inlineStr">
        <is>
          <t>pts 96.5 | price superseded by Kalshi field; p rescaled [sim: playoffs 44%, rd2 21%, conf final 10%]</t>
        </is>
      </c>
      <c r="Y20">
        <f>N20-IF(T20="C",Assumptions!$B$27,IF(T20="B",Assumptions!$B$26,0))</f>
        <v/>
      </c>
    </row>
    <row r="21">
      <c r="A21" t="inlineStr">
        <is>
          <t>Anaheim Ducks</t>
        </is>
      </c>
      <c r="B21" t="inlineStr">
        <is>
          <t>West</t>
        </is>
      </c>
      <c r="C21" t="inlineStr">
        <is>
          <t>Kalshi 3.5%</t>
        </is>
      </c>
      <c r="D21" t="n">
        <v>0.0195</v>
      </c>
      <c r="E21" t="n">
        <v>0.0486</v>
      </c>
      <c r="F21" t="n">
        <v>0.109</v>
      </c>
      <c r="G21" t="n">
        <v>0.227</v>
      </c>
      <c r="H21" t="n">
        <v>0.4835</v>
      </c>
      <c r="I21" t="n">
        <v>0.5436</v>
      </c>
      <c r="J21" t="n">
        <v>0.0488</v>
      </c>
      <c r="K21" t="n">
        <v>4.201</v>
      </c>
      <c r="L21">
        <f>Assumptions!$B$5*D21+Assumptions!$C$5*(E21-D21)+Assumptions!$D$5*(F21-E21)+Assumptions!$E$5*(G21-F21)+Assumptions!$F$5*(H21-G21)</f>
        <v/>
      </c>
      <c r="M21">
        <f>K21+MIN(L21,Assumptions!$H$5)</f>
        <v/>
      </c>
      <c r="N21">
        <f>M21-Assumptions!$I$5</f>
        <v/>
      </c>
      <c r="O21">
        <f>N21-Assumptions!$B$25*Q21</f>
        <v/>
      </c>
      <c r="P21" t="n">
        <v>4</v>
      </c>
      <c r="Q21" t="n">
        <v>3.15</v>
      </c>
      <c r="R21" t="inlineStr">
        <is>
          <t>KXNHL-27 exchange mid-price, pulled 2026-10-08; p(final)=KXNHLEAST/KXNHLWEST-27 Kalshi mid | league_sim.py: full-schedule + real playoff bracket Monte Carlo, ratings fitted to Kalshi</t>
        </is>
      </c>
      <c r="S21" t="inlineStr">
        <is>
          <t>2026-10-08</t>
        </is>
      </c>
      <c r="T21" t="inlineStr">
        <is>
          <t>A</t>
        </is>
      </c>
      <c r="U21" t="inlineStr">
        <is>
          <t>pts 94.5 [sim: playoffs 48%, rd2 23%, conf final 11%]</t>
        </is>
      </c>
      <c r="Y21">
        <f>N21-IF(T21="C",Assumptions!$B$27,IF(T21="B",Assumptions!$B$26,0))</f>
        <v/>
      </c>
    </row>
    <row r="22">
      <c r="A22" t="inlineStr">
        <is>
          <t>New York Rangers</t>
        </is>
      </c>
      <c r="B22" t="inlineStr">
        <is>
          <t>East</t>
        </is>
      </c>
      <c r="C22" t="inlineStr">
        <is>
          <t>Kalshi +6567</t>
        </is>
      </c>
      <c r="D22" t="n">
        <v>0.013</v>
      </c>
      <c r="E22" t="n">
        <v>0.0311</v>
      </c>
      <c r="F22" t="n">
        <v>0.07770000000000001</v>
      </c>
      <c r="G22" t="n">
        <v>0.1867</v>
      </c>
      <c r="H22" t="n">
        <v>0.4542</v>
      </c>
      <c r="I22" t="n">
        <v>0.5478</v>
      </c>
      <c r="J22" t="n">
        <v>0.0475</v>
      </c>
      <c r="K22" t="n">
        <v>4.452</v>
      </c>
      <c r="L22">
        <f>Assumptions!$B$5*D22+Assumptions!$C$5*(E22-D22)+Assumptions!$D$5*(F22-E22)+Assumptions!$E$5*(G22-F22)+Assumptions!$F$5*(H22-G22)</f>
        <v/>
      </c>
      <c r="M22">
        <f>K22+MIN(L22,Assumptions!$H$5)</f>
        <v/>
      </c>
      <c r="N22">
        <f>M22-Assumptions!$I$5</f>
        <v/>
      </c>
      <c r="O22">
        <f>N22-Assumptions!$B$25*Q22</f>
        <v/>
      </c>
      <c r="P22" t="n">
        <v>4</v>
      </c>
      <c r="Q22" t="n">
        <v>3.206</v>
      </c>
      <c r="R22" t="inlineStr">
        <is>
          <t>Kalshi Cup market (~1 month old) normalised; points totals SportsBettingDime; p(final)=KXNHLEAST/KXNHLWEST-27 Kalshi mid | league_sim.py: full-schedule + real playoff bracket Monte Carlo, ratings fitted to Kalshi</t>
        </is>
      </c>
      <c r="S22" t="inlineStr">
        <is>
          <t>2026-10-08</t>
        </is>
      </c>
      <c r="T22" t="inlineStr">
        <is>
          <t>A</t>
        </is>
      </c>
      <c r="U22" t="inlineStr">
        <is>
          <t>pts 86.5 | price superseded by Kalshi field; p rescaled [sim: playoffs 45%, rd2 19%, conf final 8%]</t>
        </is>
      </c>
      <c r="X22" s="16" t="inlineStr">
        <is>
          <t>Molmen</t>
        </is>
      </c>
      <c r="Y22">
        <f>N22-IF(T22="C",Assumptions!$B$27,IF(T22="B",Assumptions!$B$26,0))</f>
        <v/>
      </c>
    </row>
    <row r="23">
      <c r="A23" t="inlineStr">
        <is>
          <t>Toronto Maple Leafs</t>
        </is>
      </c>
      <c r="B23" t="inlineStr">
        <is>
          <t>East</t>
        </is>
      </c>
      <c r="C23" t="inlineStr">
        <is>
          <t>Kalshi +3900</t>
        </is>
      </c>
      <c r="D23" t="n">
        <v>0.0216</v>
      </c>
      <c r="E23" t="n">
        <v>0.0428</v>
      </c>
      <c r="F23" t="n">
        <v>0.0866</v>
      </c>
      <c r="G23" t="n">
        <v>0.1913</v>
      </c>
      <c r="H23" t="n">
        <v>0.404</v>
      </c>
      <c r="I23" t="n">
        <v>0.5467</v>
      </c>
      <c r="J23" t="n">
        <v>0.0469</v>
      </c>
      <c r="K23" t="n">
        <v>4.338</v>
      </c>
      <c r="L23">
        <f>Assumptions!$B$5*D23+Assumptions!$C$5*(E23-D23)+Assumptions!$D$5*(F23-E23)+Assumptions!$E$5*(G23-F23)+Assumptions!$F$5*(H23-G23)</f>
        <v/>
      </c>
      <c r="M23">
        <f>K23+MIN(L23,Assumptions!$H$5)</f>
        <v/>
      </c>
      <c r="N23">
        <f>M23-Assumptions!$I$5</f>
        <v/>
      </c>
      <c r="O23">
        <f>N23-Assumptions!$B$25*Q23</f>
        <v/>
      </c>
      <c r="P23" t="n">
        <v>4</v>
      </c>
      <c r="Q23" t="n">
        <v>3.172</v>
      </c>
      <c r="R23" t="inlineStr">
        <is>
          <t>Kalshi Cup market (~1 month old) normalised; points totals SportsBettingDime; p(final)=KXNHLEAST/KXNHLWEST-27 Kalshi mid | league_sim.py: full-schedule + real playoff bracket Monte Carlo, ratings fitted to Kalshi</t>
        </is>
      </c>
      <c r="S23" t="inlineStr">
        <is>
          <t>2026-10-08</t>
        </is>
      </c>
      <c r="T23" t="inlineStr">
        <is>
          <t>A</t>
        </is>
      </c>
      <c r="U23" t="inlineStr">
        <is>
          <t>est. [sim: playoffs 40%, rd2 19%, conf final 9%]</t>
        </is>
      </c>
      <c r="X23" s="16" t="inlineStr">
        <is>
          <t>Jens</t>
        </is>
      </c>
      <c r="Y23">
        <f>N23-IF(T23="C",Assumptions!$B$27,IF(T23="B",Assumptions!$B$26,0))</f>
        <v/>
      </c>
    </row>
    <row r="24">
      <c r="A24" t="inlineStr">
        <is>
          <t>Los Angeles Kings</t>
        </is>
      </c>
      <c r="B24" t="inlineStr">
        <is>
          <t>West</t>
        </is>
      </c>
      <c r="C24" t="inlineStr">
        <is>
          <t>Kalshi +6567</t>
        </is>
      </c>
      <c r="D24" t="n">
        <v>0.021</v>
      </c>
      <c r="E24" t="n">
        <v>0.0504</v>
      </c>
      <c r="F24" t="n">
        <v>0.09760000000000001</v>
      </c>
      <c r="G24" t="n">
        <v>0.2013</v>
      </c>
      <c r="H24" t="n">
        <v>0.4044</v>
      </c>
      <c r="I24" t="n">
        <v>0.5331</v>
      </c>
      <c r="J24" t="n">
        <v>0.0477</v>
      </c>
      <c r="K24" t="n">
        <v>3.595</v>
      </c>
      <c r="L24">
        <f>Assumptions!$B$5*D24+Assumptions!$C$5*(E24-D24)+Assumptions!$D$5*(F24-E24)+Assumptions!$E$5*(G24-F24)+Assumptions!$F$5*(H24-G24)</f>
        <v/>
      </c>
      <c r="M24">
        <f>K24+MIN(L24,Assumptions!$H$5)</f>
        <v/>
      </c>
      <c r="N24">
        <f>M24-Assumptions!$I$5</f>
        <v/>
      </c>
      <c r="O24">
        <f>N24-Assumptions!$B$25*Q24</f>
        <v/>
      </c>
      <c r="P24" t="n">
        <v>4</v>
      </c>
      <c r="Q24" t="n">
        <v>2.854</v>
      </c>
      <c r="R24" t="inlineStr">
        <is>
          <t>Kalshi Cup market (~1 month old) normalised; points totals SportsBettingDime; p(final)=KXNHLEAST/KXNHLWEST-27 Kalshi mid | league_sim.py: full-schedule + real playoff bracket Monte Carlo, ratings fitted to Kalshi</t>
        </is>
      </c>
      <c r="S24" t="inlineStr">
        <is>
          <t>2026-10-08</t>
        </is>
      </c>
      <c r="T24" t="inlineStr">
        <is>
          <t>A</t>
        </is>
      </c>
      <c r="U24" t="inlineStr">
        <is>
          <t>pts 95.5 | price superseded by Kalshi field; p rescaled [sim: playoffs 40%, rd2 20%, conf final 10%]</t>
        </is>
      </c>
      <c r="Y24">
        <f>N24-IF(T24="C",Assumptions!$B$27,IF(T24="B",Assumptions!$B$26,0))</f>
        <v/>
      </c>
    </row>
    <row r="25">
      <c r="A25" t="inlineStr">
        <is>
          <t>Seattle Kraken</t>
        </is>
      </c>
      <c r="B25" t="inlineStr">
        <is>
          <t>West</t>
        </is>
      </c>
      <c r="C25" t="inlineStr">
        <is>
          <t>Kalshi +9900</t>
        </is>
      </c>
      <c r="D25" t="n">
        <v>0.0067</v>
      </c>
      <c r="E25" t="n">
        <v>0.0205</v>
      </c>
      <c r="F25" t="n">
        <v>0.0589</v>
      </c>
      <c r="G25" t="n">
        <v>0.1598</v>
      </c>
      <c r="H25" t="n">
        <v>0.4096</v>
      </c>
      <c r="I25" t="n">
        <v>0.5348000000000001</v>
      </c>
      <c r="J25" t="n">
        <v>0.0473</v>
      </c>
      <c r="K25" t="n">
        <v>3.665</v>
      </c>
      <c r="L25">
        <f>Assumptions!$B$5*D25+Assumptions!$C$5*(E25-D25)+Assumptions!$D$5*(F25-E25)+Assumptions!$E$5*(G25-F25)+Assumptions!$F$5*(H25-G25)</f>
        <v/>
      </c>
      <c r="M25">
        <f>K25+MIN(L25,Assumptions!$H$5)</f>
        <v/>
      </c>
      <c r="N25">
        <f>M25-Assumptions!$I$5</f>
        <v/>
      </c>
      <c r="O25">
        <f>N25-Assumptions!$B$25*Q25</f>
        <v/>
      </c>
      <c r="P25" t="n">
        <v>4</v>
      </c>
      <c r="Q25" t="n">
        <v>2.877</v>
      </c>
      <c r="R25" t="inlineStr">
        <is>
          <t>Kalshi Cup market (~1 month old) normalised; points totals SportsBettingDime | league_sim.py: full-schedule + real playoff bracket Monte Carlo, ratings fitted to Kalshi</t>
        </is>
      </c>
      <c r="S25" t="inlineStr">
        <is>
          <t>2026-10-08</t>
        </is>
      </c>
      <c r="T25" t="inlineStr">
        <is>
          <t>A</t>
        </is>
      </c>
      <c r="U25" t="inlineStr">
        <is>
          <t>est. [sim: playoffs 41%, rd2 16%, conf final 6%]</t>
        </is>
      </c>
      <c r="Y25">
        <f>N25-IF(T25="C",Assumptions!$B$27,IF(T25="B",Assumptions!$B$26,0))</f>
        <v/>
      </c>
    </row>
    <row r="26">
      <c r="A26" t="inlineStr">
        <is>
          <t>St. Louis Blues</t>
        </is>
      </c>
      <c r="B26" t="inlineStr">
        <is>
          <t>West</t>
        </is>
      </c>
      <c r="C26" t="inlineStr">
        <is>
          <t>Kalshi +9900</t>
        </is>
      </c>
      <c r="D26" t="n">
        <v>0.0112</v>
      </c>
      <c r="E26" t="n">
        <v>0.0257</v>
      </c>
      <c r="F26" t="n">
        <v>0.0578</v>
      </c>
      <c r="G26" t="n">
        <v>0.1444</v>
      </c>
      <c r="H26" t="n">
        <v>0.3646</v>
      </c>
      <c r="I26" t="n">
        <v>0.5295</v>
      </c>
      <c r="J26" t="n">
        <v>0.0484</v>
      </c>
      <c r="K26" t="n">
        <v>3.44</v>
      </c>
      <c r="L26">
        <f>Assumptions!$B$5*D26+Assumptions!$C$5*(E26-D26)+Assumptions!$D$5*(F26-E26)+Assumptions!$E$5*(G26-F26)+Assumptions!$F$5*(H26-G26)</f>
        <v/>
      </c>
      <c r="M26">
        <f>K26+MIN(L26,Assumptions!$H$5)</f>
        <v/>
      </c>
      <c r="N26">
        <f>M26-Assumptions!$I$5</f>
        <v/>
      </c>
      <c r="O26">
        <f>N26-Assumptions!$B$25*Q26</f>
        <v/>
      </c>
      <c r="P26" t="n">
        <v>4</v>
      </c>
      <c r="Q26" t="n">
        <v>2.773</v>
      </c>
      <c r="R26" t="inlineStr">
        <is>
          <t>Kalshi Cup market (~1 month old) normalised; points totals SportsBettingDime | league_sim.py: full-schedule + real playoff bracket Monte Carlo, ratings fitted to Kalshi</t>
        </is>
      </c>
      <c r="S26" t="inlineStr">
        <is>
          <t>2026-10-08</t>
        </is>
      </c>
      <c r="T26" t="inlineStr">
        <is>
          <t>A</t>
        </is>
      </c>
      <c r="U26" t="inlineStr">
        <is>
          <t>est. [sim: playoffs 36%, rd2 14%, conf final 6%]</t>
        </is>
      </c>
      <c r="Y26">
        <f>N26-IF(T26="C",Assumptions!$B$27,IF(T26="B",Assumptions!$B$26,0))</f>
        <v/>
      </c>
    </row>
    <row r="27">
      <c r="A27" t="inlineStr">
        <is>
          <t>New York Islanders</t>
        </is>
      </c>
      <c r="B27" t="inlineStr">
        <is>
          <t>East</t>
        </is>
      </c>
      <c r="C27" t="inlineStr">
        <is>
          <t>Kalshi +9900</t>
        </is>
      </c>
      <c r="D27" t="n">
        <v>0.0076</v>
      </c>
      <c r="E27" t="n">
        <v>0.02</v>
      </c>
      <c r="F27" t="n">
        <v>0.0488</v>
      </c>
      <c r="G27" t="n">
        <v>0.1229</v>
      </c>
      <c r="H27" t="n">
        <v>0.3101</v>
      </c>
      <c r="I27" t="n">
        <v>0.5289</v>
      </c>
      <c r="J27" t="n">
        <v>0.0478</v>
      </c>
      <c r="K27" t="n">
        <v>3.376</v>
      </c>
      <c r="L27">
        <f>Assumptions!$B$5*D27+Assumptions!$C$5*(E27-D27)+Assumptions!$D$5*(F27-E27)+Assumptions!$E$5*(G27-F27)+Assumptions!$F$5*(H27-G27)</f>
        <v/>
      </c>
      <c r="M27">
        <f>K27+MIN(L27,Assumptions!$H$5)</f>
        <v/>
      </c>
      <c r="N27">
        <f>M27-Assumptions!$I$5</f>
        <v/>
      </c>
      <c r="O27">
        <f>N27-Assumptions!$B$25*Q27</f>
        <v/>
      </c>
      <c r="P27" t="n">
        <v>4</v>
      </c>
      <c r="Q27" t="n">
        <v>2.71</v>
      </c>
      <c r="R27" t="inlineStr">
        <is>
          <t>Kalshi Cup market (~1 month old) normalised; points totals SportsBettingDime | league_sim.py: full-schedule + real playoff bracket Monte Carlo, ratings fitted to Kalshi</t>
        </is>
      </c>
      <c r="S27" t="inlineStr">
        <is>
          <t>2026-10-08</t>
        </is>
      </c>
      <c r="T27" t="inlineStr">
        <is>
          <t>A</t>
        </is>
      </c>
      <c r="U27" t="inlineStr">
        <is>
          <t>pts 88.5 | price superseded by Kalshi field; p rescaled [sim: playoffs 31%, rd2 12%, conf final 5%]</t>
        </is>
      </c>
      <c r="Y27">
        <f>N27-IF(T27="C",Assumptions!$B$27,IF(T27="B",Assumptions!$B$26,0))</f>
        <v/>
      </c>
    </row>
    <row r="28">
      <c r="A28" t="inlineStr">
        <is>
          <t>Columbus Blue Jackets</t>
        </is>
      </c>
      <c r="B28" t="inlineStr">
        <is>
          <t>East</t>
        </is>
      </c>
      <c r="C28" t="inlineStr">
        <is>
          <t>Kalshi +6567</t>
        </is>
      </c>
      <c r="D28" t="n">
        <v>0.008399999999999999</v>
      </c>
      <c r="E28" t="n">
        <v>0.0182</v>
      </c>
      <c r="F28" t="n">
        <v>0.0488</v>
      </c>
      <c r="G28" t="n">
        <v>0.1197</v>
      </c>
      <c r="H28" t="n">
        <v>0.279</v>
      </c>
      <c r="I28" t="n">
        <v>0.5251</v>
      </c>
      <c r="J28" t="n">
        <v>0.0484</v>
      </c>
      <c r="K28" t="n">
        <v>3.18</v>
      </c>
      <c r="L28">
        <f>Assumptions!$B$5*D28+Assumptions!$C$5*(E28-D28)+Assumptions!$D$5*(F28-E28)+Assumptions!$E$5*(G28-F28)+Assumptions!$F$5*(H28-G28)</f>
        <v/>
      </c>
      <c r="M28">
        <f>K28+MIN(L28,Assumptions!$H$5)</f>
        <v/>
      </c>
      <c r="N28">
        <f>M28-Assumptions!$I$5</f>
        <v/>
      </c>
      <c r="O28">
        <f>N28-Assumptions!$B$25*Q28</f>
        <v/>
      </c>
      <c r="P28" t="n">
        <v>4</v>
      </c>
      <c r="Q28" t="n">
        <v>2.626</v>
      </c>
      <c r="R28" t="inlineStr">
        <is>
          <t>Kalshi Cup market (~1 month old) normalised; points totals SportsBettingDime | league_sim.py: full-schedule + real playoff bracket Monte Carlo, ratings fitted to Kalshi</t>
        </is>
      </c>
      <c r="S28" t="inlineStr">
        <is>
          <t>2026-10-08</t>
        </is>
      </c>
      <c r="T28" t="inlineStr">
        <is>
          <t>A</t>
        </is>
      </c>
      <c r="U28" t="inlineStr">
        <is>
          <t>pts 91.5 | price superseded by Kalshi field; p rescaled [sim: playoffs 28%, rd2 12%, conf final 5%]</t>
        </is>
      </c>
      <c r="Y28">
        <f>N28-IF(T28="C",Assumptions!$B$27,IF(T28="B",Assumptions!$B$26,0))</f>
        <v/>
      </c>
    </row>
    <row r="29">
      <c r="A29" t="inlineStr">
        <is>
          <t>Winnipeg Jets</t>
        </is>
      </c>
      <c r="B29" t="inlineStr">
        <is>
          <t>West</t>
        </is>
      </c>
      <c r="C29" t="inlineStr">
        <is>
          <t>Kalshi +9900</t>
        </is>
      </c>
      <c r="D29" t="n">
        <v>0.007900000000000001</v>
      </c>
      <c r="E29" t="n">
        <v>0.0185</v>
      </c>
      <c r="F29" t="n">
        <v>0.0466</v>
      </c>
      <c r="G29" t="n">
        <v>0.1164</v>
      </c>
      <c r="H29" t="n">
        <v>0.2919</v>
      </c>
      <c r="I29" t="n">
        <v>0.5211</v>
      </c>
      <c r="J29" t="n">
        <v>0.0483</v>
      </c>
      <c r="K29" t="n">
        <v>3.028</v>
      </c>
      <c r="L29">
        <f>Assumptions!$B$5*D29+Assumptions!$C$5*(E29-D29)+Assumptions!$D$5*(F29-E29)+Assumptions!$E$5*(G29-F29)+Assumptions!$F$5*(H29-G29)</f>
        <v/>
      </c>
      <c r="M29">
        <f>K29+MIN(L29,Assumptions!$H$5)</f>
        <v/>
      </c>
      <c r="N29">
        <f>M29-Assumptions!$I$5</f>
        <v/>
      </c>
      <c r="O29">
        <f>N29-Assumptions!$B$25*Q29</f>
        <v/>
      </c>
      <c r="P29" t="n">
        <v>4</v>
      </c>
      <c r="Q29" t="n">
        <v>2.555</v>
      </c>
      <c r="R29" t="inlineStr">
        <is>
          <t>Kalshi Cup market (~1 month old) normalised; points totals SportsBettingDime | league_sim.py: full-schedule + real playoff bracket Monte Carlo, ratings fitted to Kalshi</t>
        </is>
      </c>
      <c r="S29" t="inlineStr">
        <is>
          <t>2026-10-08</t>
        </is>
      </c>
      <c r="T29" t="inlineStr">
        <is>
          <t>A</t>
        </is>
      </c>
      <c r="U29" t="inlineStr">
        <is>
          <t>est. [sim: playoffs 29%, rd2 12%, conf final 5%]</t>
        </is>
      </c>
      <c r="Y29">
        <f>N29-IF(T29="C",Assumptions!$B$27,IF(T29="B",Assumptions!$B$26,0))</f>
        <v/>
      </c>
    </row>
    <row r="30">
      <c r="A30" t="inlineStr">
        <is>
          <t>Philadelphia Flyers</t>
        </is>
      </c>
      <c r="B30" t="inlineStr">
        <is>
          <t>East</t>
        </is>
      </c>
      <c r="C30" t="inlineStr">
        <is>
          <t>Kalshi +6567</t>
        </is>
      </c>
      <c r="D30" t="n">
        <v>0.011</v>
      </c>
      <c r="E30" t="n">
        <v>0.0221</v>
      </c>
      <c r="F30" t="n">
        <v>0.0467</v>
      </c>
      <c r="G30" t="n">
        <v>0.1014</v>
      </c>
      <c r="H30" t="n">
        <v>0.2191</v>
      </c>
      <c r="I30" t="n">
        <v>0.5159</v>
      </c>
      <c r="J30" t="n">
        <v>0.0473</v>
      </c>
      <c r="K30" t="n">
        <v>2.85</v>
      </c>
      <c r="L30">
        <f>Assumptions!$B$5*D30+Assumptions!$C$5*(E30-D30)+Assumptions!$D$5*(F30-E30)+Assumptions!$E$5*(G30-F30)+Assumptions!$F$5*(H30-G30)</f>
        <v/>
      </c>
      <c r="M30">
        <f>K30+MIN(L30,Assumptions!$H$5)</f>
        <v/>
      </c>
      <c r="N30">
        <f>M30-Assumptions!$I$5</f>
        <v/>
      </c>
      <c r="O30">
        <f>N30-Assumptions!$B$25*Q30</f>
        <v/>
      </c>
      <c r="P30" t="n">
        <v>4</v>
      </c>
      <c r="Q30" t="n">
        <v>2.423</v>
      </c>
      <c r="R30" t="inlineStr">
        <is>
          <t>Kalshi Cup market (~1 month old) normalised; points totals SportsBettingDime | league_sim.py: full-schedule + real playoff bracket Monte Carlo, ratings fitted to Kalshi</t>
        </is>
      </c>
      <c r="S30" t="inlineStr">
        <is>
          <t>2026-10-08</t>
        </is>
      </c>
      <c r="T30" t="inlineStr">
        <is>
          <t>A</t>
        </is>
      </c>
      <c r="U30" t="inlineStr">
        <is>
          <t>pts 93.5 | price superseded by Kalshi field; p rescaled [sim: playoffs 22%, rd2 10%, conf final 5%]</t>
        </is>
      </c>
      <c r="Y30">
        <f>N30-IF(T30="C",Assumptions!$B$27,IF(T30="B",Assumptions!$B$26,0))</f>
        <v/>
      </c>
    </row>
    <row r="31">
      <c r="A31" t="inlineStr">
        <is>
          <t>Pittsburgh Penguins</t>
        </is>
      </c>
      <c r="B31" t="inlineStr">
        <is>
          <t>East</t>
        </is>
      </c>
      <c r="C31" t="inlineStr">
        <is>
          <t>Kalshi +4900</t>
        </is>
      </c>
      <c r="D31" t="n">
        <v>0.0047</v>
      </c>
      <c r="E31" t="n">
        <v>0.0124</v>
      </c>
      <c r="F31" t="n">
        <v>0.0339</v>
      </c>
      <c r="G31" t="n">
        <v>0.0882</v>
      </c>
      <c r="H31" t="n">
        <v>0.2051</v>
      </c>
      <c r="I31" t="n">
        <v>0.5138</v>
      </c>
      <c r="J31" t="n">
        <v>0.0478</v>
      </c>
      <c r="K31" t="n">
        <v>2.797</v>
      </c>
      <c r="L31">
        <f>Assumptions!$B$5*D31+Assumptions!$C$5*(E31-D31)+Assumptions!$D$5*(F31-E31)+Assumptions!$E$5*(G31-F31)+Assumptions!$F$5*(H31-G31)</f>
        <v/>
      </c>
      <c r="M31">
        <f>K31+MIN(L31,Assumptions!$H$5)</f>
        <v/>
      </c>
      <c r="N31">
        <f>M31-Assumptions!$I$5</f>
        <v/>
      </c>
      <c r="O31">
        <f>N31-Assumptions!$B$25*Q31</f>
        <v/>
      </c>
      <c r="P31" t="n">
        <v>4</v>
      </c>
      <c r="Q31" t="n">
        <v>2.44</v>
      </c>
      <c r="R31" t="inlineStr">
        <is>
          <t>Kalshi Cup market (~1 month old) normalised; points totals SportsBettingDime | league_sim.py: full-schedule + real playoff bracket Monte Carlo, ratings fitted to Kalshi</t>
        </is>
      </c>
      <c r="S31" t="inlineStr">
        <is>
          <t>2026-10-08</t>
        </is>
      </c>
      <c r="T31" t="inlineStr">
        <is>
          <t>A</t>
        </is>
      </c>
      <c r="U31" t="inlineStr">
        <is>
          <t>pts 89.5 | price superseded by Kalshi field; p rescaled [sim: playoffs 21%, rd2 9%, conf final 3%]</t>
        </is>
      </c>
      <c r="Y31">
        <f>N31-IF(T31="C",Assumptions!$B$27,IF(T31="B",Assumptions!$B$26,0))</f>
        <v/>
      </c>
    </row>
    <row r="32">
      <c r="A32" t="inlineStr">
        <is>
          <t>Chicago Blackhawks</t>
        </is>
      </c>
      <c r="B32" t="inlineStr">
        <is>
          <t>West</t>
        </is>
      </c>
      <c r="C32" t="inlineStr">
        <is>
          <t>Kalshi +9900</t>
        </is>
      </c>
      <c r="D32" t="n">
        <v>0.0054</v>
      </c>
      <c r="E32" t="n">
        <v>0.0149</v>
      </c>
      <c r="F32" t="n">
        <v>0.035</v>
      </c>
      <c r="G32" t="n">
        <v>0.08699999999999999</v>
      </c>
      <c r="H32" t="n">
        <v>0.2244</v>
      </c>
      <c r="I32" t="n">
        <v>0.5104</v>
      </c>
      <c r="J32" t="n">
        <v>0.0482</v>
      </c>
      <c r="K32" t="n">
        <v>2.619</v>
      </c>
      <c r="L32">
        <f>Assumptions!$B$5*D32+Assumptions!$C$5*(E32-D32)+Assumptions!$D$5*(F32-E32)+Assumptions!$E$5*(G32-F32)+Assumptions!$F$5*(H32-G32)</f>
        <v/>
      </c>
      <c r="M32">
        <f>K32+MIN(L32,Assumptions!$H$5)</f>
        <v/>
      </c>
      <c r="N32">
        <f>M32-Assumptions!$I$5</f>
        <v/>
      </c>
      <c r="O32">
        <f>N32-Assumptions!$B$25*Q32</f>
        <v/>
      </c>
      <c r="P32" t="n">
        <v>4</v>
      </c>
      <c r="Q32" t="n">
        <v>2.285</v>
      </c>
      <c r="R32" t="inlineStr">
        <is>
          <t>Kalshi Cup market (~1 month old) normalised; points totals SportsBettingDime | league_sim.py: full-schedule + real playoff bracket Monte Carlo, ratings fitted to Kalshi</t>
        </is>
      </c>
      <c r="S32" t="inlineStr">
        <is>
          <t>2026-10-08</t>
        </is>
      </c>
      <c r="T32" t="inlineStr">
        <is>
          <t>A</t>
        </is>
      </c>
      <c r="U32" t="inlineStr">
        <is>
          <t>pts 79.5 | price superseded by Kalshi field; p rescaled [sim: playoffs 22%, rd2 9%, conf final 4%]</t>
        </is>
      </c>
      <c r="Y32">
        <f>N32-IF(T32="C",Assumptions!$B$27,IF(T32="B",Assumptions!$B$26,0))</f>
        <v/>
      </c>
    </row>
    <row r="33">
      <c r="A33" t="inlineStr">
        <is>
          <t>Nashville Predators</t>
        </is>
      </c>
      <c r="B33" t="inlineStr">
        <is>
          <t>West</t>
        </is>
      </c>
      <c r="C33" t="inlineStr">
        <is>
          <t>Kalshi +9900</t>
        </is>
      </c>
      <c r="D33" t="n">
        <v>0.0047</v>
      </c>
      <c r="E33" t="n">
        <v>0.0125</v>
      </c>
      <c r="F33" t="n">
        <v>0.0333</v>
      </c>
      <c r="G33" t="n">
        <v>0.0819</v>
      </c>
      <c r="H33" t="n">
        <v>0.2075</v>
      </c>
      <c r="I33" t="n">
        <v>0.5091</v>
      </c>
      <c r="J33" t="n">
        <v>0.0479</v>
      </c>
      <c r="K33" t="n">
        <v>2.574</v>
      </c>
      <c r="L33">
        <f>Assumptions!$B$5*D33+Assumptions!$C$5*(E33-D33)+Assumptions!$D$5*(F33-E33)+Assumptions!$E$5*(G33-F33)+Assumptions!$F$5*(H33-G33)</f>
        <v/>
      </c>
      <c r="M33">
        <f>K33+MIN(L33,Assumptions!$H$5)</f>
        <v/>
      </c>
      <c r="N33">
        <f>M33-Assumptions!$I$5</f>
        <v/>
      </c>
      <c r="O33">
        <f>N33-Assumptions!$B$25*Q33</f>
        <v/>
      </c>
      <c r="P33" t="n">
        <v>4</v>
      </c>
      <c r="Q33" t="n">
        <v>2.234</v>
      </c>
      <c r="R33" t="inlineStr">
        <is>
          <t>Kalshi Cup market (~1 month old) normalised; points totals SportsBettingDime | league_sim.py: full-schedule + real playoff bracket Monte Carlo, ratings fitted to Kalshi</t>
        </is>
      </c>
      <c r="S33" t="inlineStr">
        <is>
          <t>2026-10-08</t>
        </is>
      </c>
      <c r="T33" t="inlineStr">
        <is>
          <t>A</t>
        </is>
      </c>
      <c r="U33" t="inlineStr">
        <is>
          <t>pts 85.5 | price superseded by Kalshi field; p rescaled [sim: playoffs 21%, rd2 8%, conf final 3%]</t>
        </is>
      </c>
      <c r="Y33">
        <f>N33-IF(T33="C",Assumptions!$B$27,IF(T33="B",Assumptions!$B$26,0))</f>
        <v/>
      </c>
    </row>
    <row r="34">
      <c r="A34" t="inlineStr">
        <is>
          <t>Detroit Red Wings</t>
        </is>
      </c>
      <c r="B34" t="inlineStr">
        <is>
          <t>East</t>
        </is>
      </c>
      <c r="C34" t="inlineStr">
        <is>
          <t>Kalshi +9900</t>
        </is>
      </c>
      <c r="D34" t="n">
        <v>0.005</v>
      </c>
      <c r="E34" t="n">
        <v>0.0115</v>
      </c>
      <c r="F34" t="n">
        <v>0.0266</v>
      </c>
      <c r="G34" t="n">
        <v>0.0591</v>
      </c>
      <c r="H34" t="n">
        <v>0.1578</v>
      </c>
      <c r="I34" t="n">
        <v>0.5086000000000001</v>
      </c>
      <c r="J34" t="n">
        <v>0.0484</v>
      </c>
      <c r="K34" t="n">
        <v>2.531</v>
      </c>
      <c r="L34">
        <f>Assumptions!$B$5*D34+Assumptions!$C$5*(E34-D34)+Assumptions!$D$5*(F34-E34)+Assumptions!$E$5*(G34-F34)+Assumptions!$F$5*(H34-G34)</f>
        <v/>
      </c>
      <c r="M34">
        <f>K34+MIN(L34,Assumptions!$H$5)</f>
        <v/>
      </c>
      <c r="N34">
        <f>M34-Assumptions!$I$5</f>
        <v/>
      </c>
      <c r="O34">
        <f>N34-Assumptions!$B$25*Q34</f>
        <v/>
      </c>
      <c r="P34" t="n">
        <v>4</v>
      </c>
      <c r="Q34" t="n">
        <v>2.228</v>
      </c>
      <c r="R34" t="inlineStr">
        <is>
          <t>Kalshi Cup market (~1 month old) normalised; points totals SportsBettingDime | league_sim.py: full-schedule + real playoff bracket Monte Carlo, ratings fitted to Kalshi</t>
        </is>
      </c>
      <c r="S34" t="inlineStr">
        <is>
          <t>2026-10-08</t>
        </is>
      </c>
      <c r="T34" t="inlineStr">
        <is>
          <t>A</t>
        </is>
      </c>
      <c r="U34" t="inlineStr">
        <is>
          <t>pts 86.5 | price superseded by Kalshi field; p rescaled [sim: playoffs 16%, rd2 6%, conf final 3%]</t>
        </is>
      </c>
      <c r="X34" s="16" t="inlineStr">
        <is>
          <t>Theo</t>
        </is>
      </c>
      <c r="Y34">
        <f>N34-IF(T34="C",Assumptions!$B$27,IF(T34="B",Assumptions!$B$26,0))</f>
        <v/>
      </c>
    </row>
    <row r="35">
      <c r="A35" t="inlineStr">
        <is>
          <t>Calgary Flames</t>
        </is>
      </c>
      <c r="B35" t="inlineStr">
        <is>
          <t>West</t>
        </is>
      </c>
      <c r="C35" t="inlineStr">
        <is>
          <t>Kalshi +9900</t>
        </is>
      </c>
      <c r="D35" t="n">
        <v>0.0031</v>
      </c>
      <c r="E35" t="n">
        <v>0.0065</v>
      </c>
      <c r="F35" t="n">
        <v>0.0192</v>
      </c>
      <c r="G35" t="n">
        <v>0.0537</v>
      </c>
      <c r="H35" t="n">
        <v>0.145</v>
      </c>
      <c r="I35" t="n">
        <v>0.494</v>
      </c>
      <c r="J35" t="n">
        <v>0.0482</v>
      </c>
      <c r="K35" t="n">
        <v>2.03</v>
      </c>
      <c r="L35">
        <f>Assumptions!$B$5*D35+Assumptions!$C$5*(E35-D35)+Assumptions!$D$5*(F35-E35)+Assumptions!$E$5*(G35-F35)+Assumptions!$F$5*(H35-G35)</f>
        <v/>
      </c>
      <c r="M35">
        <f>K35+MIN(L35,Assumptions!$H$5)</f>
        <v/>
      </c>
      <c r="N35">
        <f>M35-Assumptions!$I$5</f>
        <v/>
      </c>
      <c r="O35">
        <f>N35-Assumptions!$B$25*Q35</f>
        <v/>
      </c>
      <c r="P35" t="n">
        <v>4</v>
      </c>
      <c r="Q35" t="n">
        <v>1.795</v>
      </c>
      <c r="R35" t="inlineStr">
        <is>
          <t>Kalshi Cup market (~1 month old) normalised; points totals SportsBettingDime | league_sim.py: full-schedule + real playoff bracket Monte Carlo, ratings fitted to Kalshi</t>
        </is>
      </c>
      <c r="S35" t="inlineStr">
        <is>
          <t>2026-10-08</t>
        </is>
      </c>
      <c r="T35" t="inlineStr">
        <is>
          <t>A</t>
        </is>
      </c>
      <c r="U35" t="inlineStr">
        <is>
          <t>pts 77.5 | price superseded by Kalshi field; p rescaled [sim: playoffs 14%, rd2 5%, conf final 2%]</t>
        </is>
      </c>
      <c r="Y35">
        <f>N35-IF(T35="C",Assumptions!$B$27,IF(T35="B",Assumptions!$B$26,0))</f>
        <v/>
      </c>
    </row>
    <row r="36">
      <c r="A36" t="inlineStr">
        <is>
          <t>Vancouver Canucks</t>
        </is>
      </c>
      <c r="B36" t="inlineStr">
        <is>
          <t>West</t>
        </is>
      </c>
      <c r="C36" t="inlineStr">
        <is>
          <t>Kalshi +9900</t>
        </is>
      </c>
      <c r="D36" t="n">
        <v>0.0011</v>
      </c>
      <c r="E36" t="n">
        <v>0.0043</v>
      </c>
      <c r="F36" t="n">
        <v>0.009599999999999999</v>
      </c>
      <c r="G36" t="n">
        <v>0.0284</v>
      </c>
      <c r="H36" t="n">
        <v>0.07829999999999999</v>
      </c>
      <c r="I36" t="n">
        <v>0.4783</v>
      </c>
      <c r="J36" t="n">
        <v>0.0473</v>
      </c>
      <c r="K36" t="n">
        <v>1.72</v>
      </c>
      <c r="L36">
        <f>Assumptions!$B$5*D36+Assumptions!$C$5*(E36-D36)+Assumptions!$D$5*(F36-E36)+Assumptions!$E$5*(G36-F36)+Assumptions!$F$5*(H36-G36)</f>
        <v/>
      </c>
      <c r="M36">
        <f>K36+MIN(L36,Assumptions!$H$5)</f>
        <v/>
      </c>
      <c r="N36">
        <f>M36-Assumptions!$I$5</f>
        <v/>
      </c>
      <c r="O36">
        <f>N36-Assumptions!$B$25*Q36</f>
        <v/>
      </c>
      <c r="P36" t="n">
        <v>4</v>
      </c>
      <c r="Q36" t="n">
        <v>1.457</v>
      </c>
      <c r="R36" t="inlineStr">
        <is>
          <t>Kalshi Cup market (~1 month old) normalised; points totals SportsBettingDime | league_sim.py: full-schedule + real playoff bracket Monte Carlo, ratings fitted to Kalshi</t>
        </is>
      </c>
      <c r="S36" t="inlineStr">
        <is>
          <t>2026-10-08</t>
        </is>
      </c>
      <c r="T36" t="inlineStr">
        <is>
          <t>A</t>
        </is>
      </c>
      <c r="U36" t="inlineStr">
        <is>
          <t>pts 74.5 (one blog) | price superseded by Kalshi field; p rescaled [sim: playoffs 8%, rd2 3%, conf final 1%]</t>
        </is>
      </c>
      <c r="Y36">
        <f>N36-IF(T36="C",Assumptions!$B$27,IF(T36="B",Assumptions!$B$26,0))</f>
        <v/>
      </c>
    </row>
    <row r="38">
      <c r="A38" s="8" t="inlineStr">
        <is>
          <t>Replacement-level EV (Nth best)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3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36" customWidth="1" min="2" max="2"/>
    <col width="22" customWidth="1" min="3" max="3"/>
    <col width="11" customWidth="1" min="4" max="4"/>
    <col width="11" customWidth="1" min="5" max="5"/>
    <col width="11" customWidth="1" min="6" max="6"/>
    <col width="11" customWidth="1" min="7" max="7"/>
    <col width="11" customWidth="1" min="8" max="8"/>
    <col width="9" customWidth="1" min="9" max="9"/>
    <col width="9" customWidth="1" min="10" max="10"/>
    <col width="11" customWidth="1" min="11" max="11"/>
    <col width="10" customWidth="1" min="12" max="12"/>
    <col width="10" customWidth="1" min="13" max="13"/>
    <col width="9" customWidth="1" min="14" max="14"/>
    <col width="11" customWidth="1" min="15" max="15"/>
    <col width="6" customWidth="1" min="16" max="16"/>
    <col width="9" customWidth="1" min="17" max="17"/>
    <col width="38" customWidth="1" min="18" max="18"/>
    <col width="11" customWidth="1" min="19" max="19"/>
    <col width="6" customWidth="1" min="20" max="20"/>
    <col width="60" customWidth="1" min="21" max="21"/>
    <col width="12" customWidth="1" min="22" max="22"/>
    <col width="9" customWidth="1" min="23" max="23"/>
    <col width="11" customWidth="1" min="24" max="24"/>
    <col width="11" customWidth="1" min="25" max="25"/>
  </cols>
  <sheetData>
    <row r="1">
      <c r="A1" s="18" t="inlineStr">
        <is>
          <t>NCAAF — 2027 draft research (EV model; see README)</t>
        </is>
      </c>
    </row>
    <row r="2">
      <c r="A2" t="inlineStr">
        <is>
          <t>As of 2026-10-22. Sorted by E[total]. Yellow = inferred / low-confidence (C).</t>
        </is>
      </c>
    </row>
    <row r="4">
      <c r="A4" s="7" t="inlineStr">
        <is>
          <t>Candidate</t>
        </is>
      </c>
      <c r="B4" s="7" t="inlineStr">
        <is>
          <t>Detail</t>
        </is>
      </c>
      <c r="C4" s="7" t="inlineStr">
        <is>
          <t>Odds / price</t>
        </is>
      </c>
      <c r="D4" s="7" t="inlineStr">
        <is>
          <t>p(champ)</t>
        </is>
      </c>
      <c r="E4" s="7" t="inlineStr">
        <is>
          <t>p(final)</t>
        </is>
      </c>
      <c r="F4" s="7" t="inlineStr">
        <is>
          <t>p(semi)</t>
        </is>
      </c>
      <c r="G4" s="7" t="inlineStr">
        <is>
          <t>p(quarter)</t>
        </is>
      </c>
      <c r="H4" s="7" t="inlineStr">
        <is>
          <t>p(rd 1)</t>
        </is>
      </c>
      <c r="I4" s="7" t="inlineStr">
        <is>
          <t>mu</t>
        </is>
      </c>
      <c r="J4" s="7" t="inlineStr">
        <is>
          <t>sd</t>
        </is>
      </c>
      <c r="K4" s="7" t="inlineStr">
        <is>
          <t>E[rank pts] (MC)</t>
        </is>
      </c>
      <c r="L4" s="7" t="inlineStr">
        <is>
          <t>E[bonus]</t>
        </is>
      </c>
      <c r="M4" s="7" t="inlineStr">
        <is>
          <t>E[total]</t>
        </is>
      </c>
      <c r="N4" s="7" t="inlineStr">
        <is>
          <t>VOR</t>
        </is>
      </c>
      <c r="O4" s="7" t="inlineStr">
        <is>
          <t>Risk-adj VOR</t>
        </is>
      </c>
      <c r="P4" s="7" t="inlineStr">
        <is>
          <t>Tier</t>
        </is>
      </c>
      <c r="Q4" s="7" t="inlineStr">
        <is>
          <t>SD rank pts</t>
        </is>
      </c>
      <c r="R4" s="7" t="inlineStr">
        <is>
          <t>Source</t>
        </is>
      </c>
      <c r="S4" s="7" t="inlineStr">
        <is>
          <t>As of</t>
        </is>
      </c>
      <c r="T4" s="7" t="inlineStr">
        <is>
          <t>Conf</t>
        </is>
      </c>
      <c r="U4" s="7" t="inlineStr">
        <is>
          <t>Notes</t>
        </is>
      </c>
      <c r="V4" s="7" t="inlineStr">
        <is>
          <t>Field draft score</t>
        </is>
      </c>
      <c r="W4" s="7" t="inlineStr">
        <is>
          <t>Field rank</t>
        </is>
      </c>
      <c r="X4" s="7" t="inlineStr">
        <is>
          <t>Owner</t>
        </is>
      </c>
      <c r="Y4" s="7" t="inlineStr">
        <is>
          <t>Conf-adj VOR</t>
        </is>
      </c>
    </row>
    <row r="5">
      <c r="A5" s="9" t="inlineStr">
        <is>
          <t>Georgia</t>
        </is>
      </c>
      <c r="B5" t="inlineStr">
        <is>
          <t>AP #2, 5-0, SEC</t>
        </is>
      </c>
      <c r="C5" t="inlineStr">
        <is>
          <t>Kalshi 16.5%</t>
        </is>
      </c>
      <c r="D5" t="n">
        <v>0.165</v>
      </c>
      <c r="E5" t="n">
        <v>0.33</v>
      </c>
      <c r="F5" t="n">
        <v>0.66</v>
      </c>
      <c r="G5" t="n">
        <v>0.97</v>
      </c>
      <c r="H5" t="n">
        <v>0.97</v>
      </c>
      <c r="I5" t="n">
        <v>0.85</v>
      </c>
      <c r="J5" t="n">
        <v>0.15</v>
      </c>
      <c r="K5" t="n">
        <v>9.853</v>
      </c>
      <c r="L5">
        <f>Assumptions!$B$6*D5+Assumptions!$C$6*(E5-D5)+Assumptions!$D$6*(F5-E5)+Assumptions!$E$6*(G5-F5)+Assumptions!$F$6*(H5-G5)</f>
        <v/>
      </c>
      <c r="M5">
        <f>K5+MIN(L5,Assumptions!$H$6)</f>
        <v/>
      </c>
      <c r="N5">
        <f>M5-Assumptions!$I$6</f>
        <v/>
      </c>
      <c r="O5">
        <f>N5-Assumptions!$B$25*Q5</f>
        <v/>
      </c>
      <c r="P5" t="n">
        <v>1</v>
      </c>
      <c r="Q5" t="n">
        <v>2.866</v>
      </c>
      <c r="R5" t="inlineStr">
        <is>
          <t>KXNCAAF-27 exchange mid-price, pulled 2026-10-22</t>
        </is>
      </c>
      <c r="S5" t="inlineStr">
        <is>
          <t>2026-10-22</t>
        </is>
      </c>
      <c r="T5" s="9" t="inlineStr">
        <is>
          <t>A</t>
        </is>
      </c>
      <c r="U5" t="inlineStr">
        <is>
          <t>at Alabama Oct 10</t>
        </is>
      </c>
      <c r="X5" s="16" t="inlineStr">
        <is>
          <t>Theo</t>
        </is>
      </c>
      <c r="Y5">
        <f>N5-IF(T5="C",Assumptions!$B$27,IF(T5="B",Assumptions!$B$26,0))</f>
        <v/>
      </c>
    </row>
    <row r="6">
      <c r="A6" s="9" t="inlineStr">
        <is>
          <t>Notre Dame</t>
        </is>
      </c>
      <c r="B6" t="inlineStr">
        <is>
          <t>AP #3, 5-0, Ind</t>
        </is>
      </c>
      <c r="C6" t="inlineStr">
        <is>
          <t>Kalshi 12.5%</t>
        </is>
      </c>
      <c r="D6" t="n">
        <v>0.125</v>
      </c>
      <c r="E6" t="n">
        <v>0.25</v>
      </c>
      <c r="F6" t="n">
        <v>0.5</v>
      </c>
      <c r="G6" t="n">
        <v>0.97</v>
      </c>
      <c r="H6" t="n">
        <v>0.97</v>
      </c>
      <c r="I6" t="n">
        <v>0.82</v>
      </c>
      <c r="J6" t="n">
        <v>0.15</v>
      </c>
      <c r="K6" t="n">
        <v>9.204000000000001</v>
      </c>
      <c r="L6">
        <f>Assumptions!$B$6*D6+Assumptions!$C$6*(E6-D6)+Assumptions!$D$6*(F6-E6)+Assumptions!$E$6*(G6-F6)+Assumptions!$F$6*(H6-G6)</f>
        <v/>
      </c>
      <c r="M6">
        <f>K6+MIN(L6,Assumptions!$H$6)</f>
        <v/>
      </c>
      <c r="N6">
        <f>M6-Assumptions!$I$6</f>
        <v/>
      </c>
      <c r="O6">
        <f>N6-Assumptions!$B$25*Q6</f>
        <v/>
      </c>
      <c r="P6" t="n">
        <v>1</v>
      </c>
      <c r="Q6" t="n">
        <v>3.067</v>
      </c>
      <c r="R6" t="inlineStr">
        <is>
          <t>KXNCAAF-27 exchange mid-price, pulled 2026-10-22</t>
        </is>
      </c>
      <c r="S6" t="inlineStr">
        <is>
          <t>2026-10-22</t>
        </is>
      </c>
      <c r="T6" s="9" t="inlineStr">
        <is>
          <t>A</t>
        </is>
      </c>
      <c r="U6" t="inlineStr"/>
      <c r="X6" s="16" t="inlineStr">
        <is>
          <t>Feder</t>
        </is>
      </c>
      <c r="Y6">
        <f>N6-IF(T6="C",Assumptions!$B$27,IF(T6="B",Assumptions!$B$26,0))</f>
        <v/>
      </c>
    </row>
    <row r="7">
      <c r="A7" s="9" t="inlineStr">
        <is>
          <t>Miami (FL)</t>
        </is>
      </c>
      <c r="B7" t="inlineStr">
        <is>
          <t>AP #4, 5-0, ACC</t>
        </is>
      </c>
      <c r="C7" t="inlineStr">
        <is>
          <t>Kalshi 14.5%</t>
        </is>
      </c>
      <c r="D7" t="n">
        <v>0.145</v>
      </c>
      <c r="E7" t="n">
        <v>0.29</v>
      </c>
      <c r="F7" t="n">
        <v>0.58</v>
      </c>
      <c r="G7" t="n">
        <v>0.97</v>
      </c>
      <c r="H7" t="n">
        <v>0.97</v>
      </c>
      <c r="I7" t="n">
        <v>0.8</v>
      </c>
      <c r="J7" t="n">
        <v>0.15</v>
      </c>
      <c r="K7" t="n">
        <v>8.747999999999999</v>
      </c>
      <c r="L7">
        <f>Assumptions!$B$6*D7+Assumptions!$C$6*(E7-D7)+Assumptions!$D$6*(F7-E7)+Assumptions!$E$6*(G7-F7)+Assumptions!$F$6*(H7-G7)</f>
        <v/>
      </c>
      <c r="M7">
        <f>K7+MIN(L7,Assumptions!$H$6)</f>
        <v/>
      </c>
      <c r="N7">
        <f>M7-Assumptions!$I$6</f>
        <v/>
      </c>
      <c r="O7">
        <f>N7-Assumptions!$B$25*Q7</f>
        <v/>
      </c>
      <c r="P7" t="n">
        <v>1</v>
      </c>
      <c r="Q7" t="n">
        <v>3.18</v>
      </c>
      <c r="R7" t="inlineStr">
        <is>
          <t>KXNCAAF-27 exchange mid-price, pulled 2026-10-22</t>
        </is>
      </c>
      <c r="S7" t="inlineStr">
        <is>
          <t>2026-10-22</t>
        </is>
      </c>
      <c r="T7" s="9" t="inlineStr">
        <is>
          <t>A</t>
        </is>
      </c>
      <c r="U7" t="inlineStr"/>
      <c r="X7" s="16" t="inlineStr">
        <is>
          <t>Wu</t>
        </is>
      </c>
      <c r="Y7">
        <f>N7-IF(T7="C",Assumptions!$B$27,IF(T7="B",Assumptions!$B$26,0))</f>
        <v/>
      </c>
    </row>
    <row r="8">
      <c r="A8" s="17" t="inlineStr">
        <is>
          <t>Ohio State</t>
        </is>
      </c>
      <c r="B8" t="inlineStr">
        <is>
          <t>AP #5, 4-1, Big Ten</t>
        </is>
      </c>
      <c r="C8" t="inlineStr">
        <is>
          <t>Kalshi 12.5%</t>
        </is>
      </c>
      <c r="D8" t="n">
        <v>0.125</v>
      </c>
      <c r="E8" t="n">
        <v>0.25</v>
      </c>
      <c r="F8" t="n">
        <v>0.5</v>
      </c>
      <c r="G8" t="n">
        <v>0.97</v>
      </c>
      <c r="H8" t="n">
        <v>0.97</v>
      </c>
      <c r="I8" t="n">
        <v>0.8</v>
      </c>
      <c r="J8" t="n">
        <v>0.15</v>
      </c>
      <c r="K8" t="n">
        <v>8.858000000000001</v>
      </c>
      <c r="L8">
        <f>Assumptions!$B$6*D8+Assumptions!$C$6*(E8-D8)+Assumptions!$D$6*(F8-E8)+Assumptions!$E$6*(G8-F8)+Assumptions!$F$6*(H8-G8)</f>
        <v/>
      </c>
      <c r="M8">
        <f>K8+MIN(L8,Assumptions!$H$6)</f>
        <v/>
      </c>
      <c r="N8">
        <f>M8-Assumptions!$I$6</f>
        <v/>
      </c>
      <c r="O8">
        <f>N8-Assumptions!$B$25*Q8</f>
        <v/>
      </c>
      <c r="P8" t="n">
        <v>2</v>
      </c>
      <c r="Q8" t="n">
        <v>3.155</v>
      </c>
      <c r="R8" t="inlineStr">
        <is>
          <t>KXNCAAF-27 exchange mid-price, pulled 2026-10-22</t>
        </is>
      </c>
      <c r="S8" t="inlineStr">
        <is>
          <t>2026-10-22</t>
        </is>
      </c>
      <c r="T8" s="9" t="inlineStr">
        <is>
          <t>A</t>
        </is>
      </c>
      <c r="U8" t="inlineStr">
        <is>
          <t>one loss; books' favourite</t>
        </is>
      </c>
      <c r="X8" s="16" t="inlineStr">
        <is>
          <t>Mitchell</t>
        </is>
      </c>
      <c r="Y8">
        <f>N8-IF(T8="C",Assumptions!$B$27,IF(T8="B",Assumptions!$B$26,0))</f>
        <v/>
      </c>
    </row>
    <row r="9">
      <c r="A9" s="17" t="inlineStr">
        <is>
          <t>Texas</t>
        </is>
      </c>
      <c r="B9" t="inlineStr">
        <is>
          <t>AP #1, 4-0, SEC</t>
        </is>
      </c>
      <c r="C9" t="inlineStr">
        <is>
          <t>Kalshi 3.5%</t>
        </is>
      </c>
      <c r="D9" t="n">
        <v>0.035</v>
      </c>
      <c r="E9" t="n">
        <v>0.07000000000000001</v>
      </c>
      <c r="F9" t="n">
        <v>0.14</v>
      </c>
      <c r="G9" t="n">
        <v>0.28</v>
      </c>
      <c r="H9" t="n">
        <v>0.5600000000000001</v>
      </c>
      <c r="I9" t="n">
        <v>0.85</v>
      </c>
      <c r="J9" t="n">
        <v>0.15</v>
      </c>
      <c r="K9" t="n">
        <v>9.803000000000001</v>
      </c>
      <c r="L9">
        <f>Assumptions!$B$6*D9+Assumptions!$C$6*(E9-D9)+Assumptions!$D$6*(F9-E9)+Assumptions!$E$6*(G9-F9)+Assumptions!$F$6*(H9-G9)</f>
        <v/>
      </c>
      <c r="M9">
        <f>K9+MIN(L9,Assumptions!$H$6)</f>
        <v/>
      </c>
      <c r="N9">
        <f>M9-Assumptions!$I$6</f>
        <v/>
      </c>
      <c r="O9">
        <f>N9-Assumptions!$B$25*Q9</f>
        <v/>
      </c>
      <c r="P9" t="n">
        <v>2</v>
      </c>
      <c r="Q9" t="n">
        <v>2.904</v>
      </c>
      <c r="R9" t="inlineStr">
        <is>
          <t>KXNCAAF-27 exchange mid-price, pulled 2026-10-22</t>
        </is>
      </c>
      <c r="S9" t="inlineStr">
        <is>
          <t>2026-10-22</t>
        </is>
      </c>
      <c r="T9" s="9" t="inlineStr">
        <is>
          <t>A</t>
        </is>
      </c>
      <c r="U9" t="inlineStr"/>
      <c r="Y9">
        <f>N9-IF(T9="C",Assumptions!$B$27,IF(T9="B",Assumptions!$B$26,0))</f>
        <v/>
      </c>
    </row>
    <row r="10">
      <c r="A10" s="17" t="inlineStr">
        <is>
          <t>Indiana</t>
        </is>
      </c>
      <c r="B10" t="inlineStr">
        <is>
          <t>AP #7, 5-0, Big Ten</t>
        </is>
      </c>
      <c r="C10" t="inlineStr">
        <is>
          <t>Kalshi 7.5%</t>
        </is>
      </c>
      <c r="D10" t="n">
        <v>0.075</v>
      </c>
      <c r="E10" t="n">
        <v>0.15</v>
      </c>
      <c r="F10" t="n">
        <v>0.3</v>
      </c>
      <c r="G10" t="n">
        <v>0.6</v>
      </c>
      <c r="H10" t="n">
        <v>0.97</v>
      </c>
      <c r="I10" t="n">
        <v>0.72</v>
      </c>
      <c r="J10" t="n">
        <v>0.15</v>
      </c>
      <c r="K10" t="n">
        <v>7.172</v>
      </c>
      <c r="L10">
        <f>Assumptions!$B$6*D10+Assumptions!$C$6*(E10-D10)+Assumptions!$D$6*(F10-E10)+Assumptions!$E$6*(G10-F10)+Assumptions!$F$6*(H10-G10)</f>
        <v/>
      </c>
      <c r="M10">
        <f>K10+MIN(L10,Assumptions!$H$6)</f>
        <v/>
      </c>
      <c r="N10">
        <f>M10-Assumptions!$I$6</f>
        <v/>
      </c>
      <c r="O10">
        <f>N10-Assumptions!$B$25*Q10</f>
        <v/>
      </c>
      <c r="P10" t="n">
        <v>2</v>
      </c>
      <c r="Q10" t="n">
        <v>3.301</v>
      </c>
      <c r="R10" t="inlineStr">
        <is>
          <t>KXNCAAF-27 exchange mid-price, pulled 2026-10-22</t>
        </is>
      </c>
      <c r="S10" t="inlineStr">
        <is>
          <t>2026-10-22</t>
        </is>
      </c>
      <c r="T10" s="9" t="inlineStr">
        <is>
          <t>A</t>
        </is>
      </c>
      <c r="U10" t="inlineStr"/>
      <c r="X10" s="16" t="inlineStr">
        <is>
          <t>Korch</t>
        </is>
      </c>
      <c r="Y10">
        <f>N10-IF(T10="C",Assumptions!$B$27,IF(T10="B",Assumptions!$B$26,0))</f>
        <v/>
      </c>
    </row>
    <row r="11">
      <c r="A11" s="17" t="inlineStr">
        <is>
          <t>Alabama</t>
        </is>
      </c>
      <c r="B11" t="inlineStr">
        <is>
          <t>AP #6, 5-0, SEC</t>
        </is>
      </c>
      <c r="C11" t="inlineStr">
        <is>
          <t>Kalshi 4.5%</t>
        </is>
      </c>
      <c r="D11" t="n">
        <v>0.045</v>
      </c>
      <c r="E11" t="n">
        <v>0.09</v>
      </c>
      <c r="F11" t="n">
        <v>0.18</v>
      </c>
      <c r="G11" t="n">
        <v>0.36</v>
      </c>
      <c r="H11" t="n">
        <v>0.72</v>
      </c>
      <c r="I11" t="n">
        <v>0.74</v>
      </c>
      <c r="J11" t="n">
        <v>0.15</v>
      </c>
      <c r="K11" t="n">
        <v>7.519</v>
      </c>
      <c r="L11">
        <f>Assumptions!$B$6*D11+Assumptions!$C$6*(E11-D11)+Assumptions!$D$6*(F11-E11)+Assumptions!$E$6*(G11-F11)+Assumptions!$F$6*(H11-G11)</f>
        <v/>
      </c>
      <c r="M11">
        <f>K11+MIN(L11,Assumptions!$H$6)</f>
        <v/>
      </c>
      <c r="N11">
        <f>M11-Assumptions!$I$6</f>
        <v/>
      </c>
      <c r="O11">
        <f>N11-Assumptions!$B$25*Q11</f>
        <v/>
      </c>
      <c r="P11" t="n">
        <v>2</v>
      </c>
      <c r="Q11" t="n">
        <v>3.324</v>
      </c>
      <c r="R11" t="inlineStr">
        <is>
          <t>KXNCAAF-27 exchange mid-price, pulled 2026-10-22</t>
        </is>
      </c>
      <c r="S11" t="inlineStr">
        <is>
          <t>2026-10-22</t>
        </is>
      </c>
      <c r="T11" s="9" t="inlineStr">
        <is>
          <t>A</t>
        </is>
      </c>
      <c r="U11" t="inlineStr"/>
      <c r="X11" s="16" t="inlineStr">
        <is>
          <t>Jamzee</t>
        </is>
      </c>
      <c r="Y11">
        <f>N11-IF(T11="C",Assumptions!$B$27,IF(T11="B",Assumptions!$B$26,0))</f>
        <v/>
      </c>
    </row>
    <row r="12">
      <c r="A12" s="19" t="inlineStr">
        <is>
          <t>BYU</t>
        </is>
      </c>
      <c r="B12" t="inlineStr">
        <is>
          <t>AP #8, 4-0, Big 12</t>
        </is>
      </c>
      <c r="C12" t="inlineStr">
        <is>
          <t>Kalshi 3.5%</t>
        </is>
      </c>
      <c r="D12" t="n">
        <v>0.035</v>
      </c>
      <c r="E12" t="n">
        <v>0.07000000000000001</v>
      </c>
      <c r="F12" t="n">
        <v>0.14</v>
      </c>
      <c r="G12" t="n">
        <v>0.28</v>
      </c>
      <c r="H12" t="n">
        <v>0.5600000000000001</v>
      </c>
      <c r="I12" t="n">
        <v>0.66</v>
      </c>
      <c r="J12" t="n">
        <v>0.16</v>
      </c>
      <c r="K12" t="n">
        <v>5.91</v>
      </c>
      <c r="L12">
        <f>Assumptions!$B$6*D12+Assumptions!$C$6*(E12-D12)+Assumptions!$D$6*(F12-E12)+Assumptions!$E$6*(G12-F12)+Assumptions!$F$6*(H12-G12)</f>
        <v/>
      </c>
      <c r="M12">
        <f>K12+MIN(L12,Assumptions!$H$6)</f>
        <v/>
      </c>
      <c r="N12">
        <f>M12-Assumptions!$I$6</f>
        <v/>
      </c>
      <c r="O12">
        <f>N12-Assumptions!$B$25*Q12</f>
        <v/>
      </c>
      <c r="P12" t="n">
        <v>3</v>
      </c>
      <c r="Q12" t="n">
        <v>3.384</v>
      </c>
      <c r="R12" t="inlineStr">
        <is>
          <t>KXNCAAF-27 exchange mid-price, pulled 2026-10-22</t>
        </is>
      </c>
      <c r="S12" t="inlineStr">
        <is>
          <t>2026-10-22</t>
        </is>
      </c>
      <c r="T12" s="9" t="inlineStr">
        <is>
          <t>A</t>
        </is>
      </c>
      <c r="U12" t="inlineStr"/>
      <c r="X12" s="16" t="inlineStr">
        <is>
          <t>Tim</t>
        </is>
      </c>
      <c r="Y12">
        <f>N12-IF(T12="C",Assumptions!$B$27,IF(T12="B",Assumptions!$B$26,0))</f>
        <v/>
      </c>
    </row>
    <row r="13">
      <c r="A13" s="19" t="inlineStr">
        <is>
          <t>Ole Miss</t>
        </is>
      </c>
      <c r="B13" t="inlineStr">
        <is>
          <t>AP #9, 3-1, SEC</t>
        </is>
      </c>
      <c r="C13" t="inlineStr">
        <is>
          <t>Kalshi 4.5%</t>
        </is>
      </c>
      <c r="D13" t="n">
        <v>0.045</v>
      </c>
      <c r="E13" t="n">
        <v>0.09</v>
      </c>
      <c r="F13" t="n">
        <v>0.18</v>
      </c>
      <c r="G13" t="n">
        <v>0.36</v>
      </c>
      <c r="H13" t="n">
        <v>0.72</v>
      </c>
      <c r="I13" t="n">
        <v>0.62</v>
      </c>
      <c r="J13" t="n">
        <v>0.16</v>
      </c>
      <c r="K13" t="n">
        <v>5.047</v>
      </c>
      <c r="L13">
        <f>Assumptions!$B$6*D13+Assumptions!$C$6*(E13-D13)+Assumptions!$D$6*(F13-E13)+Assumptions!$E$6*(G13-F13)+Assumptions!$F$6*(H13-G13)</f>
        <v/>
      </c>
      <c r="M13">
        <f>K13+MIN(L13,Assumptions!$H$6)</f>
        <v/>
      </c>
      <c r="N13">
        <f>M13-Assumptions!$I$6</f>
        <v/>
      </c>
      <c r="O13">
        <f>N13-Assumptions!$B$25*Q13</f>
        <v/>
      </c>
      <c r="P13" t="n">
        <v>3</v>
      </c>
      <c r="Q13" t="n">
        <v>3.233</v>
      </c>
      <c r="R13" t="inlineStr">
        <is>
          <t>KXNCAAF-27 exchange mid-price, pulled 2026-10-22</t>
        </is>
      </c>
      <c r="S13" t="inlineStr">
        <is>
          <t>2026-10-22</t>
        </is>
      </c>
      <c r="T13" s="9" t="inlineStr">
        <is>
          <t>A</t>
        </is>
      </c>
      <c r="U13" t="inlineStr"/>
      <c r="X13" s="16" t="inlineStr">
        <is>
          <t>Todd</t>
        </is>
      </c>
      <c r="Y13">
        <f>N13-IF(T13="C",Assumptions!$B$27,IF(T13="B",Assumptions!$B$26,0))</f>
        <v/>
      </c>
    </row>
    <row r="14">
      <c r="A14" s="19" t="inlineStr">
        <is>
          <t>LSU</t>
        </is>
      </c>
      <c r="B14" t="inlineStr">
        <is>
          <t>AP #10, 4-1, SEC</t>
        </is>
      </c>
      <c r="C14" t="inlineStr">
        <is>
          <t>Kalshi 4.5%</t>
        </is>
      </c>
      <c r="D14" t="n">
        <v>0.045</v>
      </c>
      <c r="E14" t="n">
        <v>0.09</v>
      </c>
      <c r="F14" t="n">
        <v>0.18</v>
      </c>
      <c r="G14" t="n">
        <v>0.36</v>
      </c>
      <c r="H14" t="n">
        <v>0.72</v>
      </c>
      <c r="I14" t="n">
        <v>0.6</v>
      </c>
      <c r="J14" t="n">
        <v>0.16</v>
      </c>
      <c r="K14" t="n">
        <v>4.656</v>
      </c>
      <c r="L14">
        <f>Assumptions!$B$6*D14+Assumptions!$C$6*(E14-D14)+Assumptions!$D$6*(F14-E14)+Assumptions!$E$6*(G14-F14)+Assumptions!$F$6*(H14-G14)</f>
        <v/>
      </c>
      <c r="M14">
        <f>K14+MIN(L14,Assumptions!$H$6)</f>
        <v/>
      </c>
      <c r="N14">
        <f>M14-Assumptions!$I$6</f>
        <v/>
      </c>
      <c r="O14">
        <f>N14-Assumptions!$B$25*Q14</f>
        <v/>
      </c>
      <c r="P14" t="n">
        <v>3</v>
      </c>
      <c r="Q14" t="n">
        <v>3.11</v>
      </c>
      <c r="R14" t="inlineStr">
        <is>
          <t>KXNCAAF-27 exchange mid-price, pulled 2026-10-22</t>
        </is>
      </c>
      <c r="S14" t="inlineStr">
        <is>
          <t>2026-10-22</t>
        </is>
      </c>
      <c r="T14" s="9" t="inlineStr">
        <is>
          <t>A</t>
        </is>
      </c>
      <c r="U14" t="inlineStr"/>
      <c r="Y14">
        <f>N14-IF(T14="C",Assumptions!$B$27,IF(T14="B",Assumptions!$B$26,0))</f>
        <v/>
      </c>
    </row>
    <row r="15">
      <c r="A15" s="19" t="inlineStr">
        <is>
          <t>Oregon</t>
        </is>
      </c>
      <c r="B15" t="inlineStr">
        <is>
          <t>AP #13, 3-1, Big Ten</t>
        </is>
      </c>
      <c r="C15" t="inlineStr">
        <is>
          <t>Kalshi 2.0%</t>
        </is>
      </c>
      <c r="D15" t="n">
        <v>0.02</v>
      </c>
      <c r="E15" t="n">
        <v>0.04</v>
      </c>
      <c r="F15" t="n">
        <v>0.08</v>
      </c>
      <c r="G15" t="n">
        <v>0.16</v>
      </c>
      <c r="H15" t="n">
        <v>0.32</v>
      </c>
      <c r="I15" t="n">
        <v>0.62</v>
      </c>
      <c r="J15" t="n">
        <v>0.16</v>
      </c>
      <c r="K15" t="n">
        <v>5.029</v>
      </c>
      <c r="L15">
        <f>Assumptions!$B$6*D15+Assumptions!$C$6*(E15-D15)+Assumptions!$D$6*(F15-E15)+Assumptions!$E$6*(G15-F15)+Assumptions!$F$6*(H15-G15)</f>
        <v/>
      </c>
      <c r="M15">
        <f>K15+MIN(L15,Assumptions!$H$6)</f>
        <v/>
      </c>
      <c r="N15">
        <f>M15-Assumptions!$I$6</f>
        <v/>
      </c>
      <c r="O15">
        <f>N15-Assumptions!$B$25*Q15</f>
        <v/>
      </c>
      <c r="P15" t="n">
        <v>3</v>
      </c>
      <c r="Q15" t="n">
        <v>3.179</v>
      </c>
      <c r="R15" t="inlineStr">
        <is>
          <t>KXNCAAF-27 exchange mid-price, pulled 2026-10-22</t>
        </is>
      </c>
      <c r="S15" t="inlineStr">
        <is>
          <t>2026-10-22</t>
        </is>
      </c>
      <c r="T15" s="9" t="inlineStr">
        <is>
          <t>A</t>
        </is>
      </c>
      <c r="U15" t="inlineStr"/>
      <c r="X15" s="16" t="inlineStr">
        <is>
          <t>Buckley</t>
        </is>
      </c>
      <c r="Y15">
        <f>N15-IF(T15="C",Assumptions!$B$27,IF(T15="B",Assumptions!$B$26,0))</f>
        <v/>
      </c>
    </row>
    <row r="16">
      <c r="A16" s="19" t="inlineStr">
        <is>
          <t>Texas Tech</t>
        </is>
      </c>
      <c r="B16" t="inlineStr">
        <is>
          <t>AP #11, 5-0, Big 12</t>
        </is>
      </c>
      <c r="C16" t="inlineStr">
        <is>
          <t>Kalshi 1.5%</t>
        </is>
      </c>
      <c r="D16" t="n">
        <v>0.015</v>
      </c>
      <c r="E16" t="n">
        <v>0.03</v>
      </c>
      <c r="F16" t="n">
        <v>0.06</v>
      </c>
      <c r="G16" t="n">
        <v>0.12</v>
      </c>
      <c r="H16" t="n">
        <v>0.24</v>
      </c>
      <c r="I16" t="n">
        <v>0.62</v>
      </c>
      <c r="J16" t="n">
        <v>0.16</v>
      </c>
      <c r="K16" t="n">
        <v>5.056</v>
      </c>
      <c r="L16">
        <f>Assumptions!$B$6*D16+Assumptions!$C$6*(E16-D16)+Assumptions!$D$6*(F16-E16)+Assumptions!$E$6*(G16-F16)+Assumptions!$F$6*(H16-G16)</f>
        <v/>
      </c>
      <c r="M16">
        <f>K16+MIN(L16,Assumptions!$H$6)</f>
        <v/>
      </c>
      <c r="N16">
        <f>M16-Assumptions!$I$6</f>
        <v/>
      </c>
      <c r="O16">
        <f>N16-Assumptions!$B$25*Q16</f>
        <v/>
      </c>
      <c r="P16" t="n">
        <v>3</v>
      </c>
      <c r="Q16" t="n">
        <v>3.216</v>
      </c>
      <c r="R16" t="inlineStr">
        <is>
          <t>KXNCAAF-27 exchange mid-price, pulled 2026-10-22</t>
        </is>
      </c>
      <c r="S16" t="inlineStr">
        <is>
          <t>2026-10-22</t>
        </is>
      </c>
      <c r="T16" s="9" t="inlineStr">
        <is>
          <t>A</t>
        </is>
      </c>
      <c r="U16" t="inlineStr"/>
      <c r="X16" s="16" t="inlineStr">
        <is>
          <t>Molmen</t>
        </is>
      </c>
      <c r="Y16">
        <f>N16-IF(T16="C",Assumptions!$B$27,IF(T16="B",Assumptions!$B$26,0))</f>
        <v/>
      </c>
    </row>
    <row r="17">
      <c r="A17" s="19" t="inlineStr">
        <is>
          <t>Utah</t>
        </is>
      </c>
      <c r="B17" t="inlineStr">
        <is>
          <t>AP #12, 4-0, Big 12</t>
        </is>
      </c>
      <c r="C17" t="inlineStr">
        <is>
          <t>Kalshi 1.5%</t>
        </is>
      </c>
      <c r="D17" t="n">
        <v>0.015</v>
      </c>
      <c r="E17" t="n">
        <v>0.03</v>
      </c>
      <c r="F17" t="n">
        <v>0.06</v>
      </c>
      <c r="G17" t="n">
        <v>0.12</v>
      </c>
      <c r="H17" t="n">
        <v>0.24</v>
      </c>
      <c r="I17" t="n">
        <v>0.58</v>
      </c>
      <c r="J17" t="n">
        <v>0.16</v>
      </c>
      <c r="K17" t="n">
        <v>4.282</v>
      </c>
      <c r="L17">
        <f>Assumptions!$B$6*D17+Assumptions!$C$6*(E17-D17)+Assumptions!$D$6*(F17-E17)+Assumptions!$E$6*(G17-F17)+Assumptions!$F$6*(H17-G17)</f>
        <v/>
      </c>
      <c r="M17">
        <f>K17+MIN(L17,Assumptions!$H$6)</f>
        <v/>
      </c>
      <c r="N17">
        <f>M17-Assumptions!$I$6</f>
        <v/>
      </c>
      <c r="O17">
        <f>N17-Assumptions!$B$25*Q17</f>
        <v/>
      </c>
      <c r="P17" t="n">
        <v>3</v>
      </c>
      <c r="Q17" t="n">
        <v>3.007</v>
      </c>
      <c r="R17" t="inlineStr">
        <is>
          <t>KXNCAAF-27 exchange mid-price, pulled 2026-10-22</t>
        </is>
      </c>
      <c r="S17" t="inlineStr">
        <is>
          <t>2026-10-22</t>
        </is>
      </c>
      <c r="T17" s="9" t="inlineStr">
        <is>
          <t>A</t>
        </is>
      </c>
      <c r="U17" t="inlineStr"/>
      <c r="Y17">
        <f>N17-IF(T17="C",Assumptions!$B$27,IF(T17="B",Assumptions!$B$26,0))</f>
        <v/>
      </c>
    </row>
    <row r="18">
      <c r="A18" t="inlineStr">
        <is>
          <t>Missouri</t>
        </is>
      </c>
      <c r="B18" t="inlineStr">
        <is>
          <t>AP #14, 4-1, SEC</t>
        </is>
      </c>
      <c r="C18" t="inlineStr">
        <is>
          <t>+10000</t>
        </is>
      </c>
      <c r="D18" t="n">
        <v>0.0115</v>
      </c>
      <c r="E18" t="n">
        <v>0.023</v>
      </c>
      <c r="F18" t="n">
        <v>0.046</v>
      </c>
      <c r="G18" t="n">
        <v>0.092</v>
      </c>
      <c r="H18" t="n">
        <v>0.184</v>
      </c>
      <c r="I18" t="n">
        <v>0.5394</v>
      </c>
      <c r="J18" t="n">
        <v>0.2</v>
      </c>
      <c r="K18" t="n">
        <v>3.926</v>
      </c>
      <c r="L18">
        <f>Assumptions!$B$6*D18+Assumptions!$C$6*(E18-D18)+Assumptions!$D$6*(F18-E18)+Assumptions!$E$6*(G18-F18)+Assumptions!$F$6*(H18-G18)</f>
        <v/>
      </c>
      <c r="M18">
        <f>K18+MIN(L18,Assumptions!$H$6)</f>
        <v/>
      </c>
      <c r="N18">
        <f>M18-Assumptions!$I$6</f>
        <v/>
      </c>
      <c r="O18">
        <f>N18-Assumptions!$B$25*Q18</f>
        <v/>
      </c>
      <c r="P18" t="n">
        <v>4</v>
      </c>
      <c r="Q18" t="n">
        <v>3.182</v>
      </c>
      <c r="R18" t="inlineStr">
        <is>
          <t>estimate</t>
        </is>
      </c>
      <c r="S18" t="inlineStr">
        <is>
          <t>2026-10-08</t>
        </is>
      </c>
      <c r="T18" s="9" t="inlineStr">
        <is>
          <t>C</t>
        </is>
      </c>
      <c r="U18" t="inlineStr">
        <is>
          <t>[conf C: sd x1.25, p shrink 20%]</t>
        </is>
      </c>
      <c r="Y18">
        <f>N18-IF(T18="C",Assumptions!$B$27,IF(T18="B",Assumptions!$B$26,0))</f>
        <v/>
      </c>
    </row>
    <row r="19">
      <c r="A19" t="inlineStr">
        <is>
          <t>Tennessee</t>
        </is>
      </c>
      <c r="B19" t="inlineStr">
        <is>
          <t>AP #15, 4-1, SEC</t>
        </is>
      </c>
      <c r="C19" t="inlineStr">
        <is>
          <t>Kalshi 1.5%</t>
        </is>
      </c>
      <c r="D19" t="n">
        <v>0.015</v>
      </c>
      <c r="E19" t="n">
        <v>0.03</v>
      </c>
      <c r="F19" t="n">
        <v>0.06</v>
      </c>
      <c r="G19" t="n">
        <v>0.12</v>
      </c>
      <c r="H19" t="n">
        <v>0.24</v>
      </c>
      <c r="I19" t="n">
        <v>0.5</v>
      </c>
      <c r="J19" t="n">
        <v>0.16</v>
      </c>
      <c r="K19" t="n">
        <v>3.098</v>
      </c>
      <c r="L19">
        <f>Assumptions!$B$6*D19+Assumptions!$C$6*(E19-D19)+Assumptions!$D$6*(F19-E19)+Assumptions!$E$6*(G19-F19)+Assumptions!$F$6*(H19-G19)</f>
        <v/>
      </c>
      <c r="M19">
        <f>K19+MIN(L19,Assumptions!$H$6)</f>
        <v/>
      </c>
      <c r="N19">
        <f>M19-Assumptions!$I$6</f>
        <v/>
      </c>
      <c r="O19">
        <f>N19-Assumptions!$B$25*Q19</f>
        <v/>
      </c>
      <c r="P19" t="n">
        <v>4</v>
      </c>
      <c r="Q19" t="n">
        <v>2.47</v>
      </c>
      <c r="R19" t="inlineStr">
        <is>
          <t>KXNCAAF-27 exchange mid-price, pulled 2026-10-22</t>
        </is>
      </c>
      <c r="S19" t="inlineStr">
        <is>
          <t>2026-10-22</t>
        </is>
      </c>
      <c r="T19" s="9" t="inlineStr">
        <is>
          <t>A</t>
        </is>
      </c>
      <c r="U19" t="inlineStr"/>
      <c r="Y19">
        <f>N19-IF(T19="C",Assumptions!$B$27,IF(T19="B",Assumptions!$B$26,0))</f>
        <v/>
      </c>
    </row>
    <row r="20">
      <c r="A20" t="inlineStr">
        <is>
          <t>Florida</t>
        </is>
      </c>
      <c r="B20" t="inlineStr">
        <is>
          <t>AP #16, 4-1, SEC</t>
        </is>
      </c>
      <c r="C20" t="inlineStr">
        <is>
          <t>Kalshi 1.5%</t>
        </is>
      </c>
      <c r="D20" t="n">
        <v>0.015</v>
      </c>
      <c r="E20" t="n">
        <v>0.03</v>
      </c>
      <c r="F20" t="n">
        <v>0.06</v>
      </c>
      <c r="G20" t="n">
        <v>0.12</v>
      </c>
      <c r="H20" t="n">
        <v>0.24</v>
      </c>
      <c r="I20" t="n">
        <v>0.48</v>
      </c>
      <c r="J20" t="n">
        <v>0.16</v>
      </c>
      <c r="K20" t="n">
        <v>2.86</v>
      </c>
      <c r="L20">
        <f>Assumptions!$B$6*D20+Assumptions!$C$6*(E20-D20)+Assumptions!$D$6*(F20-E20)+Assumptions!$E$6*(G20-F20)+Assumptions!$F$6*(H20-G20)</f>
        <v/>
      </c>
      <c r="M20">
        <f>K20+MIN(L20,Assumptions!$H$6)</f>
        <v/>
      </c>
      <c r="N20">
        <f>M20-Assumptions!$I$6</f>
        <v/>
      </c>
      <c r="O20">
        <f>N20-Assumptions!$B$25*Q20</f>
        <v/>
      </c>
      <c r="P20" t="n">
        <v>4</v>
      </c>
      <c r="Q20" t="n">
        <v>2.353</v>
      </c>
      <c r="R20" t="inlineStr">
        <is>
          <t>KXNCAAF-27 exchange mid-price, pulled 2026-10-22</t>
        </is>
      </c>
      <c r="S20" t="inlineStr">
        <is>
          <t>2026-10-22</t>
        </is>
      </c>
      <c r="T20" s="9" t="inlineStr">
        <is>
          <t>A</t>
        </is>
      </c>
      <c r="U20" t="inlineStr"/>
      <c r="Y20">
        <f>N20-IF(T20="C",Assumptions!$B$27,IF(T20="B",Assumptions!$B$26,0))</f>
        <v/>
      </c>
    </row>
    <row r="21">
      <c r="A21" t="inlineStr">
        <is>
          <t>Oklahoma State</t>
        </is>
      </c>
      <c r="B21" t="inlineStr">
        <is>
          <t>AP #18, 3-1, Big 12</t>
        </is>
      </c>
      <c r="C21" t="inlineStr">
        <is>
          <t>+30000</t>
        </is>
      </c>
      <c r="D21" t="n">
        <v>0.0083</v>
      </c>
      <c r="E21" t="n">
        <v>0.0166</v>
      </c>
      <c r="F21" t="n">
        <v>0.0332</v>
      </c>
      <c r="G21" t="n">
        <v>0.0664</v>
      </c>
      <c r="H21" t="n">
        <v>0.1328</v>
      </c>
      <c r="I21" t="n">
        <v>0.4494</v>
      </c>
      <c r="J21" t="n">
        <v>0.2</v>
      </c>
      <c r="K21" t="n">
        <v>2.869</v>
      </c>
      <c r="L21">
        <f>Assumptions!$B$6*D21+Assumptions!$C$6*(E21-D21)+Assumptions!$D$6*(F21-E21)+Assumptions!$E$6*(G21-F21)+Assumptions!$F$6*(H21-G21)</f>
        <v/>
      </c>
      <c r="M21">
        <f>K21+MIN(L21,Assumptions!$H$6)</f>
        <v/>
      </c>
      <c r="N21">
        <f>M21-Assumptions!$I$6</f>
        <v/>
      </c>
      <c r="O21">
        <f>N21-Assumptions!$B$25*Q21</f>
        <v/>
      </c>
      <c r="P21" t="n">
        <v>4</v>
      </c>
      <c r="Q21" t="n">
        <v>2.616</v>
      </c>
      <c r="R21" t="inlineStr">
        <is>
          <t>estimate</t>
        </is>
      </c>
      <c r="S21" t="inlineStr">
        <is>
          <t>2026-10-08</t>
        </is>
      </c>
      <c r="T21" s="9" t="inlineStr">
        <is>
          <t>C</t>
        </is>
      </c>
      <c r="U21" t="inlineStr">
        <is>
          <t>[conf C: sd x1.25, p shrink 20%]</t>
        </is>
      </c>
      <c r="Y21">
        <f>N21-IF(T21="C",Assumptions!$B$27,IF(T21="B",Assumptions!$B$26,0))</f>
        <v/>
      </c>
    </row>
    <row r="22">
      <c r="A22" t="inlineStr">
        <is>
          <t>USC</t>
        </is>
      </c>
      <c r="B22" t="inlineStr">
        <is>
          <t>AP #19, 5-1, Big Ten</t>
        </is>
      </c>
      <c r="C22" t="inlineStr">
        <is>
          <t>+20000</t>
        </is>
      </c>
      <c r="D22" t="n">
        <v>0.008800000000000001</v>
      </c>
      <c r="E22" t="n">
        <v>0.0176</v>
      </c>
      <c r="F22" t="n">
        <v>0.0352</v>
      </c>
      <c r="G22" t="n">
        <v>0.0704</v>
      </c>
      <c r="H22" t="n">
        <v>0.1408</v>
      </c>
      <c r="I22" t="n">
        <v>0.4494</v>
      </c>
      <c r="J22" t="n">
        <v>0.2</v>
      </c>
      <c r="K22" t="n">
        <v>2.807</v>
      </c>
      <c r="L22">
        <f>Assumptions!$B$6*D22+Assumptions!$C$6*(E22-D22)+Assumptions!$D$6*(F22-E22)+Assumptions!$E$6*(G22-F22)+Assumptions!$F$6*(H22-G22)</f>
        <v/>
      </c>
      <c r="M22">
        <f>K22+MIN(L22,Assumptions!$H$6)</f>
        <v/>
      </c>
      <c r="N22">
        <f>M22-Assumptions!$I$6</f>
        <v/>
      </c>
      <c r="O22">
        <f>N22-Assumptions!$B$25*Q22</f>
        <v/>
      </c>
      <c r="P22" t="n">
        <v>4</v>
      </c>
      <c r="Q22" t="n">
        <v>2.571</v>
      </c>
      <c r="R22" t="inlineStr">
        <is>
          <t>estimate</t>
        </is>
      </c>
      <c r="S22" t="inlineStr">
        <is>
          <t>2026-10-08</t>
        </is>
      </c>
      <c r="T22" s="9" t="inlineStr">
        <is>
          <t>C</t>
        </is>
      </c>
      <c r="U22" t="inlineStr">
        <is>
          <t>[conf C: sd x1.25, p shrink 20%]</t>
        </is>
      </c>
      <c r="Y22">
        <f>N22-IF(T22="C",Assumptions!$B$27,IF(T22="B",Assumptions!$B$26,0))</f>
        <v/>
      </c>
    </row>
    <row r="23">
      <c r="A23" t="inlineStr">
        <is>
          <t>Iowa</t>
        </is>
      </c>
      <c r="B23" t="inlineStr">
        <is>
          <t>AP #20, 4-1, Big Ten</t>
        </is>
      </c>
      <c r="C23" t="inlineStr">
        <is>
          <t>+30000</t>
        </is>
      </c>
      <c r="D23" t="n">
        <v>0.0083</v>
      </c>
      <c r="E23" t="n">
        <v>0.0166</v>
      </c>
      <c r="F23" t="n">
        <v>0.0332</v>
      </c>
      <c r="G23" t="n">
        <v>0.0664</v>
      </c>
      <c r="H23" t="n">
        <v>0.1328</v>
      </c>
      <c r="I23" t="n">
        <v>0.4134</v>
      </c>
      <c r="J23" t="n">
        <v>0.2</v>
      </c>
      <c r="K23" t="n">
        <v>2.495</v>
      </c>
      <c r="L23">
        <f>Assumptions!$B$6*D23+Assumptions!$C$6*(E23-D23)+Assumptions!$D$6*(F23-E23)+Assumptions!$E$6*(G23-F23)+Assumptions!$F$6*(H23-G23)</f>
        <v/>
      </c>
      <c r="M23">
        <f>K23+MIN(L23,Assumptions!$H$6)</f>
        <v/>
      </c>
      <c r="N23">
        <f>M23-Assumptions!$I$6</f>
        <v/>
      </c>
      <c r="O23">
        <f>N23-Assumptions!$B$25*Q23</f>
        <v/>
      </c>
      <c r="P23" t="n">
        <v>4</v>
      </c>
      <c r="Q23" t="n">
        <v>2.336</v>
      </c>
      <c r="R23" t="inlineStr">
        <is>
          <t>estimate</t>
        </is>
      </c>
      <c r="S23" t="inlineStr">
        <is>
          <t>2026-10-08</t>
        </is>
      </c>
      <c r="T23" s="9" t="inlineStr">
        <is>
          <t>C</t>
        </is>
      </c>
      <c r="U23" t="inlineStr">
        <is>
          <t>[conf C: sd x1.25, p shrink 20%]</t>
        </is>
      </c>
      <c r="Y23">
        <f>N23-IF(T23="C",Assumptions!$B$27,IF(T23="B",Assumptions!$B$26,0))</f>
        <v/>
      </c>
    </row>
    <row r="24">
      <c r="A24" t="inlineStr">
        <is>
          <t>Mississippi State</t>
        </is>
      </c>
      <c r="B24" t="inlineStr">
        <is>
          <t>AP #17, 4-1, SEC</t>
        </is>
      </c>
      <c r="C24" t="inlineStr">
        <is>
          <t>Kalshi 0.5%</t>
        </is>
      </c>
      <c r="D24" t="n">
        <v>0.009599999999999999</v>
      </c>
      <c r="E24" t="n">
        <v>0.0192</v>
      </c>
      <c r="F24" t="n">
        <v>0.0384</v>
      </c>
      <c r="G24" t="n">
        <v>0.07679999999999999</v>
      </c>
      <c r="H24" t="n">
        <v>0.1536</v>
      </c>
      <c r="I24" t="n">
        <v>0.44</v>
      </c>
      <c r="J24" t="n">
        <v>0.16</v>
      </c>
      <c r="K24" t="n">
        <v>2.396</v>
      </c>
      <c r="L24">
        <f>Assumptions!$B$6*D24+Assumptions!$C$6*(E24-D24)+Assumptions!$D$6*(F24-E24)+Assumptions!$E$6*(G24-F24)+Assumptions!$F$6*(H24-G24)</f>
        <v/>
      </c>
      <c r="M24">
        <f>K24+MIN(L24,Assumptions!$H$6)</f>
        <v/>
      </c>
      <c r="N24">
        <f>M24-Assumptions!$I$6</f>
        <v/>
      </c>
      <c r="O24">
        <f>N24-Assumptions!$B$25*Q24</f>
        <v/>
      </c>
      <c r="P24" t="n">
        <v>4</v>
      </c>
      <c r="Q24" t="n">
        <v>1.975</v>
      </c>
      <c r="R24" t="inlineStr">
        <is>
          <t>KXNCAAF-27 exchange mid-price, pulled 2026-10-08</t>
        </is>
      </c>
      <c r="S24" t="inlineStr">
        <is>
          <t>2026-10-08</t>
        </is>
      </c>
      <c r="T24" s="9" t="inlineStr">
        <is>
          <t>A</t>
        </is>
      </c>
      <c r="U24" t="inlineStr"/>
      <c r="Y24">
        <f>N24-IF(T24="C",Assumptions!$B$27,IF(T24="B",Assumptions!$B$26,0))</f>
        <v/>
      </c>
    </row>
    <row r="25">
      <c r="A25" t="inlineStr">
        <is>
          <t>Michigan</t>
        </is>
      </c>
      <c r="B25" t="inlineStr">
        <is>
          <t>owned (Shep); AP rank not pulled</t>
        </is>
      </c>
      <c r="D25" t="n">
        <v>0.0077</v>
      </c>
      <c r="E25" t="n">
        <v>0.0154</v>
      </c>
      <c r="F25" t="n">
        <v>0.0308</v>
      </c>
      <c r="G25" t="n">
        <v>0.0616</v>
      </c>
      <c r="H25" t="n">
        <v>0.1232</v>
      </c>
      <c r="I25" t="n">
        <v>0.3864</v>
      </c>
      <c r="J25" t="n">
        <v>0.2</v>
      </c>
      <c r="K25" t="n">
        <v>2.299</v>
      </c>
      <c r="L25">
        <f>Assumptions!$B$6*D25+Assumptions!$C$6*(E25-D25)+Assumptions!$D$6*(F25-E25)+Assumptions!$E$6*(G25-F25)+Assumptions!$F$6*(H25-G25)</f>
        <v/>
      </c>
      <c r="M25">
        <f>K25+MIN(L25,Assumptions!$H$6)</f>
        <v/>
      </c>
      <c r="N25">
        <f>M25-Assumptions!$I$6</f>
        <v/>
      </c>
      <c r="O25">
        <f>N25-Assumptions!$B$25*Q25</f>
        <v/>
      </c>
      <c r="P25" t="n">
        <v>4</v>
      </c>
      <c r="Q25" t="n">
        <v>2.167</v>
      </c>
      <c r="R25" t="inlineStr">
        <is>
          <t>added because a league member currently owns this pick (draft_picks_2026.py); not in the first-pass pool, so figures are placeholders (conf C)</t>
        </is>
      </c>
      <c r="S25" t="inlineStr">
        <is>
          <t>2026-10-08</t>
        </is>
      </c>
      <c r="T25" s="9" t="inlineStr">
        <is>
          <t>C</t>
        </is>
      </c>
      <c r="U25" t="inlineStr">
        <is>
          <t>[conf C: sd x1.25, p shrink 20%]</t>
        </is>
      </c>
      <c r="X25" s="16" t="inlineStr">
        <is>
          <t>Shep</t>
        </is>
      </c>
      <c r="Y25">
        <f>N25-IF(T25="C",Assumptions!$B$27,IF(T25="B",Assumptions!$B$26,0))</f>
        <v/>
      </c>
    </row>
    <row r="26">
      <c r="A26" t="inlineStr">
        <is>
          <t>UCLA</t>
        </is>
      </c>
      <c r="B26" t="inlineStr">
        <is>
          <t>AP #21, 4-0, Big Ten</t>
        </is>
      </c>
      <c r="C26" t="inlineStr">
        <is>
          <t>Kalshi 1.5%</t>
        </is>
      </c>
      <c r="D26" t="n">
        <v>0.015</v>
      </c>
      <c r="E26" t="n">
        <v>0.03</v>
      </c>
      <c r="F26" t="n">
        <v>0.06</v>
      </c>
      <c r="G26" t="n">
        <v>0.12</v>
      </c>
      <c r="H26" t="n">
        <v>0.24</v>
      </c>
      <c r="I26" t="n">
        <v>0.36</v>
      </c>
      <c r="J26" t="n">
        <v>0.16</v>
      </c>
      <c r="K26" t="n">
        <v>1.773</v>
      </c>
      <c r="L26">
        <f>Assumptions!$B$6*D26+Assumptions!$C$6*(E26-D26)+Assumptions!$D$6*(F26-E26)+Assumptions!$E$6*(G26-F26)+Assumptions!$F$6*(H26-G26)</f>
        <v/>
      </c>
      <c r="M26">
        <f>K26+MIN(L26,Assumptions!$H$6)</f>
        <v/>
      </c>
      <c r="N26">
        <f>M26-Assumptions!$I$6</f>
        <v/>
      </c>
      <c r="O26">
        <f>N26-Assumptions!$B$25*Q26</f>
        <v/>
      </c>
      <c r="P26" t="n">
        <v>4</v>
      </c>
      <c r="Q26" t="n">
        <v>1.406</v>
      </c>
      <c r="R26" t="inlineStr">
        <is>
          <t>KXNCAAF-27 exchange mid-price, pulled 2026-10-22</t>
        </is>
      </c>
      <c r="S26" t="inlineStr">
        <is>
          <t>2026-10-22</t>
        </is>
      </c>
      <c r="T26" s="9" t="inlineStr">
        <is>
          <t>A</t>
        </is>
      </c>
      <c r="U26" t="inlineStr"/>
      <c r="Y26">
        <f>N26-IF(T26="C",Assumptions!$B$27,IF(T26="B",Assumptions!$B$26,0))</f>
        <v/>
      </c>
    </row>
    <row r="27">
      <c r="A27" t="inlineStr">
        <is>
          <t>Texas A&amp;M</t>
        </is>
      </c>
      <c r="B27" t="inlineStr">
        <is>
          <t>owned (Fryar); AP rank not pulled</t>
        </is>
      </c>
      <c r="D27" t="n">
        <v>0.0077</v>
      </c>
      <c r="E27" t="n">
        <v>0.0154</v>
      </c>
      <c r="F27" t="n">
        <v>0.0308</v>
      </c>
      <c r="G27" t="n">
        <v>0.0616</v>
      </c>
      <c r="H27" t="n">
        <v>0.1232</v>
      </c>
      <c r="I27" t="n">
        <v>0.3864</v>
      </c>
      <c r="J27" t="n">
        <v>0.2</v>
      </c>
      <c r="K27" t="n">
        <v>2.244</v>
      </c>
      <c r="L27">
        <f>Assumptions!$B$6*D27+Assumptions!$C$6*(E27-D27)+Assumptions!$D$6*(F27-E27)+Assumptions!$E$6*(G27-F27)+Assumptions!$F$6*(H27-G27)</f>
        <v/>
      </c>
      <c r="M27">
        <f>K27+MIN(L27,Assumptions!$H$6)</f>
        <v/>
      </c>
      <c r="N27">
        <f>M27-Assumptions!$I$6</f>
        <v/>
      </c>
      <c r="O27">
        <f>N27-Assumptions!$B$25*Q27</f>
        <v/>
      </c>
      <c r="P27" t="n">
        <v>4</v>
      </c>
      <c r="Q27" t="n">
        <v>2.095</v>
      </c>
      <c r="R27" t="inlineStr">
        <is>
          <t>added because a league member currently owns this pick (draft_picks_2026.py); not in the first-pass pool, so figures are placeholders (conf C)</t>
        </is>
      </c>
      <c r="S27" t="inlineStr">
        <is>
          <t>2026-10-08</t>
        </is>
      </c>
      <c r="T27" s="9" t="inlineStr">
        <is>
          <t>C</t>
        </is>
      </c>
      <c r="U27" t="inlineStr">
        <is>
          <t>[conf C: sd x1.25, p shrink 20%]</t>
        </is>
      </c>
      <c r="X27" s="16" t="inlineStr">
        <is>
          <t>Fryar</t>
        </is>
      </c>
      <c r="Y27">
        <f>N27-IF(T27="C",Assumptions!$B$27,IF(T27="B",Assumptions!$B$26,0))</f>
        <v/>
      </c>
    </row>
    <row r="28">
      <c r="A28" t="inlineStr">
        <is>
          <t>Georgia Tech</t>
        </is>
      </c>
      <c r="B28" t="inlineStr">
        <is>
          <t>owned (Jens); AP rank not pulled</t>
        </is>
      </c>
      <c r="D28" t="n">
        <v>0.0077</v>
      </c>
      <c r="E28" t="n">
        <v>0.0154</v>
      </c>
      <c r="F28" t="n">
        <v>0.0308</v>
      </c>
      <c r="G28" t="n">
        <v>0.0616</v>
      </c>
      <c r="H28" t="n">
        <v>0.1232</v>
      </c>
      <c r="I28" t="n">
        <v>0.3864</v>
      </c>
      <c r="J28" t="n">
        <v>0.2</v>
      </c>
      <c r="K28" t="n">
        <v>2.228</v>
      </c>
      <c r="L28">
        <f>Assumptions!$B$6*D28+Assumptions!$C$6*(E28-D28)+Assumptions!$D$6*(F28-E28)+Assumptions!$E$6*(G28-F28)+Assumptions!$F$6*(H28-G28)</f>
        <v/>
      </c>
      <c r="M28">
        <f>K28+MIN(L28,Assumptions!$H$6)</f>
        <v/>
      </c>
      <c r="N28">
        <f>M28-Assumptions!$I$6</f>
        <v/>
      </c>
      <c r="O28">
        <f>N28-Assumptions!$B$25*Q28</f>
        <v/>
      </c>
      <c r="P28" t="n">
        <v>4</v>
      </c>
      <c r="Q28" t="n">
        <v>2.112</v>
      </c>
      <c r="R28" t="inlineStr">
        <is>
          <t>added because a league member currently owns this pick (draft_picks_2026.py); not in the first-pass pool, so figures are placeholders (conf C)</t>
        </is>
      </c>
      <c r="S28" t="inlineStr">
        <is>
          <t>2026-10-08</t>
        </is>
      </c>
      <c r="T28" s="9" t="inlineStr">
        <is>
          <t>C</t>
        </is>
      </c>
      <c r="U28" t="inlineStr">
        <is>
          <t>[conf C: sd x1.25, p shrink 20%]</t>
        </is>
      </c>
      <c r="X28" s="16" t="inlineStr">
        <is>
          <t>Jens</t>
        </is>
      </c>
      <c r="Y28">
        <f>N28-IF(T28="C",Assumptions!$B$27,IF(T28="B",Assumptions!$B$26,0))</f>
        <v/>
      </c>
    </row>
    <row r="29">
      <c r="A29" t="inlineStr">
        <is>
          <t>Boise State</t>
        </is>
      </c>
      <c r="B29" t="inlineStr">
        <is>
          <t>AP #23, 4-1, MWC</t>
        </is>
      </c>
      <c r="C29" t="inlineStr">
        <is>
          <t>+50000</t>
        </is>
      </c>
      <c r="D29" t="n">
        <v>0.0077</v>
      </c>
      <c r="E29" t="n">
        <v>0.0154</v>
      </c>
      <c r="F29" t="n">
        <v>0.0308</v>
      </c>
      <c r="G29" t="n">
        <v>0.0616</v>
      </c>
      <c r="H29" t="n">
        <v>0.1232</v>
      </c>
      <c r="I29" t="n">
        <v>0.3774</v>
      </c>
      <c r="J29" t="n">
        <v>0.2</v>
      </c>
      <c r="K29" t="n">
        <v>2.183</v>
      </c>
      <c r="L29">
        <f>Assumptions!$B$6*D29+Assumptions!$C$6*(E29-D29)+Assumptions!$D$6*(F29-E29)+Assumptions!$E$6*(G29-F29)+Assumptions!$F$6*(H29-G29)</f>
        <v/>
      </c>
      <c r="M29">
        <f>K29+MIN(L29,Assumptions!$H$6)</f>
        <v/>
      </c>
      <c r="N29">
        <f>M29-Assumptions!$I$6</f>
        <v/>
      </c>
      <c r="O29">
        <f>N29-Assumptions!$B$25*Q29</f>
        <v/>
      </c>
      <c r="P29" t="n">
        <v>4</v>
      </c>
      <c r="Q29" t="n">
        <v>2.035</v>
      </c>
      <c r="R29" t="inlineStr">
        <is>
          <t>estimate</t>
        </is>
      </c>
      <c r="S29" t="inlineStr">
        <is>
          <t>2026-10-08</t>
        </is>
      </c>
      <c r="T29" s="9" t="inlineStr">
        <is>
          <t>C</t>
        </is>
      </c>
      <c r="U29" t="inlineStr">
        <is>
          <t>[conf C: sd x1.25, p shrink 20%]</t>
        </is>
      </c>
      <c r="Y29">
        <f>N29-IF(T29="C",Assumptions!$B$27,IF(T29="B",Assumptions!$B$26,0))</f>
        <v/>
      </c>
    </row>
    <row r="30">
      <c r="A30" t="inlineStr">
        <is>
          <t>Houston</t>
        </is>
      </c>
      <c r="B30" t="inlineStr">
        <is>
          <t>AP #22, 4-1, Big 12</t>
        </is>
      </c>
      <c r="C30" t="inlineStr">
        <is>
          <t>+50000</t>
        </is>
      </c>
      <c r="D30" t="n">
        <v>0.0077</v>
      </c>
      <c r="E30" t="n">
        <v>0.0154</v>
      </c>
      <c r="F30" t="n">
        <v>0.0308</v>
      </c>
      <c r="G30" t="n">
        <v>0.0616</v>
      </c>
      <c r="H30" t="n">
        <v>0.1232</v>
      </c>
      <c r="I30" t="n">
        <v>0.3774</v>
      </c>
      <c r="J30" t="n">
        <v>0.2</v>
      </c>
      <c r="K30" t="n">
        <v>2.174</v>
      </c>
      <c r="L30">
        <f>Assumptions!$B$6*D30+Assumptions!$C$6*(E30-D30)+Assumptions!$D$6*(F30-E30)+Assumptions!$E$6*(G30-F30)+Assumptions!$F$6*(H30-G30)</f>
        <v/>
      </c>
      <c r="M30">
        <f>K30+MIN(L30,Assumptions!$H$6)</f>
        <v/>
      </c>
      <c r="N30">
        <f>M30-Assumptions!$I$6</f>
        <v/>
      </c>
      <c r="O30">
        <f>N30-Assumptions!$B$25*Q30</f>
        <v/>
      </c>
      <c r="P30" t="n">
        <v>4</v>
      </c>
      <c r="Q30" t="n">
        <v>2.033</v>
      </c>
      <c r="R30" t="inlineStr">
        <is>
          <t>estimate</t>
        </is>
      </c>
      <c r="S30" t="inlineStr">
        <is>
          <t>2026-10-08</t>
        </is>
      </c>
      <c r="T30" s="9" t="inlineStr">
        <is>
          <t>C</t>
        </is>
      </c>
      <c r="U30" t="inlineStr">
        <is>
          <t>[conf C: sd x1.25, p shrink 20%]</t>
        </is>
      </c>
      <c r="Y30">
        <f>N30-IF(T30="C",Assumptions!$B$27,IF(T30="B",Assumptions!$B$26,0))</f>
        <v/>
      </c>
    </row>
    <row r="31">
      <c r="A31" t="inlineStr">
        <is>
          <t>Pittsburgh</t>
        </is>
      </c>
      <c r="B31" t="inlineStr">
        <is>
          <t>AP #25, 5-0, ACC</t>
        </is>
      </c>
      <c r="C31" t="inlineStr">
        <is>
          <t>+50000</t>
        </is>
      </c>
      <c r="D31" t="n">
        <v>0.0077</v>
      </c>
      <c r="E31" t="n">
        <v>0.0154</v>
      </c>
      <c r="F31" t="n">
        <v>0.0308</v>
      </c>
      <c r="G31" t="n">
        <v>0.0616</v>
      </c>
      <c r="H31" t="n">
        <v>0.1232</v>
      </c>
      <c r="I31" t="n">
        <v>0.3594</v>
      </c>
      <c r="J31" t="n">
        <v>0.2</v>
      </c>
      <c r="K31" t="n">
        <v>2.087</v>
      </c>
      <c r="L31">
        <f>Assumptions!$B$6*D31+Assumptions!$C$6*(E31-D31)+Assumptions!$D$6*(F31-E31)+Assumptions!$E$6*(G31-F31)+Assumptions!$F$6*(H31-G31)</f>
        <v/>
      </c>
      <c r="M31">
        <f>K31+MIN(L31,Assumptions!$H$6)</f>
        <v/>
      </c>
      <c r="N31">
        <f>M31-Assumptions!$I$6</f>
        <v/>
      </c>
      <c r="O31">
        <f>N31-Assumptions!$B$25*Q31</f>
        <v/>
      </c>
      <c r="P31" t="n">
        <v>4</v>
      </c>
      <c r="Q31" t="n">
        <v>1.966</v>
      </c>
      <c r="R31" t="inlineStr">
        <is>
          <t>estimate</t>
        </is>
      </c>
      <c r="S31" t="inlineStr">
        <is>
          <t>2026-10-08</t>
        </is>
      </c>
      <c r="T31" s="9" t="inlineStr">
        <is>
          <t>C</t>
        </is>
      </c>
      <c r="U31" t="inlineStr">
        <is>
          <t>[conf C: sd x1.25, p shrink 20%]</t>
        </is>
      </c>
      <c r="Y31">
        <f>N31-IF(T31="C",Assumptions!$B$27,IF(T31="B",Assumptions!$B$26,0))</f>
        <v/>
      </c>
    </row>
    <row r="32">
      <c r="A32" t="inlineStr">
        <is>
          <t>SMU</t>
        </is>
      </c>
      <c r="B32" t="inlineStr">
        <is>
          <t>AP #24, 4-1, ACC</t>
        </is>
      </c>
      <c r="C32" t="inlineStr">
        <is>
          <t>+50000</t>
        </is>
      </c>
      <c r="D32" t="n">
        <v>0.0077</v>
      </c>
      <c r="E32" t="n">
        <v>0.0154</v>
      </c>
      <c r="F32" t="n">
        <v>0.0308</v>
      </c>
      <c r="G32" t="n">
        <v>0.0616</v>
      </c>
      <c r="H32" t="n">
        <v>0.1232</v>
      </c>
      <c r="I32" t="n">
        <v>0.3594</v>
      </c>
      <c r="J32" t="n">
        <v>0.2</v>
      </c>
      <c r="K32" t="n">
        <v>2.031</v>
      </c>
      <c r="L32">
        <f>Assumptions!$B$6*D32+Assumptions!$C$6*(E32-D32)+Assumptions!$D$6*(F32-E32)+Assumptions!$E$6*(G32-F32)+Assumptions!$F$6*(H32-G32)</f>
        <v/>
      </c>
      <c r="M32">
        <f>K32+MIN(L32,Assumptions!$H$6)</f>
        <v/>
      </c>
      <c r="N32">
        <f>M32-Assumptions!$I$6</f>
        <v/>
      </c>
      <c r="O32">
        <f>N32-Assumptions!$B$25*Q32</f>
        <v/>
      </c>
      <c r="P32" t="n">
        <v>4</v>
      </c>
      <c r="Q32" t="n">
        <v>1.888</v>
      </c>
      <c r="R32" t="inlineStr">
        <is>
          <t>estimate</t>
        </is>
      </c>
      <c r="S32" t="inlineStr">
        <is>
          <t>2026-10-08</t>
        </is>
      </c>
      <c r="T32" s="9" t="inlineStr">
        <is>
          <t>C</t>
        </is>
      </c>
      <c r="U32" t="inlineStr">
        <is>
          <t>[conf C: sd x1.25, p shrink 20%]</t>
        </is>
      </c>
      <c r="Y32">
        <f>N32-IF(T32="C",Assumptions!$B$27,IF(T32="B",Assumptions!$B$26,0))</f>
        <v/>
      </c>
    </row>
    <row r="34">
      <c r="A34" s="8" t="inlineStr">
        <is>
          <t>Replacement-level EV (Nth best)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3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36" customWidth="1" min="2" max="2"/>
    <col width="22" customWidth="1" min="3" max="3"/>
    <col width="11" customWidth="1" min="4" max="4"/>
    <col width="11" customWidth="1" min="5" max="5"/>
    <col width="11" customWidth="1" min="6" max="6"/>
    <col width="11" customWidth="1" min="7" max="7"/>
    <col width="11" customWidth="1" min="8" max="8"/>
    <col width="9" customWidth="1" min="9" max="9"/>
    <col width="9" customWidth="1" min="10" max="10"/>
    <col width="11" customWidth="1" min="11" max="11"/>
    <col width="10" customWidth="1" min="12" max="12"/>
    <col width="10" customWidth="1" min="13" max="13"/>
    <col width="9" customWidth="1" min="14" max="14"/>
    <col width="11" customWidth="1" min="15" max="15"/>
    <col width="6" customWidth="1" min="16" max="16"/>
    <col width="9" customWidth="1" min="17" max="17"/>
    <col width="38" customWidth="1" min="18" max="18"/>
    <col width="11" customWidth="1" min="19" max="19"/>
    <col width="6" customWidth="1" min="20" max="20"/>
    <col width="60" customWidth="1" min="21" max="21"/>
    <col width="12" customWidth="1" min="22" max="22"/>
    <col width="9" customWidth="1" min="23" max="23"/>
    <col width="11" customWidth="1" min="24" max="24"/>
    <col width="11" customWidth="1" min="25" max="25"/>
  </cols>
  <sheetData>
    <row r="1">
      <c r="A1" s="18" t="inlineStr">
        <is>
          <t>NCAAB — 2027 draft research (EV model; see README)</t>
        </is>
      </c>
    </row>
    <row r="2">
      <c r="A2" t="inlineStr">
        <is>
          <t>As of 2026-10-22. Sorted by E[total]. Yellow = inferred / low-confidence (C).</t>
        </is>
      </c>
    </row>
    <row r="4">
      <c r="A4" s="7" t="inlineStr">
        <is>
          <t>Candidate</t>
        </is>
      </c>
      <c r="B4" s="7" t="inlineStr">
        <is>
          <t>Detail</t>
        </is>
      </c>
      <c r="C4" s="7" t="inlineStr">
        <is>
          <t>Odds / price</t>
        </is>
      </c>
      <c r="D4" s="7" t="inlineStr">
        <is>
          <t>p(champ)</t>
        </is>
      </c>
      <c r="E4" s="7" t="inlineStr">
        <is>
          <t>p(final)</t>
        </is>
      </c>
      <c r="F4" s="7" t="inlineStr">
        <is>
          <t>p(semi)</t>
        </is>
      </c>
      <c r="G4" s="7" t="inlineStr">
        <is>
          <t>p(quarter)</t>
        </is>
      </c>
      <c r="H4" s="7" t="inlineStr">
        <is>
          <t>p(rd 1)</t>
        </is>
      </c>
      <c r="I4" s="7" t="inlineStr">
        <is>
          <t>mu</t>
        </is>
      </c>
      <c r="J4" s="7" t="inlineStr">
        <is>
          <t>sd</t>
        </is>
      </c>
      <c r="K4" s="7" t="inlineStr">
        <is>
          <t>E[rank pts] (MC)</t>
        </is>
      </c>
      <c r="L4" s="7" t="inlineStr">
        <is>
          <t>E[bonus]</t>
        </is>
      </c>
      <c r="M4" s="7" t="inlineStr">
        <is>
          <t>E[total]</t>
        </is>
      </c>
      <c r="N4" s="7" t="inlineStr">
        <is>
          <t>VOR</t>
        </is>
      </c>
      <c r="O4" s="7" t="inlineStr">
        <is>
          <t>Risk-adj VOR</t>
        </is>
      </c>
      <c r="P4" s="7" t="inlineStr">
        <is>
          <t>Tier</t>
        </is>
      </c>
      <c r="Q4" s="7" t="inlineStr">
        <is>
          <t>SD rank pts</t>
        </is>
      </c>
      <c r="R4" s="7" t="inlineStr">
        <is>
          <t>Source</t>
        </is>
      </c>
      <c r="S4" s="7" t="inlineStr">
        <is>
          <t>As of</t>
        </is>
      </c>
      <c r="T4" s="7" t="inlineStr">
        <is>
          <t>Conf</t>
        </is>
      </c>
      <c r="U4" s="7" t="inlineStr">
        <is>
          <t>Notes</t>
        </is>
      </c>
      <c r="V4" s="7" t="inlineStr">
        <is>
          <t>Field draft score</t>
        </is>
      </c>
      <c r="W4" s="7" t="inlineStr">
        <is>
          <t>Field rank</t>
        </is>
      </c>
      <c r="X4" s="7" t="inlineStr">
        <is>
          <t>Owner</t>
        </is>
      </c>
      <c r="Y4" s="7" t="inlineStr">
        <is>
          <t>Conf-adj VOR</t>
        </is>
      </c>
    </row>
    <row r="5">
      <c r="A5" s="9" t="inlineStr">
        <is>
          <t>Florida</t>
        </is>
      </c>
      <c r="B5" t="inlineStr"/>
      <c r="C5" t="inlineStr">
        <is>
          <t>+600</t>
        </is>
      </c>
      <c r="D5" t="n">
        <v>0.0983</v>
      </c>
      <c r="E5" t="n">
        <v>0.1966</v>
      </c>
      <c r="F5" t="n">
        <v>0.3932</v>
      </c>
      <c r="G5" t="n">
        <v>0.7864</v>
      </c>
      <c r="H5" t="n">
        <v>0.97</v>
      </c>
      <c r="I5" t="n">
        <v>0.9205</v>
      </c>
      <c r="J5" t="n">
        <v>0.128</v>
      </c>
      <c r="K5" t="n">
        <v>9.446</v>
      </c>
      <c r="L5">
        <f>Assumptions!$B$7*D5+Assumptions!$C$7*(E5-D5)+Assumptions!$D$7*(F5-E5)+Assumptions!$E$7*(G5-F5)+Assumptions!$F$7*(H5-G5)</f>
        <v/>
      </c>
      <c r="M5">
        <f>K5+MIN(L5,Assumptions!$H$7)</f>
        <v/>
      </c>
      <c r="N5">
        <f>M5-Assumptions!$I$7</f>
        <v/>
      </c>
      <c r="O5">
        <f>N5-Assumptions!$B$25*Q5</f>
        <v/>
      </c>
      <c r="P5" t="n">
        <v>1</v>
      </c>
      <c r="Q5" t="n">
        <v>3.181</v>
      </c>
      <c r="R5" t="inlineStr">
        <is>
          <t>CBS Sports title odds 2026-08-04</t>
        </is>
      </c>
      <c r="S5" t="inlineStr">
        <is>
          <t>2026-10-08</t>
        </is>
      </c>
      <c r="T5" s="9" t="inlineStr">
        <is>
          <t>B</t>
        </is>
      </c>
      <c r="U5" t="inlineStr">
        <is>
          <t>ESPN preseason #1 [v2 certainty adj: sd x1.6, mu shrink 30%, p shrink 25%]</t>
        </is>
      </c>
      <c r="X5" s="16" t="inlineStr">
        <is>
          <t>Wu</t>
        </is>
      </c>
      <c r="Y5">
        <f>N5-IF(T5="C",Assumptions!$B$27,IF(T5="B",Assumptions!$B$26,0))</f>
        <v/>
      </c>
    </row>
    <row r="6">
      <c r="A6" s="9" t="inlineStr">
        <is>
          <t>Duke</t>
        </is>
      </c>
      <c r="B6" t="inlineStr"/>
      <c r="C6" t="inlineStr">
        <is>
          <t>+600</t>
        </is>
      </c>
      <c r="D6" t="n">
        <v>0.0983</v>
      </c>
      <c r="E6" t="n">
        <v>0.1966</v>
      </c>
      <c r="F6" t="n">
        <v>0.3932</v>
      </c>
      <c r="G6" t="n">
        <v>0.7864</v>
      </c>
      <c r="H6" t="n">
        <v>0.97</v>
      </c>
      <c r="I6" t="n">
        <v>0.9135</v>
      </c>
      <c r="J6" t="n">
        <v>0.128</v>
      </c>
      <c r="K6" t="n">
        <v>9.212999999999999</v>
      </c>
      <c r="L6">
        <f>Assumptions!$B$7*D6+Assumptions!$C$7*(E6-D6)+Assumptions!$D$7*(F6-E6)+Assumptions!$E$7*(G6-F6)+Assumptions!$F$7*(H6-G6)</f>
        <v/>
      </c>
      <c r="M6">
        <f>K6+MIN(L6,Assumptions!$H$7)</f>
        <v/>
      </c>
      <c r="N6">
        <f>M6-Assumptions!$I$7</f>
        <v/>
      </c>
      <c r="O6">
        <f>N6-Assumptions!$B$25*Q6</f>
        <v/>
      </c>
      <c r="P6" t="n">
        <v>1</v>
      </c>
      <c r="Q6" t="n">
        <v>3.263</v>
      </c>
      <c r="R6" t="inlineStr">
        <is>
          <t>CBS Sports title odds 2026-08-04</t>
        </is>
      </c>
      <c r="S6" t="inlineStr">
        <is>
          <t>2026-10-08</t>
        </is>
      </c>
      <c r="T6" s="9" t="inlineStr">
        <is>
          <t>B</t>
        </is>
      </c>
      <c r="U6" t="inlineStr">
        <is>
          <t>[v2 certainty adj: sd x1.6, mu shrink 30%, p shrink 25%]</t>
        </is>
      </c>
      <c r="X6" s="16" t="inlineStr">
        <is>
          <t>Jens</t>
        </is>
      </c>
      <c r="Y6">
        <f>N6-IF(T6="C",Assumptions!$B$27,IF(T6="B",Assumptions!$B$26,0))</f>
        <v/>
      </c>
    </row>
    <row r="7">
      <c r="A7" s="9" t="inlineStr">
        <is>
          <t>UConn</t>
        </is>
      </c>
      <c r="B7" t="inlineStr"/>
      <c r="C7" t="inlineStr">
        <is>
          <t>+1300</t>
        </is>
      </c>
      <c r="D7" t="n">
        <v>0.0533</v>
      </c>
      <c r="E7" t="n">
        <v>0.1066</v>
      </c>
      <c r="F7" t="n">
        <v>0.2132</v>
      </c>
      <c r="G7" t="n">
        <v>0.4264</v>
      </c>
      <c r="H7" t="n">
        <v>0.8528</v>
      </c>
      <c r="I7" t="n">
        <v>0.8645</v>
      </c>
      <c r="J7" t="n">
        <v>0.128</v>
      </c>
      <c r="K7" t="n">
        <v>7.909</v>
      </c>
      <c r="L7">
        <f>Assumptions!$B$7*D7+Assumptions!$C$7*(E7-D7)+Assumptions!$D$7*(F7-E7)+Assumptions!$E$7*(G7-F7)+Assumptions!$F$7*(H7-G7)</f>
        <v/>
      </c>
      <c r="M7">
        <f>K7+MIN(L7,Assumptions!$H$7)</f>
        <v/>
      </c>
      <c r="N7">
        <f>M7-Assumptions!$I$7</f>
        <v/>
      </c>
      <c r="O7">
        <f>N7-Assumptions!$B$25*Q7</f>
        <v/>
      </c>
      <c r="P7" t="n">
        <v>1</v>
      </c>
      <c r="Q7" t="n">
        <v>3.471</v>
      </c>
      <c r="R7" t="inlineStr">
        <is>
          <t>CBS Sports title odds 2026-08-04</t>
        </is>
      </c>
      <c r="S7" t="inlineStr">
        <is>
          <t>2026-10-08</t>
        </is>
      </c>
      <c r="T7" s="9" t="inlineStr">
        <is>
          <t>B</t>
        </is>
      </c>
      <c r="U7" t="inlineStr">
        <is>
          <t>[v2 certainty adj: sd x1.6, mu shrink 30%, p shrink 25%]</t>
        </is>
      </c>
      <c r="X7" s="16" t="inlineStr">
        <is>
          <t>Fryar</t>
        </is>
      </c>
      <c r="Y7">
        <f>N7-IF(T7="C",Assumptions!$B$27,IF(T7="B",Assumptions!$B$26,0))</f>
        <v/>
      </c>
    </row>
    <row r="8">
      <c r="A8" s="17" t="inlineStr">
        <is>
          <t>Illinois</t>
        </is>
      </c>
      <c r="B8" t="inlineStr"/>
      <c r="C8" t="inlineStr">
        <is>
          <t>+1300</t>
        </is>
      </c>
      <c r="D8" t="n">
        <v>0.0533</v>
      </c>
      <c r="E8" t="n">
        <v>0.1066</v>
      </c>
      <c r="F8" t="n">
        <v>0.2132</v>
      </c>
      <c r="G8" t="n">
        <v>0.4264</v>
      </c>
      <c r="H8" t="n">
        <v>0.8528</v>
      </c>
      <c r="I8" t="n">
        <v>0.8645</v>
      </c>
      <c r="J8" t="n">
        <v>0.128</v>
      </c>
      <c r="K8" t="n">
        <v>7.9</v>
      </c>
      <c r="L8">
        <f>Assumptions!$B$7*D8+Assumptions!$C$7*(E8-D8)+Assumptions!$D$7*(F8-E8)+Assumptions!$E$7*(G8-F8)+Assumptions!$F$7*(H8-G8)</f>
        <v/>
      </c>
      <c r="M8">
        <f>K8+MIN(L8,Assumptions!$H$7)</f>
        <v/>
      </c>
      <c r="N8">
        <f>M8-Assumptions!$I$7</f>
        <v/>
      </c>
      <c r="O8">
        <f>N8-Assumptions!$B$25*Q8</f>
        <v/>
      </c>
      <c r="P8" t="n">
        <v>2</v>
      </c>
      <c r="Q8" t="n">
        <v>3.501</v>
      </c>
      <c r="R8" t="inlineStr">
        <is>
          <t>CBS Sports title odds 2026-08-04</t>
        </is>
      </c>
      <c r="S8" t="inlineStr">
        <is>
          <t>2026-10-08</t>
        </is>
      </c>
      <c r="T8" s="9" t="inlineStr">
        <is>
          <t>B</t>
        </is>
      </c>
      <c r="U8" t="inlineStr">
        <is>
          <t>[v2 certainty adj: sd x1.6, mu shrink 30%, p shrink 25%]</t>
        </is>
      </c>
      <c r="Y8">
        <f>N8-IF(T8="C",Assumptions!$B$27,IF(T8="B",Assumptions!$B$26,0))</f>
        <v/>
      </c>
    </row>
    <row r="9">
      <c r="A9" s="17" t="inlineStr">
        <is>
          <t>Michigan</t>
        </is>
      </c>
      <c r="B9" t="inlineStr"/>
      <c r="C9" t="inlineStr">
        <is>
          <t>+1600</t>
        </is>
      </c>
      <c r="D9" t="n">
        <v>0.0458</v>
      </c>
      <c r="E9" t="n">
        <v>0.0916</v>
      </c>
      <c r="F9" t="n">
        <v>0.1832</v>
      </c>
      <c r="G9" t="n">
        <v>0.3664</v>
      </c>
      <c r="H9" t="n">
        <v>0.7328</v>
      </c>
      <c r="I9" t="n">
        <v>0.8505</v>
      </c>
      <c r="J9" t="n">
        <v>0.128</v>
      </c>
      <c r="K9" t="n">
        <v>7.607</v>
      </c>
      <c r="L9">
        <f>Assumptions!$B$7*D9+Assumptions!$C$7*(E9-D9)+Assumptions!$D$7*(F9-E9)+Assumptions!$E$7*(G9-F9)+Assumptions!$F$7*(H9-G9)</f>
        <v/>
      </c>
      <c r="M9">
        <f>K9+MIN(L9,Assumptions!$H$7)</f>
        <v/>
      </c>
      <c r="N9">
        <f>M9-Assumptions!$I$7</f>
        <v/>
      </c>
      <c r="O9">
        <f>N9-Assumptions!$B$25*Q9</f>
        <v/>
      </c>
      <c r="P9" t="n">
        <v>2</v>
      </c>
      <c r="Q9" t="n">
        <v>3.537</v>
      </c>
      <c r="R9" t="inlineStr">
        <is>
          <t>CBS Sports title odds 2026-08-04</t>
        </is>
      </c>
      <c r="S9" t="inlineStr">
        <is>
          <t>2026-10-08</t>
        </is>
      </c>
      <c r="T9" s="9" t="inlineStr">
        <is>
          <t>B</t>
        </is>
      </c>
      <c r="U9" t="inlineStr">
        <is>
          <t>2026 champion [v2 certainty adj: sd x1.6, mu shrink 30%, p shrink 25%]</t>
        </is>
      </c>
      <c r="X9" s="16" t="inlineStr">
        <is>
          <t>Jamzee</t>
        </is>
      </c>
      <c r="Y9">
        <f>N9-IF(T9="C",Assumptions!$B$27,IF(T9="B",Assumptions!$B$26,0))</f>
        <v/>
      </c>
    </row>
    <row r="10">
      <c r="A10" s="17" t="inlineStr">
        <is>
          <t>Michigan State</t>
        </is>
      </c>
      <c r="B10" t="inlineStr"/>
      <c r="C10" t="inlineStr">
        <is>
          <t>+2200</t>
        </is>
      </c>
      <c r="D10" t="n">
        <v>0.0383</v>
      </c>
      <c r="E10" t="n">
        <v>0.0766</v>
      </c>
      <c r="F10" t="n">
        <v>0.1532</v>
      </c>
      <c r="G10" t="n">
        <v>0.3064</v>
      </c>
      <c r="H10" t="n">
        <v>0.6128</v>
      </c>
      <c r="I10" t="n">
        <v>0.8365</v>
      </c>
      <c r="J10" t="n">
        <v>0.128</v>
      </c>
      <c r="K10" t="n">
        <v>7.173</v>
      </c>
      <c r="L10">
        <f>Assumptions!$B$7*D10+Assumptions!$C$7*(E10-D10)+Assumptions!$D$7*(F10-E10)+Assumptions!$E$7*(G10-F10)+Assumptions!$F$7*(H10-G10)</f>
        <v/>
      </c>
      <c r="M10">
        <f>K10+MIN(L10,Assumptions!$H$7)</f>
        <v/>
      </c>
      <c r="N10">
        <f>M10-Assumptions!$I$7</f>
        <v/>
      </c>
      <c r="O10">
        <f>N10-Assumptions!$B$25*Q10</f>
        <v/>
      </c>
      <c r="P10" t="n">
        <v>2</v>
      </c>
      <c r="Q10" t="n">
        <v>3.541</v>
      </c>
      <c r="R10" t="inlineStr">
        <is>
          <t>CBS Sports title odds 2026-08-04</t>
        </is>
      </c>
      <c r="S10" t="inlineStr">
        <is>
          <t>2026-10-08</t>
        </is>
      </c>
      <c r="T10" s="9" t="inlineStr">
        <is>
          <t>B</t>
        </is>
      </c>
      <c r="U10" t="inlineStr">
        <is>
          <t>[v2 certainty adj: sd x1.6, mu shrink 30%, p shrink 25%]</t>
        </is>
      </c>
      <c r="Y10">
        <f>N10-IF(T10="C",Assumptions!$B$27,IF(T10="B",Assumptions!$B$26,0))</f>
        <v/>
      </c>
    </row>
    <row r="11">
      <c r="A11" s="17" t="inlineStr">
        <is>
          <t>Houston</t>
        </is>
      </c>
      <c r="B11" t="inlineStr"/>
      <c r="C11" t="inlineStr">
        <is>
          <t>+2500</t>
        </is>
      </c>
      <c r="D11" t="n">
        <v>0.0346</v>
      </c>
      <c r="E11" t="n">
        <v>0.0692</v>
      </c>
      <c r="F11" t="n">
        <v>0.1384</v>
      </c>
      <c r="G11" t="n">
        <v>0.2768</v>
      </c>
      <c r="H11" t="n">
        <v>0.5536</v>
      </c>
      <c r="I11" t="n">
        <v>0.8365</v>
      </c>
      <c r="J11" t="n">
        <v>0.128</v>
      </c>
      <c r="K11" t="n">
        <v>7.274</v>
      </c>
      <c r="L11">
        <f>Assumptions!$B$7*D11+Assumptions!$C$7*(E11-D11)+Assumptions!$D$7*(F11-E11)+Assumptions!$E$7*(G11-F11)+Assumptions!$F$7*(H11-G11)</f>
        <v/>
      </c>
      <c r="M11">
        <f>K11+MIN(L11,Assumptions!$H$7)</f>
        <v/>
      </c>
      <c r="N11">
        <f>M11-Assumptions!$I$7</f>
        <v/>
      </c>
      <c r="O11">
        <f>N11-Assumptions!$B$25*Q11</f>
        <v/>
      </c>
      <c r="P11" t="n">
        <v>2</v>
      </c>
      <c r="Q11" t="n">
        <v>3.529</v>
      </c>
      <c r="R11" t="inlineStr">
        <is>
          <t>CBS Sports title odds 2026-08-04</t>
        </is>
      </c>
      <c r="S11" t="inlineStr">
        <is>
          <t>2026-10-08</t>
        </is>
      </c>
      <c r="T11" s="9" t="inlineStr">
        <is>
          <t>B</t>
        </is>
      </c>
      <c r="U11" t="inlineStr">
        <is>
          <t>[v2 certainty adj: sd x1.6, mu shrink 30%, p shrink 25%]</t>
        </is>
      </c>
      <c r="X11" s="16" t="inlineStr">
        <is>
          <t>Theo</t>
        </is>
      </c>
      <c r="Y11">
        <f>N11-IF(T11="C",Assumptions!$B$27,IF(T11="B",Assumptions!$B$26,0))</f>
        <v/>
      </c>
    </row>
    <row r="12">
      <c r="A12" s="19" t="inlineStr">
        <is>
          <t>Arizona</t>
        </is>
      </c>
      <c r="B12" t="inlineStr"/>
      <c r="C12" t="inlineStr">
        <is>
          <t>+2500</t>
        </is>
      </c>
      <c r="D12" t="n">
        <v>0.0346</v>
      </c>
      <c r="E12" t="n">
        <v>0.0692</v>
      </c>
      <c r="F12" t="n">
        <v>0.1384</v>
      </c>
      <c r="G12" t="n">
        <v>0.2768</v>
      </c>
      <c r="H12" t="n">
        <v>0.5536</v>
      </c>
      <c r="I12" t="n">
        <v>0.8365</v>
      </c>
      <c r="J12" t="n">
        <v>0.128</v>
      </c>
      <c r="K12" t="n">
        <v>7.267</v>
      </c>
      <c r="L12">
        <f>Assumptions!$B$7*D12+Assumptions!$C$7*(E12-D12)+Assumptions!$D$7*(F12-E12)+Assumptions!$E$7*(G12-F12)+Assumptions!$F$7*(H12-G12)</f>
        <v/>
      </c>
      <c r="M12">
        <f>K12+MIN(L12,Assumptions!$H$7)</f>
        <v/>
      </c>
      <c r="N12">
        <f>M12-Assumptions!$I$7</f>
        <v/>
      </c>
      <c r="O12">
        <f>N12-Assumptions!$B$25*Q12</f>
        <v/>
      </c>
      <c r="P12" t="n">
        <v>3</v>
      </c>
      <c r="Q12" t="n">
        <v>3.554</v>
      </c>
      <c r="R12" t="inlineStr">
        <is>
          <t>CBS Sports title odds 2026-08-04</t>
        </is>
      </c>
      <c r="S12" t="inlineStr">
        <is>
          <t>2026-10-08</t>
        </is>
      </c>
      <c r="T12" s="9" t="inlineStr">
        <is>
          <t>B</t>
        </is>
      </c>
      <c r="U12" t="inlineStr">
        <is>
          <t>[v2 certainty adj: sd x1.6, mu shrink 30%, p shrink 25%]</t>
        </is>
      </c>
      <c r="Y12">
        <f>N12-IF(T12="C",Assumptions!$B$27,IF(T12="B",Assumptions!$B$26,0))</f>
        <v/>
      </c>
    </row>
    <row r="13">
      <c r="A13" s="19" t="inlineStr">
        <is>
          <t>Kansas</t>
        </is>
      </c>
      <c r="B13" t="inlineStr"/>
      <c r="C13" t="inlineStr">
        <is>
          <t>+4000</t>
        </is>
      </c>
      <c r="D13" t="n">
        <v>0.0233</v>
      </c>
      <c r="E13" t="n">
        <v>0.0466</v>
      </c>
      <c r="F13" t="n">
        <v>0.09320000000000001</v>
      </c>
      <c r="G13" t="n">
        <v>0.1864</v>
      </c>
      <c r="H13" t="n">
        <v>0.3728</v>
      </c>
      <c r="I13" t="n">
        <v>0.7945</v>
      </c>
      <c r="J13" t="n">
        <v>0.128</v>
      </c>
      <c r="K13" t="n">
        <v>6.079</v>
      </c>
      <c r="L13">
        <f>Assumptions!$B$7*D13+Assumptions!$C$7*(E13-D13)+Assumptions!$D$7*(F13-E13)+Assumptions!$E$7*(G13-F13)+Assumptions!$F$7*(H13-G13)</f>
        <v/>
      </c>
      <c r="M13">
        <f>K13+MIN(L13,Assumptions!$H$7)</f>
        <v/>
      </c>
      <c r="N13">
        <f>M13-Assumptions!$I$7</f>
        <v/>
      </c>
      <c r="O13">
        <f>N13-Assumptions!$B$25*Q13</f>
        <v/>
      </c>
      <c r="P13" t="n">
        <v>3</v>
      </c>
      <c r="Q13" t="n">
        <v>3.512</v>
      </c>
      <c r="R13" t="inlineStr">
        <is>
          <t>CBS Sports title odds 2026-08-04</t>
        </is>
      </c>
      <c r="S13" t="inlineStr">
        <is>
          <t>2026-10-08</t>
        </is>
      </c>
      <c r="T13" s="9" t="inlineStr">
        <is>
          <t>B</t>
        </is>
      </c>
      <c r="U13" t="inlineStr">
        <is>
          <t>[v2 certainty adj: sd x1.6, mu shrink 30%, p shrink 25%]</t>
        </is>
      </c>
      <c r="X13" s="16" t="inlineStr">
        <is>
          <t>Shep</t>
        </is>
      </c>
      <c r="Y13">
        <f>N13-IF(T13="C",Assumptions!$B$27,IF(T13="B",Assumptions!$B$26,0))</f>
        <v/>
      </c>
    </row>
    <row r="14">
      <c r="A14" s="19" t="inlineStr">
        <is>
          <t>Kentucky</t>
        </is>
      </c>
      <c r="B14" t="inlineStr"/>
      <c r="D14" t="n">
        <v>0.0233</v>
      </c>
      <c r="E14" t="n">
        <v>0.0466</v>
      </c>
      <c r="F14" t="n">
        <v>0.09320000000000001</v>
      </c>
      <c r="G14" t="n">
        <v>0.1864</v>
      </c>
      <c r="H14" t="n">
        <v>0.3728</v>
      </c>
      <c r="I14" t="n">
        <v>0.7805</v>
      </c>
      <c r="J14" t="n">
        <v>0.144</v>
      </c>
      <c r="K14" t="n">
        <v>5.786</v>
      </c>
      <c r="L14">
        <f>Assumptions!$B$7*D14+Assumptions!$C$7*(E14-D14)+Assumptions!$D$7*(F14-E14)+Assumptions!$E$7*(G14-F14)+Assumptions!$F$7*(H14-G14)</f>
        <v/>
      </c>
      <c r="M14">
        <f>K14+MIN(L14,Assumptions!$H$7)</f>
        <v/>
      </c>
      <c r="N14">
        <f>M14-Assumptions!$I$7</f>
        <v/>
      </c>
      <c r="O14">
        <f>N14-Assumptions!$B$25*Q14</f>
        <v/>
      </c>
      <c r="P14" t="n">
        <v>3</v>
      </c>
      <c r="Q14" t="n">
        <v>3.657</v>
      </c>
      <c r="R14" t="inlineStr">
        <is>
          <t>estimate</t>
        </is>
      </c>
      <c r="S14" t="inlineStr">
        <is>
          <t>2026-10-08</t>
        </is>
      </c>
      <c r="T14" s="9" t="inlineStr">
        <is>
          <t>C</t>
        </is>
      </c>
      <c r="U14" t="inlineStr">
        <is>
          <t>[v2 certainty adj: sd x1.6, mu shrink 30%, p shrink 25%]</t>
        </is>
      </c>
      <c r="X14" s="16" t="inlineStr">
        <is>
          <t>Feder</t>
        </is>
      </c>
      <c r="Y14">
        <f>N14-IF(T14="C",Assumptions!$B$27,IF(T14="B",Assumptions!$B$26,0))</f>
        <v/>
      </c>
    </row>
    <row r="15">
      <c r="A15" s="19" t="inlineStr">
        <is>
          <t>Purdue</t>
        </is>
      </c>
      <c r="B15" t="inlineStr"/>
      <c r="C15" t="inlineStr">
        <is>
          <t>+6500</t>
        </is>
      </c>
      <c r="D15" t="n">
        <v>0.0181</v>
      </c>
      <c r="E15" t="n">
        <v>0.0362</v>
      </c>
      <c r="F15" t="n">
        <v>0.07240000000000001</v>
      </c>
      <c r="G15" t="n">
        <v>0.1448</v>
      </c>
      <c r="H15" t="n">
        <v>0.2896</v>
      </c>
      <c r="I15" t="n">
        <v>0.7665</v>
      </c>
      <c r="J15" t="n">
        <v>0.128</v>
      </c>
      <c r="K15" t="n">
        <v>5.338</v>
      </c>
      <c r="L15">
        <f>Assumptions!$B$7*D15+Assumptions!$C$7*(E15-D15)+Assumptions!$D$7*(F15-E15)+Assumptions!$E$7*(G15-F15)+Assumptions!$F$7*(H15-G15)</f>
        <v/>
      </c>
      <c r="M15">
        <f>K15+MIN(L15,Assumptions!$H$7)</f>
        <v/>
      </c>
      <c r="N15">
        <f>M15-Assumptions!$I$7</f>
        <v/>
      </c>
      <c r="O15">
        <f>N15-Assumptions!$B$25*Q15</f>
        <v/>
      </c>
      <c r="P15" t="n">
        <v>3</v>
      </c>
      <c r="Q15" t="n">
        <v>3.364</v>
      </c>
      <c r="R15" t="inlineStr">
        <is>
          <t>CBS Sports title odds 2026-08-04</t>
        </is>
      </c>
      <c r="S15" t="inlineStr">
        <is>
          <t>2026-10-08</t>
        </is>
      </c>
      <c r="T15" s="9" t="inlineStr">
        <is>
          <t>B</t>
        </is>
      </c>
      <c r="U15" t="inlineStr">
        <is>
          <t>[v2 certainty adj: sd x1.6, mu shrink 30%, p shrink 25%]</t>
        </is>
      </c>
      <c r="X15" s="16" t="inlineStr">
        <is>
          <t>Korch</t>
        </is>
      </c>
      <c r="Y15">
        <f>N15-IF(T15="C",Assumptions!$B$27,IF(T15="B",Assumptions!$B$26,0))</f>
        <v/>
      </c>
    </row>
    <row r="16">
      <c r="A16" s="19" t="inlineStr">
        <is>
          <t>Louisville</t>
        </is>
      </c>
      <c r="B16" t="inlineStr"/>
      <c r="D16" t="n">
        <v>0.0196</v>
      </c>
      <c r="E16" t="n">
        <v>0.0392</v>
      </c>
      <c r="F16" t="n">
        <v>0.0784</v>
      </c>
      <c r="G16" t="n">
        <v>0.1568</v>
      </c>
      <c r="H16" t="n">
        <v>0.3136</v>
      </c>
      <c r="I16" t="n">
        <v>0.7524999999999999</v>
      </c>
      <c r="J16" t="n">
        <v>0.144</v>
      </c>
      <c r="K16" t="n">
        <v>5.112</v>
      </c>
      <c r="L16">
        <f>Assumptions!$B$7*D16+Assumptions!$C$7*(E16-D16)+Assumptions!$D$7*(F16-E16)+Assumptions!$E$7*(G16-F16)+Assumptions!$F$7*(H16-G16)</f>
        <v/>
      </c>
      <c r="M16">
        <f>K16+MIN(L16,Assumptions!$H$7)</f>
        <v/>
      </c>
      <c r="N16">
        <f>M16-Assumptions!$I$7</f>
        <v/>
      </c>
      <c r="O16">
        <f>N16-Assumptions!$B$25*Q16</f>
        <v/>
      </c>
      <c r="P16" t="n">
        <v>3</v>
      </c>
      <c r="Q16" t="n">
        <v>3.55</v>
      </c>
      <c r="R16" t="inlineStr">
        <is>
          <t>estimate</t>
        </is>
      </c>
      <c r="S16" t="inlineStr">
        <is>
          <t>2026-10-08</t>
        </is>
      </c>
      <c r="T16" s="9" t="inlineStr">
        <is>
          <t>C</t>
        </is>
      </c>
      <c r="U16" t="inlineStr">
        <is>
          <t>[v2 certainty adj: sd x1.6, mu shrink 30%, p shrink 25%]</t>
        </is>
      </c>
      <c r="X16" s="16" t="inlineStr">
        <is>
          <t>Buckley</t>
        </is>
      </c>
      <c r="Y16">
        <f>N16-IF(T16="C",Assumptions!$B$27,IF(T16="B",Assumptions!$B$26,0))</f>
        <v/>
      </c>
    </row>
    <row r="17">
      <c r="A17" s="19" t="inlineStr">
        <is>
          <t>Tennessee</t>
        </is>
      </c>
      <c r="B17" t="inlineStr"/>
      <c r="D17" t="n">
        <v>0.0196</v>
      </c>
      <c r="E17" t="n">
        <v>0.0392</v>
      </c>
      <c r="F17" t="n">
        <v>0.0784</v>
      </c>
      <c r="G17" t="n">
        <v>0.1568</v>
      </c>
      <c r="H17" t="n">
        <v>0.3136</v>
      </c>
      <c r="I17" t="n">
        <v>0.7524999999999999</v>
      </c>
      <c r="J17" t="n">
        <v>0.144</v>
      </c>
      <c r="K17" t="n">
        <v>5.08</v>
      </c>
      <c r="L17">
        <f>Assumptions!$B$7*D17+Assumptions!$C$7*(E17-D17)+Assumptions!$D$7*(F17-E17)+Assumptions!$E$7*(G17-F17)+Assumptions!$F$7*(H17-G17)</f>
        <v/>
      </c>
      <c r="M17">
        <f>K17+MIN(L17,Assumptions!$H$7)</f>
        <v/>
      </c>
      <c r="N17">
        <f>M17-Assumptions!$I$7</f>
        <v/>
      </c>
      <c r="O17">
        <f>N17-Assumptions!$B$25*Q17</f>
        <v/>
      </c>
      <c r="P17" t="n">
        <v>3</v>
      </c>
      <c r="Q17" t="n">
        <v>3.529</v>
      </c>
      <c r="R17" t="inlineStr">
        <is>
          <t>estimate</t>
        </is>
      </c>
      <c r="S17" t="inlineStr">
        <is>
          <t>2026-10-08</t>
        </is>
      </c>
      <c r="T17" s="9" t="inlineStr">
        <is>
          <t>C</t>
        </is>
      </c>
      <c r="U17" t="inlineStr">
        <is>
          <t>[v2 certainty adj: sd x1.6, mu shrink 30%, p shrink 25%]</t>
        </is>
      </c>
      <c r="Y17">
        <f>N17-IF(T17="C",Assumptions!$B$27,IF(T17="B",Assumptions!$B$26,0))</f>
        <v/>
      </c>
    </row>
    <row r="18">
      <c r="A18" t="inlineStr">
        <is>
          <t>Alabama</t>
        </is>
      </c>
      <c r="B18" t="inlineStr"/>
      <c r="D18" t="n">
        <v>0.0196</v>
      </c>
      <c r="E18" t="n">
        <v>0.0392</v>
      </c>
      <c r="F18" t="n">
        <v>0.0784</v>
      </c>
      <c r="G18" t="n">
        <v>0.1568</v>
      </c>
      <c r="H18" t="n">
        <v>0.3136</v>
      </c>
      <c r="I18" t="n">
        <v>0.7524999999999999</v>
      </c>
      <c r="J18" t="n">
        <v>0.144</v>
      </c>
      <c r="K18" t="n">
        <v>5.068</v>
      </c>
      <c r="L18">
        <f>Assumptions!$B$7*D18+Assumptions!$C$7*(E18-D18)+Assumptions!$D$7*(F18-E18)+Assumptions!$E$7*(G18-F18)+Assumptions!$F$7*(H18-G18)</f>
        <v/>
      </c>
      <c r="M18">
        <f>K18+MIN(L18,Assumptions!$H$7)</f>
        <v/>
      </c>
      <c r="N18">
        <f>M18-Assumptions!$I$7</f>
        <v/>
      </c>
      <c r="O18">
        <f>N18-Assumptions!$B$25*Q18</f>
        <v/>
      </c>
      <c r="P18" t="n">
        <v>4</v>
      </c>
      <c r="Q18" t="n">
        <v>3.505</v>
      </c>
      <c r="R18" t="inlineStr">
        <is>
          <t>estimate</t>
        </is>
      </c>
      <c r="S18" t="inlineStr">
        <is>
          <t>2026-10-08</t>
        </is>
      </c>
      <c r="T18" s="9" t="inlineStr">
        <is>
          <t>C</t>
        </is>
      </c>
      <c r="U18" t="inlineStr">
        <is>
          <t>[v2 certainty adj: sd x1.6, mu shrink 30%, p shrink 25%]</t>
        </is>
      </c>
      <c r="X18" s="16" t="inlineStr">
        <is>
          <t>Mitchell</t>
        </is>
      </c>
      <c r="Y18">
        <f>N18-IF(T18="C",Assumptions!$B$27,IF(T18="B",Assumptions!$B$26,0))</f>
        <v/>
      </c>
    </row>
    <row r="19">
      <c r="A19" t="inlineStr">
        <is>
          <t>Texas Tech</t>
        </is>
      </c>
      <c r="B19" t="inlineStr"/>
      <c r="D19" t="n">
        <v>0.0196</v>
      </c>
      <c r="E19" t="n">
        <v>0.0392</v>
      </c>
      <c r="F19" t="n">
        <v>0.0784</v>
      </c>
      <c r="G19" t="n">
        <v>0.1568</v>
      </c>
      <c r="H19" t="n">
        <v>0.3136</v>
      </c>
      <c r="I19" t="n">
        <v>0.7524999999999999</v>
      </c>
      <c r="J19" t="n">
        <v>0.144</v>
      </c>
      <c r="K19" t="n">
        <v>5.041</v>
      </c>
      <c r="L19">
        <f>Assumptions!$B$7*D19+Assumptions!$C$7*(E19-D19)+Assumptions!$D$7*(F19-E19)+Assumptions!$E$7*(G19-F19)+Assumptions!$F$7*(H19-G19)</f>
        <v/>
      </c>
      <c r="M19">
        <f>K19+MIN(L19,Assumptions!$H$7)</f>
        <v/>
      </c>
      <c r="N19">
        <f>M19-Assumptions!$I$7</f>
        <v/>
      </c>
      <c r="O19">
        <f>N19-Assumptions!$B$25*Q19</f>
        <v/>
      </c>
      <c r="P19" t="n">
        <v>4</v>
      </c>
      <c r="Q19" t="n">
        <v>3.486</v>
      </c>
      <c r="R19" t="inlineStr">
        <is>
          <t>estimate</t>
        </is>
      </c>
      <c r="S19" t="inlineStr">
        <is>
          <t>2026-10-08</t>
        </is>
      </c>
      <c r="T19" s="9" t="inlineStr">
        <is>
          <t>C</t>
        </is>
      </c>
      <c r="U19" t="inlineStr">
        <is>
          <t>[v2 certainty adj: sd x1.6, mu shrink 30%, p shrink 25%]</t>
        </is>
      </c>
      <c r="Y19">
        <f>N19-IF(T19="C",Assumptions!$B$27,IF(T19="B",Assumptions!$B$26,0))</f>
        <v/>
      </c>
    </row>
    <row r="20">
      <c r="A20" t="inlineStr">
        <is>
          <t>BYU</t>
        </is>
      </c>
      <c r="B20" t="inlineStr"/>
      <c r="D20" t="n">
        <v>0.0173</v>
      </c>
      <c r="E20" t="n">
        <v>0.0346</v>
      </c>
      <c r="F20" t="n">
        <v>0.0692</v>
      </c>
      <c r="G20" t="n">
        <v>0.1384</v>
      </c>
      <c r="H20" t="n">
        <v>0.2768</v>
      </c>
      <c r="I20" t="n">
        <v>0.7385</v>
      </c>
      <c r="J20" t="n">
        <v>0.144</v>
      </c>
      <c r="K20" t="n">
        <v>4.815</v>
      </c>
      <c r="L20">
        <f>Assumptions!$B$7*D20+Assumptions!$C$7*(E20-D20)+Assumptions!$D$7*(F20-E20)+Assumptions!$E$7*(G20-F20)+Assumptions!$F$7*(H20-G20)</f>
        <v/>
      </c>
      <c r="M20">
        <f>K20+MIN(L20,Assumptions!$H$7)</f>
        <v/>
      </c>
      <c r="N20">
        <f>M20-Assumptions!$I$7</f>
        <v/>
      </c>
      <c r="O20">
        <f>N20-Assumptions!$B$25*Q20</f>
        <v/>
      </c>
      <c r="P20" t="n">
        <v>4</v>
      </c>
      <c r="Q20" t="n">
        <v>3.451</v>
      </c>
      <c r="R20" t="inlineStr">
        <is>
          <t>estimate</t>
        </is>
      </c>
      <c r="S20" t="inlineStr">
        <is>
          <t>2026-10-08</t>
        </is>
      </c>
      <c r="T20" s="9" t="inlineStr">
        <is>
          <t>C</t>
        </is>
      </c>
      <c r="U20" t="inlineStr">
        <is>
          <t>[v2 certainty adj: sd x1.6, mu shrink 30%, p shrink 25%]</t>
        </is>
      </c>
      <c r="Y20">
        <f>N20-IF(T20="C",Assumptions!$B$27,IF(T20="B",Assumptions!$B$26,0))</f>
        <v/>
      </c>
    </row>
    <row r="21">
      <c r="A21" t="inlineStr">
        <is>
          <t>Iowa State</t>
        </is>
      </c>
      <c r="B21" t="inlineStr"/>
      <c r="D21" t="n">
        <v>0.0173</v>
      </c>
      <c r="E21" t="n">
        <v>0.0346</v>
      </c>
      <c r="F21" t="n">
        <v>0.0692</v>
      </c>
      <c r="G21" t="n">
        <v>0.1384</v>
      </c>
      <c r="H21" t="n">
        <v>0.2768</v>
      </c>
      <c r="I21" t="n">
        <v>0.7385</v>
      </c>
      <c r="J21" t="n">
        <v>0.144</v>
      </c>
      <c r="K21" t="n">
        <v>4.749</v>
      </c>
      <c r="L21">
        <f>Assumptions!$B$7*D21+Assumptions!$C$7*(E21-D21)+Assumptions!$D$7*(F21-E21)+Assumptions!$E$7*(G21-F21)+Assumptions!$F$7*(H21-G21)</f>
        <v/>
      </c>
      <c r="M21">
        <f>K21+MIN(L21,Assumptions!$H$7)</f>
        <v/>
      </c>
      <c r="N21">
        <f>M21-Assumptions!$I$7</f>
        <v/>
      </c>
      <c r="O21">
        <f>N21-Assumptions!$B$25*Q21</f>
        <v/>
      </c>
      <c r="P21" t="n">
        <v>4</v>
      </c>
      <c r="Q21" t="n">
        <v>3.443</v>
      </c>
      <c r="R21" t="inlineStr">
        <is>
          <t>estimate</t>
        </is>
      </c>
      <c r="S21" t="inlineStr">
        <is>
          <t>2026-10-08</t>
        </is>
      </c>
      <c r="T21" s="9" t="inlineStr">
        <is>
          <t>C</t>
        </is>
      </c>
      <c r="U21" t="inlineStr">
        <is>
          <t>[v2 certainty adj: sd x1.6, mu shrink 30%, p shrink 25%]</t>
        </is>
      </c>
      <c r="Y21">
        <f>N21-IF(T21="C",Assumptions!$B$27,IF(T21="B",Assumptions!$B$26,0))</f>
        <v/>
      </c>
    </row>
    <row r="22">
      <c r="A22" t="inlineStr">
        <is>
          <t>Gonzaga</t>
        </is>
      </c>
      <c r="B22" t="inlineStr"/>
      <c r="D22" t="n">
        <v>0.0173</v>
      </c>
      <c r="E22" t="n">
        <v>0.0346</v>
      </c>
      <c r="F22" t="n">
        <v>0.0692</v>
      </c>
      <c r="G22" t="n">
        <v>0.1384</v>
      </c>
      <c r="H22" t="n">
        <v>0.2768</v>
      </c>
      <c r="I22" t="n">
        <v>0.7385</v>
      </c>
      <c r="J22" t="n">
        <v>0.144</v>
      </c>
      <c r="K22" t="n">
        <v>4.746</v>
      </c>
      <c r="L22">
        <f>Assumptions!$B$7*D22+Assumptions!$C$7*(E22-D22)+Assumptions!$D$7*(F22-E22)+Assumptions!$E$7*(G22-F22)+Assumptions!$F$7*(H22-G22)</f>
        <v/>
      </c>
      <c r="M22">
        <f>K22+MIN(L22,Assumptions!$H$7)</f>
        <v/>
      </c>
      <c r="N22">
        <f>M22-Assumptions!$I$7</f>
        <v/>
      </c>
      <c r="O22">
        <f>N22-Assumptions!$B$25*Q22</f>
        <v/>
      </c>
      <c r="P22" t="n">
        <v>4</v>
      </c>
      <c r="Q22" t="n">
        <v>3.462</v>
      </c>
      <c r="R22" t="inlineStr">
        <is>
          <t>estimate</t>
        </is>
      </c>
      <c r="S22" t="inlineStr">
        <is>
          <t>2026-10-08</t>
        </is>
      </c>
      <c r="T22" s="9" t="inlineStr">
        <is>
          <t>C</t>
        </is>
      </c>
      <c r="U22" t="inlineStr">
        <is>
          <t>[v2 certainty adj: sd x1.6, mu shrink 30%, p shrink 25%]</t>
        </is>
      </c>
      <c r="Y22">
        <f>N22-IF(T22="C",Assumptions!$B$27,IF(T22="B",Assumptions!$B$26,0))</f>
        <v/>
      </c>
    </row>
    <row r="23">
      <c r="A23" t="inlineStr">
        <is>
          <t>Arkansas</t>
        </is>
      </c>
      <c r="B23" t="inlineStr"/>
      <c r="D23" t="n">
        <v>0.0173</v>
      </c>
      <c r="E23" t="n">
        <v>0.0346</v>
      </c>
      <c r="F23" t="n">
        <v>0.0692</v>
      </c>
      <c r="G23" t="n">
        <v>0.1384</v>
      </c>
      <c r="H23" t="n">
        <v>0.2768</v>
      </c>
      <c r="I23" t="n">
        <v>0.7315</v>
      </c>
      <c r="J23" t="n">
        <v>0.144</v>
      </c>
      <c r="K23" t="n">
        <v>4.602</v>
      </c>
      <c r="L23">
        <f>Assumptions!$B$7*D23+Assumptions!$C$7*(E23-D23)+Assumptions!$D$7*(F23-E23)+Assumptions!$E$7*(G23-F23)+Assumptions!$F$7*(H23-G23)</f>
        <v/>
      </c>
      <c r="M23">
        <f>K23+MIN(L23,Assumptions!$H$7)</f>
        <v/>
      </c>
      <c r="N23">
        <f>M23-Assumptions!$I$7</f>
        <v/>
      </c>
      <c r="O23">
        <f>N23-Assumptions!$B$25*Q23</f>
        <v/>
      </c>
      <c r="P23" t="n">
        <v>4</v>
      </c>
      <c r="Q23" t="n">
        <v>3.351</v>
      </c>
      <c r="R23" t="inlineStr">
        <is>
          <t>estimate</t>
        </is>
      </c>
      <c r="S23" t="inlineStr">
        <is>
          <t>2026-10-08</t>
        </is>
      </c>
      <c r="T23" s="9" t="inlineStr">
        <is>
          <t>C</t>
        </is>
      </c>
      <c r="U23" t="inlineStr">
        <is>
          <t>[v2 certainty adj: sd x1.6, mu shrink 30%, p shrink 25%]</t>
        </is>
      </c>
      <c r="Y23">
        <f>N23-IF(T23="C",Assumptions!$B$27,IF(T23="B",Assumptions!$B$26,0))</f>
        <v/>
      </c>
    </row>
    <row r="24">
      <c r="A24" t="inlineStr">
        <is>
          <t>North Carolina</t>
        </is>
      </c>
      <c r="B24" t="inlineStr"/>
      <c r="D24" t="n">
        <v>0.0158</v>
      </c>
      <c r="E24" t="n">
        <v>0.0316</v>
      </c>
      <c r="F24" t="n">
        <v>0.06320000000000001</v>
      </c>
      <c r="G24" t="n">
        <v>0.1264</v>
      </c>
      <c r="H24" t="n">
        <v>0.2528</v>
      </c>
      <c r="I24" t="n">
        <v>0.7245</v>
      </c>
      <c r="J24" t="n">
        <v>0.144</v>
      </c>
      <c r="K24" t="n">
        <v>4.486</v>
      </c>
      <c r="L24">
        <f>Assumptions!$B$7*D24+Assumptions!$C$7*(E24-D24)+Assumptions!$D$7*(F24-E24)+Assumptions!$E$7*(G24-F24)+Assumptions!$F$7*(H24-G24)</f>
        <v/>
      </c>
      <c r="M24">
        <f>K24+MIN(L24,Assumptions!$H$7)</f>
        <v/>
      </c>
      <c r="N24">
        <f>M24-Assumptions!$I$7</f>
        <v/>
      </c>
      <c r="O24">
        <f>N24-Assumptions!$B$25*Q24</f>
        <v/>
      </c>
      <c r="P24" t="n">
        <v>4</v>
      </c>
      <c r="Q24" t="n">
        <v>3.35</v>
      </c>
      <c r="R24" t="inlineStr">
        <is>
          <t>estimate</t>
        </is>
      </c>
      <c r="S24" t="inlineStr">
        <is>
          <t>2026-10-08</t>
        </is>
      </c>
      <c r="T24" s="9" t="inlineStr">
        <is>
          <t>C</t>
        </is>
      </c>
      <c r="U24" t="inlineStr">
        <is>
          <t>[v2 certainty adj: sd x1.6, mu shrink 30%, p shrink 25%]</t>
        </is>
      </c>
      <c r="X24" s="16" t="inlineStr">
        <is>
          <t>Molmen</t>
        </is>
      </c>
      <c r="Y24">
        <f>N24-IF(T24="C",Assumptions!$B$27,IF(T24="B",Assumptions!$B$26,0))</f>
        <v/>
      </c>
    </row>
    <row r="25">
      <c r="A25" t="inlineStr">
        <is>
          <t>Auburn</t>
        </is>
      </c>
      <c r="B25" t="inlineStr"/>
      <c r="D25" t="n">
        <v>0.0158</v>
      </c>
      <c r="E25" t="n">
        <v>0.0316</v>
      </c>
      <c r="F25" t="n">
        <v>0.06320000000000001</v>
      </c>
      <c r="G25" t="n">
        <v>0.1264</v>
      </c>
      <c r="H25" t="n">
        <v>0.2528</v>
      </c>
      <c r="I25" t="n">
        <v>0.7245</v>
      </c>
      <c r="J25" t="n">
        <v>0.144</v>
      </c>
      <c r="K25" t="n">
        <v>4.463</v>
      </c>
      <c r="L25">
        <f>Assumptions!$B$7*D25+Assumptions!$C$7*(E25-D25)+Assumptions!$D$7*(F25-E25)+Assumptions!$E$7*(G25-F25)+Assumptions!$F$7*(H25-G25)</f>
        <v/>
      </c>
      <c r="M25">
        <f>K25+MIN(L25,Assumptions!$H$7)</f>
        <v/>
      </c>
      <c r="N25">
        <f>M25-Assumptions!$I$7</f>
        <v/>
      </c>
      <c r="O25">
        <f>N25-Assumptions!$B$25*Q25</f>
        <v/>
      </c>
      <c r="P25" t="n">
        <v>4</v>
      </c>
      <c r="Q25" t="n">
        <v>3.322</v>
      </c>
      <c r="R25" t="inlineStr">
        <is>
          <t>estimate</t>
        </is>
      </c>
      <c r="S25" t="inlineStr">
        <is>
          <t>2026-10-08</t>
        </is>
      </c>
      <c r="T25" s="9" t="inlineStr">
        <is>
          <t>C</t>
        </is>
      </c>
      <c r="U25" t="inlineStr">
        <is>
          <t>[v2 certainty adj: sd x1.6, mu shrink 30%, p shrink 25%]</t>
        </is>
      </c>
      <c r="Y25">
        <f>N25-IF(T25="C",Assumptions!$B$27,IF(T25="B",Assumptions!$B$26,0))</f>
        <v/>
      </c>
    </row>
    <row r="26">
      <c r="A26" t="inlineStr">
        <is>
          <t>St. John's</t>
        </is>
      </c>
      <c r="B26" t="inlineStr"/>
      <c r="D26" t="n">
        <v>0.0158</v>
      </c>
      <c r="E26" t="n">
        <v>0.0316</v>
      </c>
      <c r="F26" t="n">
        <v>0.06320000000000001</v>
      </c>
      <c r="G26" t="n">
        <v>0.1264</v>
      </c>
      <c r="H26" t="n">
        <v>0.2528</v>
      </c>
      <c r="I26" t="n">
        <v>0.7175</v>
      </c>
      <c r="J26" t="n">
        <v>0.144</v>
      </c>
      <c r="K26" t="n">
        <v>4.348</v>
      </c>
      <c r="L26">
        <f>Assumptions!$B$7*D26+Assumptions!$C$7*(E26-D26)+Assumptions!$D$7*(F26-E26)+Assumptions!$E$7*(G26-F26)+Assumptions!$F$7*(H26-G26)</f>
        <v/>
      </c>
      <c r="M26">
        <f>K26+MIN(L26,Assumptions!$H$7)</f>
        <v/>
      </c>
      <c r="N26">
        <f>M26-Assumptions!$I$7</f>
        <v/>
      </c>
      <c r="O26">
        <f>N26-Assumptions!$B$25*Q26</f>
        <v/>
      </c>
      <c r="P26" t="n">
        <v>4</v>
      </c>
      <c r="Q26" t="n">
        <v>3.277</v>
      </c>
      <c r="R26" t="inlineStr">
        <is>
          <t>estimate</t>
        </is>
      </c>
      <c r="S26" t="inlineStr">
        <is>
          <t>2026-10-08</t>
        </is>
      </c>
      <c r="T26" s="9" t="inlineStr">
        <is>
          <t>C</t>
        </is>
      </c>
      <c r="U26" t="inlineStr">
        <is>
          <t>[v2 certainty adj: sd x1.6, mu shrink 30%, p shrink 25%]</t>
        </is>
      </c>
      <c r="X26" s="16" t="inlineStr">
        <is>
          <t>Tim</t>
        </is>
      </c>
      <c r="Y26">
        <f>N26-IF(T26="C",Assumptions!$B$27,IF(T26="B",Assumptions!$B$26,0))</f>
        <v/>
      </c>
    </row>
    <row r="27">
      <c r="A27" t="inlineStr">
        <is>
          <t>Vanderbilt</t>
        </is>
      </c>
      <c r="B27" t="inlineStr"/>
      <c r="D27" t="n">
        <v>0.0158</v>
      </c>
      <c r="E27" t="n">
        <v>0.0316</v>
      </c>
      <c r="F27" t="n">
        <v>0.06320000000000001</v>
      </c>
      <c r="G27" t="n">
        <v>0.1264</v>
      </c>
      <c r="H27" t="n">
        <v>0.2528</v>
      </c>
      <c r="I27" t="n">
        <v>0.7105</v>
      </c>
      <c r="J27" t="n">
        <v>0.144</v>
      </c>
      <c r="K27" t="n">
        <v>4.191</v>
      </c>
      <c r="L27">
        <f>Assumptions!$B$7*D27+Assumptions!$C$7*(E27-D27)+Assumptions!$D$7*(F27-E27)+Assumptions!$E$7*(G27-F27)+Assumptions!$F$7*(H27-G27)</f>
        <v/>
      </c>
      <c r="M27">
        <f>K27+MIN(L27,Assumptions!$H$7)</f>
        <v/>
      </c>
      <c r="N27">
        <f>M27-Assumptions!$I$7</f>
        <v/>
      </c>
      <c r="O27">
        <f>N27-Assumptions!$B$25*Q27</f>
        <v/>
      </c>
      <c r="P27" t="n">
        <v>4</v>
      </c>
      <c r="Q27" t="n">
        <v>3.226</v>
      </c>
      <c r="R27" t="inlineStr">
        <is>
          <t>estimate</t>
        </is>
      </c>
      <c r="S27" t="inlineStr">
        <is>
          <t>2026-10-08</t>
        </is>
      </c>
      <c r="T27" s="9" t="inlineStr">
        <is>
          <t>C</t>
        </is>
      </c>
      <c r="U27" t="inlineStr">
        <is>
          <t>[v2 certainty adj: sd x1.6, mu shrink 30%, p shrink 25%]</t>
        </is>
      </c>
      <c r="Y27">
        <f>N27-IF(T27="C",Assumptions!$B$27,IF(T27="B",Assumptions!$B$26,0))</f>
        <v/>
      </c>
    </row>
    <row r="28">
      <c r="A28" t="inlineStr">
        <is>
          <t>Texas</t>
        </is>
      </c>
      <c r="B28" t="inlineStr"/>
      <c r="D28" t="n">
        <v>0.0143</v>
      </c>
      <c r="E28" t="n">
        <v>0.0286</v>
      </c>
      <c r="F28" t="n">
        <v>0.0572</v>
      </c>
      <c r="G28" t="n">
        <v>0.1144</v>
      </c>
      <c r="H28" t="n">
        <v>0.2288</v>
      </c>
      <c r="I28" t="n">
        <v>0.7035</v>
      </c>
      <c r="J28" t="n">
        <v>0.144</v>
      </c>
      <c r="K28" t="n">
        <v>4.122</v>
      </c>
      <c r="L28">
        <f>Assumptions!$B$7*D28+Assumptions!$C$7*(E28-D28)+Assumptions!$D$7*(F28-E28)+Assumptions!$E$7*(G28-F28)+Assumptions!$F$7*(H28-G28)</f>
        <v/>
      </c>
      <c r="M28">
        <f>K28+MIN(L28,Assumptions!$H$7)</f>
        <v/>
      </c>
      <c r="N28">
        <f>M28-Assumptions!$I$7</f>
        <v/>
      </c>
      <c r="O28">
        <f>N28-Assumptions!$B$25*Q28</f>
        <v/>
      </c>
      <c r="P28" t="n">
        <v>4</v>
      </c>
      <c r="Q28" t="n">
        <v>3.237</v>
      </c>
      <c r="R28" t="inlineStr">
        <is>
          <t>estimate</t>
        </is>
      </c>
      <c r="S28" t="inlineStr">
        <is>
          <t>2026-10-08</t>
        </is>
      </c>
      <c r="T28" s="9" t="inlineStr">
        <is>
          <t>C</t>
        </is>
      </c>
      <c r="U28" t="inlineStr">
        <is>
          <t>[v2 certainty adj: sd x1.6, mu shrink 30%, p shrink 25%]</t>
        </is>
      </c>
      <c r="Y28">
        <f>N28-IF(T28="C",Assumptions!$B$27,IF(T28="B",Assumptions!$B$26,0))</f>
        <v/>
      </c>
    </row>
    <row r="29">
      <c r="A29" t="inlineStr">
        <is>
          <t>Wisconsin</t>
        </is>
      </c>
      <c r="B29" t="inlineStr"/>
      <c r="D29" t="n">
        <v>0.0143</v>
      </c>
      <c r="E29" t="n">
        <v>0.0286</v>
      </c>
      <c r="F29" t="n">
        <v>0.0572</v>
      </c>
      <c r="G29" t="n">
        <v>0.1144</v>
      </c>
      <c r="H29" t="n">
        <v>0.2288</v>
      </c>
      <c r="I29" t="n">
        <v>0.7035</v>
      </c>
      <c r="J29" t="n">
        <v>0.144</v>
      </c>
      <c r="K29" t="n">
        <v>4.05</v>
      </c>
      <c r="L29">
        <f>Assumptions!$B$7*D29+Assumptions!$C$7*(E29-D29)+Assumptions!$D$7*(F29-E29)+Assumptions!$E$7*(G29-F29)+Assumptions!$F$7*(H29-G29)</f>
        <v/>
      </c>
      <c r="M29">
        <f>K29+MIN(L29,Assumptions!$H$7)</f>
        <v/>
      </c>
      <c r="N29">
        <f>M29-Assumptions!$I$7</f>
        <v/>
      </c>
      <c r="O29">
        <f>N29-Assumptions!$B$25*Q29</f>
        <v/>
      </c>
      <c r="P29" t="n">
        <v>4</v>
      </c>
      <c r="Q29" t="n">
        <v>3.158</v>
      </c>
      <c r="R29" t="inlineStr">
        <is>
          <t>estimate</t>
        </is>
      </c>
      <c r="S29" t="inlineStr">
        <is>
          <t>2026-10-08</t>
        </is>
      </c>
      <c r="T29" s="9" t="inlineStr">
        <is>
          <t>C</t>
        </is>
      </c>
      <c r="U29" t="inlineStr">
        <is>
          <t>[v2 certainty adj: sd x1.6, mu shrink 30%, p shrink 25%]</t>
        </is>
      </c>
      <c r="Y29">
        <f>N29-IF(T29="C",Assumptions!$B$27,IF(T29="B",Assumptions!$B$26,0))</f>
        <v/>
      </c>
    </row>
    <row r="30">
      <c r="A30" t="inlineStr">
        <is>
          <t>Creighton</t>
        </is>
      </c>
      <c r="B30" t="inlineStr"/>
      <c r="D30" t="n">
        <v>0.0143</v>
      </c>
      <c r="E30" t="n">
        <v>0.0286</v>
      </c>
      <c r="F30" t="n">
        <v>0.0572</v>
      </c>
      <c r="G30" t="n">
        <v>0.1144</v>
      </c>
      <c r="H30" t="n">
        <v>0.2288</v>
      </c>
      <c r="I30" t="n">
        <v>0.7035</v>
      </c>
      <c r="J30" t="n">
        <v>0.144</v>
      </c>
      <c r="K30" t="n">
        <v>4.019</v>
      </c>
      <c r="L30">
        <f>Assumptions!$B$7*D30+Assumptions!$C$7*(E30-D30)+Assumptions!$D$7*(F30-E30)+Assumptions!$E$7*(G30-F30)+Assumptions!$F$7*(H30-G30)</f>
        <v/>
      </c>
      <c r="M30">
        <f>K30+MIN(L30,Assumptions!$H$7)</f>
        <v/>
      </c>
      <c r="N30">
        <f>M30-Assumptions!$I$7</f>
        <v/>
      </c>
      <c r="O30">
        <f>N30-Assumptions!$B$25*Q30</f>
        <v/>
      </c>
      <c r="P30" t="n">
        <v>4</v>
      </c>
      <c r="Q30" t="n">
        <v>3.153</v>
      </c>
      <c r="R30" t="inlineStr">
        <is>
          <t>estimate</t>
        </is>
      </c>
      <c r="S30" t="inlineStr">
        <is>
          <t>2026-10-08</t>
        </is>
      </c>
      <c r="T30" s="9" t="inlineStr">
        <is>
          <t>C</t>
        </is>
      </c>
      <c r="U30" t="inlineStr">
        <is>
          <t>[v2 certainty adj: sd x1.6, mu shrink 30%, p shrink 25%]</t>
        </is>
      </c>
      <c r="Y30">
        <f>N30-IF(T30="C",Assumptions!$B$27,IF(T30="B",Assumptions!$B$26,0))</f>
        <v/>
      </c>
    </row>
    <row r="31">
      <c r="A31" t="inlineStr">
        <is>
          <t>Baylor</t>
        </is>
      </c>
      <c r="B31" t="inlineStr"/>
      <c r="D31" t="n">
        <v>0.0143</v>
      </c>
      <c r="E31" t="n">
        <v>0.0286</v>
      </c>
      <c r="F31" t="n">
        <v>0.0572</v>
      </c>
      <c r="G31" t="n">
        <v>0.1144</v>
      </c>
      <c r="H31" t="n">
        <v>0.2288</v>
      </c>
      <c r="I31" t="n">
        <v>0.6965</v>
      </c>
      <c r="J31" t="n">
        <v>0.144</v>
      </c>
      <c r="K31" t="n">
        <v>3.973</v>
      </c>
      <c r="L31">
        <f>Assumptions!$B$7*D31+Assumptions!$C$7*(E31-D31)+Assumptions!$D$7*(F31-E31)+Assumptions!$E$7*(G31-F31)+Assumptions!$F$7*(H31-G31)</f>
        <v/>
      </c>
      <c r="M31">
        <f>K31+MIN(L31,Assumptions!$H$7)</f>
        <v/>
      </c>
      <c r="N31">
        <f>M31-Assumptions!$I$7</f>
        <v/>
      </c>
      <c r="O31">
        <f>N31-Assumptions!$B$25*Q31</f>
        <v/>
      </c>
      <c r="P31" t="n">
        <v>4</v>
      </c>
      <c r="Q31" t="n">
        <v>3.16</v>
      </c>
      <c r="R31" t="inlineStr">
        <is>
          <t>estimate</t>
        </is>
      </c>
      <c r="S31" t="inlineStr">
        <is>
          <t>2026-10-08</t>
        </is>
      </c>
      <c r="T31" s="9" t="inlineStr">
        <is>
          <t>C</t>
        </is>
      </c>
      <c r="U31" t="inlineStr">
        <is>
          <t>[v2 certainty adj: sd x1.6, mu shrink 30%, p shrink 25%]</t>
        </is>
      </c>
      <c r="Y31">
        <f>N31-IF(T31="C",Assumptions!$B$27,IF(T31="B",Assumptions!$B$26,0))</f>
        <v/>
      </c>
    </row>
    <row r="32">
      <c r="A32" t="inlineStr">
        <is>
          <t>Virginia</t>
        </is>
      </c>
      <c r="B32" t="inlineStr"/>
      <c r="D32" t="n">
        <v>0.0143</v>
      </c>
      <c r="E32" t="n">
        <v>0.0286</v>
      </c>
      <c r="F32" t="n">
        <v>0.0572</v>
      </c>
      <c r="G32" t="n">
        <v>0.1144</v>
      </c>
      <c r="H32" t="n">
        <v>0.2288</v>
      </c>
      <c r="I32" t="n">
        <v>0.6965</v>
      </c>
      <c r="J32" t="n">
        <v>0.144</v>
      </c>
      <c r="K32" t="n">
        <v>3.932</v>
      </c>
      <c r="L32">
        <f>Assumptions!$B$7*D32+Assumptions!$C$7*(E32-D32)+Assumptions!$D$7*(F32-E32)+Assumptions!$E$7*(G32-F32)+Assumptions!$F$7*(H32-G32)</f>
        <v/>
      </c>
      <c r="M32">
        <f>K32+MIN(L32,Assumptions!$H$7)</f>
        <v/>
      </c>
      <c r="N32">
        <f>M32-Assumptions!$I$7</f>
        <v/>
      </c>
      <c r="O32">
        <f>N32-Assumptions!$B$25*Q32</f>
        <v/>
      </c>
      <c r="P32" t="n">
        <v>4</v>
      </c>
      <c r="Q32" t="n">
        <v>3.122</v>
      </c>
      <c r="R32" t="inlineStr">
        <is>
          <t>estimate</t>
        </is>
      </c>
      <c r="S32" t="inlineStr">
        <is>
          <t>2026-10-08</t>
        </is>
      </c>
      <c r="T32" s="9" t="inlineStr">
        <is>
          <t>C</t>
        </is>
      </c>
      <c r="U32" t="inlineStr">
        <is>
          <t>[v2 certainty adj: sd x1.6, mu shrink 30%, p shrink 25%]</t>
        </is>
      </c>
      <c r="Y32">
        <f>N32-IF(T32="C",Assumptions!$B$27,IF(T32="B",Assumptions!$B$26,0))</f>
        <v/>
      </c>
    </row>
    <row r="33">
      <c r="A33" t="inlineStr">
        <is>
          <t>Missouri</t>
        </is>
      </c>
      <c r="B33" t="inlineStr"/>
      <c r="D33" t="n">
        <v>0.0128</v>
      </c>
      <c r="E33" t="n">
        <v>0.0256</v>
      </c>
      <c r="F33" t="n">
        <v>0.0512</v>
      </c>
      <c r="G33" t="n">
        <v>0.1024</v>
      </c>
      <c r="H33" t="n">
        <v>0.2048</v>
      </c>
      <c r="I33" t="n">
        <v>0.6825</v>
      </c>
      <c r="J33" t="n">
        <v>0.144</v>
      </c>
      <c r="K33" t="n">
        <v>3.742</v>
      </c>
      <c r="L33">
        <f>Assumptions!$B$7*D33+Assumptions!$C$7*(E33-D33)+Assumptions!$D$7*(F33-E33)+Assumptions!$E$7*(G33-F33)+Assumptions!$F$7*(H33-G33)</f>
        <v/>
      </c>
      <c r="M33">
        <f>K33+MIN(L33,Assumptions!$H$7)</f>
        <v/>
      </c>
      <c r="N33">
        <f>M33-Assumptions!$I$7</f>
        <v/>
      </c>
      <c r="O33">
        <f>N33-Assumptions!$B$25*Q33</f>
        <v/>
      </c>
      <c r="P33" t="n">
        <v>4</v>
      </c>
      <c r="Q33" t="n">
        <v>2.994</v>
      </c>
      <c r="R33" t="inlineStr">
        <is>
          <t>estimate</t>
        </is>
      </c>
      <c r="S33" t="inlineStr">
        <is>
          <t>2026-10-08</t>
        </is>
      </c>
      <c r="T33" s="9" t="inlineStr">
        <is>
          <t>C</t>
        </is>
      </c>
      <c r="U33" t="inlineStr">
        <is>
          <t>[v2 certainty adj: sd x1.6, mu shrink 30%, p shrink 25%]</t>
        </is>
      </c>
      <c r="Y33">
        <f>N33-IF(T33="C",Assumptions!$B$27,IF(T33="B",Assumptions!$B$26,0))</f>
        <v/>
      </c>
    </row>
    <row r="34">
      <c r="A34" t="inlineStr">
        <is>
          <t>UCLA</t>
        </is>
      </c>
      <c r="B34" t="inlineStr">
        <is>
          <t>owned (Todd)</t>
        </is>
      </c>
      <c r="D34" t="n">
        <v>0.0128</v>
      </c>
      <c r="E34" t="n">
        <v>0.0256</v>
      </c>
      <c r="F34" t="n">
        <v>0.0512</v>
      </c>
      <c r="G34" t="n">
        <v>0.1024</v>
      </c>
      <c r="H34" t="n">
        <v>0.2048</v>
      </c>
      <c r="I34" t="n">
        <v>0.6825</v>
      </c>
      <c r="J34" t="n">
        <v>0.144</v>
      </c>
      <c r="K34" t="n">
        <v>3.737</v>
      </c>
      <c r="L34">
        <f>Assumptions!$B$7*D34+Assumptions!$C$7*(E34-D34)+Assumptions!$D$7*(F34-E34)+Assumptions!$E$7*(G34-F34)+Assumptions!$F$7*(H34-G34)</f>
        <v/>
      </c>
      <c r="M34">
        <f>K34+MIN(L34,Assumptions!$H$7)</f>
        <v/>
      </c>
      <c r="N34">
        <f>M34-Assumptions!$I$7</f>
        <v/>
      </c>
      <c r="O34">
        <f>N34-Assumptions!$B$25*Q34</f>
        <v/>
      </c>
      <c r="P34" t="n">
        <v>4</v>
      </c>
      <c r="Q34" t="n">
        <v>3.022</v>
      </c>
      <c r="R34" t="inlineStr">
        <is>
          <t>added because a league member currently owns this pick (draft_picks_2026.py); not in the first-pass pool, so figures are placeholders (conf C)</t>
        </is>
      </c>
      <c r="S34" t="inlineStr">
        <is>
          <t>2026-10-08</t>
        </is>
      </c>
      <c r="T34" s="9" t="inlineStr">
        <is>
          <t>C</t>
        </is>
      </c>
      <c r="U34" t="inlineStr">
        <is>
          <t>[v2 certainty adj: sd x1.6, mu shrink 30%, p shrink 25%]</t>
        </is>
      </c>
      <c r="X34" s="16" t="inlineStr">
        <is>
          <t>Todd</t>
        </is>
      </c>
      <c r="Y34">
        <f>N34-IF(T34="C",Assumptions!$B$27,IF(T34="B",Assumptions!$B$26,0))</f>
        <v/>
      </c>
    </row>
    <row r="36">
      <c r="A36" s="8" t="inlineStr">
        <is>
          <t>Replacement-level EV (Nth best)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36" customWidth="1" min="2" max="2"/>
    <col width="22" customWidth="1" min="3" max="3"/>
    <col width="11" customWidth="1" min="4" max="4"/>
    <col width="11" customWidth="1" min="5" max="5"/>
    <col width="11" customWidth="1" min="6" max="6"/>
    <col width="11" customWidth="1" min="7" max="7"/>
    <col width="11" customWidth="1" min="8" max="8"/>
    <col width="9" customWidth="1" min="9" max="9"/>
    <col width="9" customWidth="1" min="10" max="10"/>
    <col width="11" customWidth="1" min="11" max="11"/>
    <col width="10" customWidth="1" min="12" max="12"/>
    <col width="10" customWidth="1" min="13" max="13"/>
    <col width="9" customWidth="1" min="14" max="14"/>
    <col width="11" customWidth="1" min="15" max="15"/>
    <col width="6" customWidth="1" min="16" max="16"/>
    <col width="9" customWidth="1" min="17" max="17"/>
    <col width="38" customWidth="1" min="18" max="18"/>
    <col width="11" customWidth="1" min="19" max="19"/>
    <col width="6" customWidth="1" min="20" max="20"/>
    <col width="60" customWidth="1" min="21" max="21"/>
    <col width="12" customWidth="1" min="22" max="22"/>
    <col width="9" customWidth="1" min="23" max="23"/>
    <col width="11" customWidth="1" min="24" max="24"/>
    <col width="11" customWidth="1" min="25" max="25"/>
  </cols>
  <sheetData>
    <row r="1">
      <c r="A1" s="18" t="inlineStr">
        <is>
          <t>Tennis — 2027 draft research (EV model; see README)</t>
        </is>
      </c>
    </row>
    <row r="2">
      <c r="A2" t="inlineStr">
        <is>
          <t>As of 2026-10-22. Sorted by E[total]. Yellow = inferred / low-confidence (C).</t>
        </is>
      </c>
    </row>
    <row r="4">
      <c r="A4" s="7" t="inlineStr">
        <is>
          <t>Candidate</t>
        </is>
      </c>
      <c r="B4" s="7" t="inlineStr">
        <is>
          <t>Detail</t>
        </is>
      </c>
      <c r="C4" s="7" t="inlineStr">
        <is>
          <t>Odds / price</t>
        </is>
      </c>
      <c r="D4" s="7" t="inlineStr">
        <is>
          <t>p(≥1 slam win)</t>
        </is>
      </c>
      <c r="E4" s="7" t="inlineStr">
        <is>
          <t>p(≥1 slam RU)</t>
        </is>
      </c>
      <c r="F4" s="7" t="inlineStr">
        <is>
          <t>Gender</t>
        </is>
      </c>
      <c r="G4" s="7" t="inlineStr"/>
      <c r="H4" s="7" t="inlineStr"/>
      <c r="I4" s="7" t="inlineStr">
        <is>
          <t>mu</t>
        </is>
      </c>
      <c r="J4" s="7" t="inlineStr">
        <is>
          <t>sd</t>
        </is>
      </c>
      <c r="K4" s="7" t="inlineStr">
        <is>
          <t>E[rank pts] (MC)</t>
        </is>
      </c>
      <c r="L4" s="7" t="inlineStr">
        <is>
          <t>E[bonus]</t>
        </is>
      </c>
      <c r="M4" s="7" t="inlineStr">
        <is>
          <t>E[total]</t>
        </is>
      </c>
      <c r="N4" s="7" t="inlineStr">
        <is>
          <t>VOR</t>
        </is>
      </c>
      <c r="O4" s="7" t="inlineStr">
        <is>
          <t>Risk-adj VOR</t>
        </is>
      </c>
      <c r="P4" s="7" t="inlineStr">
        <is>
          <t>Tier</t>
        </is>
      </c>
      <c r="Q4" s="7" t="inlineStr">
        <is>
          <t>SD rank pts</t>
        </is>
      </c>
      <c r="R4" s="7" t="inlineStr">
        <is>
          <t>Source</t>
        </is>
      </c>
      <c r="S4" s="7" t="inlineStr">
        <is>
          <t>As of</t>
        </is>
      </c>
      <c r="T4" s="7" t="inlineStr">
        <is>
          <t>Conf</t>
        </is>
      </c>
      <c r="U4" s="7" t="inlineStr">
        <is>
          <t>Notes</t>
        </is>
      </c>
      <c r="V4" s="7" t="inlineStr">
        <is>
          <t>Field draft score</t>
        </is>
      </c>
      <c r="W4" s="7" t="inlineStr">
        <is>
          <t>Field rank</t>
        </is>
      </c>
      <c r="X4" s="7" t="inlineStr">
        <is>
          <t>Owner</t>
        </is>
      </c>
      <c r="Y4" s="7" t="inlineStr">
        <is>
          <t>Conf-adj VOR</t>
        </is>
      </c>
    </row>
    <row r="5">
      <c r="A5" s="9" t="inlineStr">
        <is>
          <t>Jannik Sinner</t>
        </is>
      </c>
      <c r="B5" t="inlineStr">
        <is>
          <t>ATP 1 (2026-10-08)</t>
        </is>
      </c>
      <c r="C5" t="inlineStr">
        <is>
          <t>+100 AO 2027 (pre-injury)</t>
        </is>
      </c>
      <c r="D5" t="n">
        <v>0.4637</v>
      </c>
      <c r="E5" t="n">
        <v>0.2818</v>
      </c>
      <c r="F5" t="inlineStr">
        <is>
          <t>M</t>
        </is>
      </c>
      <c r="I5" t="n">
        <v>1</v>
      </c>
      <c r="J5" t="n">
        <v>0.08799999999999999</v>
      </c>
      <c r="K5" t="n">
        <v>8.959</v>
      </c>
      <c r="L5">
        <f>Assumptions!$B$20*N(D5)+Assumptions!$B$21*N(E5)</f>
        <v/>
      </c>
      <c r="M5">
        <f>K5+MIN(L5,Assumptions!$H$8)</f>
        <v/>
      </c>
      <c r="N5">
        <f>M5-Assumptions!$I$8</f>
        <v/>
      </c>
      <c r="O5">
        <f>N5-Assumptions!$B$25*Q5</f>
        <v/>
      </c>
      <c r="P5" t="n">
        <v>1</v>
      </c>
      <c r="Q5" t="n">
        <v>3.291</v>
      </c>
      <c r="R5" t="inlineStr">
        <is>
          <t>ATP rank from league standings pull (A) / WTA via Olympics.com Oct 5; AO odds VegasInsider/Johnnybet Oct 2026; probabilities = agent estimates</t>
        </is>
      </c>
      <c r="S5" t="inlineStr">
        <is>
          <t>2026-10-08</t>
        </is>
      </c>
      <c r="T5" t="inlineStr">
        <is>
          <t>B</t>
        </is>
      </c>
      <c r="U5" t="inlineStr">
        <is>
          <t>Won Wimbledon 2026. Knee injury reported Oct 6 (unverified) — AO price likely longer  [conf B: sd x1.1, p shrink 10%]</t>
        </is>
      </c>
      <c r="X5" s="16" t="inlineStr">
        <is>
          <t>Buckley</t>
        </is>
      </c>
      <c r="Y5">
        <f>N5-IF(T5="C",Assumptions!$B$27,IF(T5="B",Assumptions!$B$26,0))</f>
        <v/>
      </c>
    </row>
    <row r="6">
      <c r="A6" s="9" t="inlineStr">
        <is>
          <t>Elena Rybakina</t>
        </is>
      </c>
      <c r="B6" t="inlineStr">
        <is>
          <t>WTA 1 (2026-10-08)</t>
        </is>
      </c>
      <c r="C6" t="inlineStr">
        <is>
          <t>+300 AO 2027</t>
        </is>
      </c>
      <c r="D6" t="n">
        <v>0.3737</v>
      </c>
      <c r="E6" t="n">
        <v>0.2818</v>
      </c>
      <c r="F6" t="inlineStr">
        <is>
          <t>W</t>
        </is>
      </c>
      <c r="I6" t="n">
        <v>0.991</v>
      </c>
      <c r="J6" t="n">
        <v>0.08799999999999999</v>
      </c>
      <c r="K6" t="n">
        <v>8.646000000000001</v>
      </c>
      <c r="L6">
        <f>Assumptions!$B$20*N(D6)+Assumptions!$B$21*N(E6)</f>
        <v/>
      </c>
      <c r="M6">
        <f>K6+MIN(L6,Assumptions!$H$8)</f>
        <v/>
      </c>
      <c r="N6">
        <f>M6-Assumptions!$I$8</f>
        <v/>
      </c>
      <c r="O6">
        <f>N6-Assumptions!$B$25*Q6</f>
        <v/>
      </c>
      <c r="P6" t="n">
        <v>1</v>
      </c>
      <c r="Q6" t="n">
        <v>3.33</v>
      </c>
      <c r="R6" t="inlineStr">
        <is>
          <t>ATP rank from league standings pull (A) / WTA via Olympics.com Oct 5; AO odds VegasInsider/Johnnybet Oct 2026; probabilities = agent estimates</t>
        </is>
      </c>
      <c r="S6" t="inlineStr">
        <is>
          <t>2026-10-08</t>
        </is>
      </c>
      <c r="T6" t="inlineStr">
        <is>
          <t>B</t>
        </is>
      </c>
      <c r="U6" t="inlineStr">
        <is>
          <t>Won AO and US Open 2026  [conf B: sd x1.1, p shrink 10%]</t>
        </is>
      </c>
      <c r="Y6">
        <f>N6-IF(T6="C",Assumptions!$B$27,IF(T6="B",Assumptions!$B$26,0))</f>
        <v/>
      </c>
    </row>
    <row r="7">
      <c r="A7" s="9" t="inlineStr">
        <is>
          <t>Aryna Sabalenka</t>
        </is>
      </c>
      <c r="B7" t="inlineStr">
        <is>
          <t>WTA 2 (2026-10-08)</t>
        </is>
      </c>
      <c r="C7" t="inlineStr">
        <is>
          <t>+175 to +185 AO 2027</t>
        </is>
      </c>
      <c r="D7" t="n">
        <v>0.4187</v>
      </c>
      <c r="E7" t="n">
        <v>0.3718</v>
      </c>
      <c r="F7" t="inlineStr">
        <is>
          <t>W</t>
        </is>
      </c>
      <c r="I7" t="n">
        <v>0.973</v>
      </c>
      <c r="J7" t="n">
        <v>0.08799999999999999</v>
      </c>
      <c r="K7" t="n">
        <v>7.948</v>
      </c>
      <c r="L7">
        <f>Assumptions!$B$20*N(D7)+Assumptions!$B$21*N(E7)</f>
        <v/>
      </c>
      <c r="M7">
        <f>K7+MIN(L7,Assumptions!$H$8)</f>
        <v/>
      </c>
      <c r="N7">
        <f>M7-Assumptions!$I$8</f>
        <v/>
      </c>
      <c r="O7">
        <f>N7-Assumptions!$B$25*Q7</f>
        <v/>
      </c>
      <c r="P7" t="n">
        <v>1</v>
      </c>
      <c r="Q7" t="n">
        <v>3.419</v>
      </c>
      <c r="R7" t="inlineStr">
        <is>
          <t>ATP rank from league standings pull (A) / WTA via Olympics.com Oct 5; AO odds VegasInsider/Johnnybet Oct 2026; probabilities = agent estimates</t>
        </is>
      </c>
      <c r="S7" t="inlineStr">
        <is>
          <t>2026-10-08</t>
        </is>
      </c>
      <c r="T7" t="inlineStr">
        <is>
          <t>B</t>
        </is>
      </c>
      <c r="U7" t="inlineStr">
        <is>
          <t>Runner-up AO and US Open 2026 (both to Rybakina)  [conf B: sd x1.1, p shrink 10%]</t>
        </is>
      </c>
      <c r="X7" s="16" t="inlineStr">
        <is>
          <t>Fryar</t>
        </is>
      </c>
      <c r="Y7">
        <f>N7-IF(T7="C",Assumptions!$B$27,IF(T7="B",Assumptions!$B$26,0))</f>
        <v/>
      </c>
    </row>
    <row r="8">
      <c r="A8" s="17" t="inlineStr">
        <is>
          <t>Carlos Alcaraz</t>
        </is>
      </c>
      <c r="B8" t="inlineStr">
        <is>
          <t>ATP 3 (2026-10-08)</t>
        </is>
      </c>
      <c r="C8" t="inlineStr">
        <is>
          <t>+150 AO 2027</t>
        </is>
      </c>
      <c r="D8" t="n">
        <v>0.5087</v>
      </c>
      <c r="E8" t="n">
        <v>0.2818</v>
      </c>
      <c r="F8" t="inlineStr">
        <is>
          <t>M</t>
        </is>
      </c>
      <c r="I8" t="n">
        <v>0.964</v>
      </c>
      <c r="J8" t="n">
        <v>0.08799999999999999</v>
      </c>
      <c r="K8" t="n">
        <v>7.662</v>
      </c>
      <c r="L8">
        <f>Assumptions!$B$20*N(D8)+Assumptions!$B$21*N(E8)</f>
        <v/>
      </c>
      <c r="M8">
        <f>K8+MIN(L8,Assumptions!$H$8)</f>
        <v/>
      </c>
      <c r="N8">
        <f>M8-Assumptions!$I$8</f>
        <v/>
      </c>
      <c r="O8">
        <f>N8-Assumptions!$B$25*Q8</f>
        <v/>
      </c>
      <c r="P8" t="n">
        <v>2</v>
      </c>
      <c r="Q8" t="n">
        <v>3.437</v>
      </c>
      <c r="R8" t="inlineStr">
        <is>
          <t>ATP rank from league standings pull (A) / WTA via Olympics.com Oct 5; AO odds VegasInsider/Johnnybet Oct 2026; probabilities = agent estimates</t>
        </is>
      </c>
      <c r="S8" t="inlineStr">
        <is>
          <t>2026-10-08</t>
        </is>
      </c>
      <c r="T8" t="inlineStr">
        <is>
          <t>B</t>
        </is>
      </c>
      <c r="U8" t="inlineStr">
        <is>
          <t>Won AO 2026 over Djokovic; missed RG (wrist)  [conf B: sd x1.1, p shrink 10%]</t>
        </is>
      </c>
      <c r="X8" s="16" t="inlineStr">
        <is>
          <t>Todd</t>
        </is>
      </c>
      <c r="Y8">
        <f>N8-IF(T8="C",Assumptions!$B$27,IF(T8="B",Assumptions!$B$26,0))</f>
        <v/>
      </c>
    </row>
    <row r="9">
      <c r="A9" s="17" t="inlineStr">
        <is>
          <t>Alexander Zverev</t>
        </is>
      </c>
      <c r="B9" t="inlineStr">
        <is>
          <t>ATP 2 (2026-10-08)</t>
        </is>
      </c>
      <c r="C9" t="inlineStr">
        <is>
          <t>+700 AO 2027</t>
        </is>
      </c>
      <c r="D9" t="n">
        <v>0.2837</v>
      </c>
      <c r="E9" t="n">
        <v>0.2818</v>
      </c>
      <c r="F9" t="inlineStr">
        <is>
          <t>M</t>
        </is>
      </c>
      <c r="I9" t="n">
        <v>0.982</v>
      </c>
      <c r="J9" t="n">
        <v>0.08799999999999999</v>
      </c>
      <c r="K9" t="n">
        <v>8.26</v>
      </c>
      <c r="L9">
        <f>Assumptions!$B$20*N(D9)+Assumptions!$B$21*N(E9)</f>
        <v/>
      </c>
      <c r="M9">
        <f>K9+MIN(L9,Assumptions!$H$8)</f>
        <v/>
      </c>
      <c r="N9">
        <f>M9-Assumptions!$I$8</f>
        <v/>
      </c>
      <c r="O9">
        <f>N9-Assumptions!$B$25*Q9</f>
        <v/>
      </c>
      <c r="P9" t="n">
        <v>2</v>
      </c>
      <c r="Q9" t="n">
        <v>3.387</v>
      </c>
      <c r="R9" t="inlineStr">
        <is>
          <t>ATP rank from league standings pull (A) / WTA via Olympics.com Oct 5; AO odds VegasInsider/Johnnybet Oct 2026; probabilities = agent estimates</t>
        </is>
      </c>
      <c r="S9" t="inlineStr">
        <is>
          <t>2026-10-08</t>
        </is>
      </c>
      <c r="T9" t="inlineStr">
        <is>
          <t>B</t>
        </is>
      </c>
      <c r="U9" t="inlineStr">
        <is>
          <t>Won RG and US Open 2026; Wimbledon runner-up  [conf B: sd x1.1, p shrink 10%]</t>
        </is>
      </c>
      <c r="X9" s="16" t="inlineStr">
        <is>
          <t>Theo</t>
        </is>
      </c>
      <c r="Y9">
        <f>N9-IF(T9="C",Assumptions!$B$27,IF(T9="B",Assumptions!$B$26,0))</f>
        <v/>
      </c>
    </row>
    <row r="10">
      <c r="A10" s="17" t="inlineStr">
        <is>
          <t>Jessica Pegula</t>
        </is>
      </c>
      <c r="B10" t="inlineStr">
        <is>
          <t>WTA 3 (2026-10-08)</t>
        </is>
      </c>
      <c r="D10" t="n">
        <v>0.0674</v>
      </c>
      <c r="E10" t="n">
        <v>0.0877</v>
      </c>
      <c r="F10" t="inlineStr">
        <is>
          <t>W</t>
        </is>
      </c>
      <c r="I10" t="n">
        <v>0.9540999999999999</v>
      </c>
      <c r="J10" t="n">
        <v>0.1</v>
      </c>
      <c r="K10" t="n">
        <v>7.191</v>
      </c>
      <c r="L10">
        <f>Assumptions!$B$20*N(D10)+Assumptions!$B$21*N(E10)</f>
        <v/>
      </c>
      <c r="M10">
        <f>K10+MIN(L10,Assumptions!$H$8)</f>
        <v/>
      </c>
      <c r="N10">
        <f>M10-Assumptions!$I$8</f>
        <v/>
      </c>
      <c r="O10">
        <f>N10-Assumptions!$B$25*Q10</f>
        <v/>
      </c>
      <c r="P10" t="n">
        <v>2</v>
      </c>
      <c r="Q10" t="n">
        <v>3.724</v>
      </c>
      <c r="R10" t="inlineStr">
        <is>
          <t>ATP rank from league standings pull (A) / WTA via Olympics.com Oct 5; AO odds VegasInsider/Johnnybet Oct 2026; probabilities = agent estimates</t>
        </is>
      </c>
      <c r="S10" t="inlineStr">
        <is>
          <t>2026-10-08</t>
        </is>
      </c>
      <c r="T10" s="9" t="inlineStr">
        <is>
          <t>C</t>
        </is>
      </c>
      <c r="U10" t="inlineStr">
        <is>
          <t>[conf C: sd x1.25, p shrink 20%]</t>
        </is>
      </c>
      <c r="X10" s="16" t="inlineStr">
        <is>
          <t>Korch</t>
        </is>
      </c>
      <c r="Y10">
        <f>N10-IF(T10="C",Assumptions!$B$27,IF(T10="B",Assumptions!$B$26,0))</f>
        <v/>
      </c>
    </row>
    <row r="11">
      <c r="A11" s="17" t="inlineStr">
        <is>
          <t>Ben Shelton</t>
        </is>
      </c>
      <c r="B11" t="inlineStr">
        <is>
          <t>ATP 4 (2026-10-08)</t>
        </is>
      </c>
      <c r="D11" t="n">
        <v>0.07539999999999999</v>
      </c>
      <c r="E11" t="n">
        <v>0.1037</v>
      </c>
      <c r="F11" t="inlineStr">
        <is>
          <t>M</t>
        </is>
      </c>
      <c r="I11" t="n">
        <v>0.946</v>
      </c>
      <c r="J11" t="n">
        <v>0.1</v>
      </c>
      <c r="K11" t="n">
        <v>6.97</v>
      </c>
      <c r="L11">
        <f>Assumptions!$B$20*N(D11)+Assumptions!$B$21*N(E11)</f>
        <v/>
      </c>
      <c r="M11">
        <f>K11+MIN(L11,Assumptions!$H$8)</f>
        <v/>
      </c>
      <c r="N11">
        <f>M11-Assumptions!$I$8</f>
        <v/>
      </c>
      <c r="O11">
        <f>N11-Assumptions!$B$25*Q11</f>
        <v/>
      </c>
      <c r="P11" t="n">
        <v>2</v>
      </c>
      <c r="Q11" t="n">
        <v>3.728</v>
      </c>
      <c r="R11" t="inlineStr">
        <is>
          <t>ATP rank from league standings pull (A) / WTA via Olympics.com Oct 5; AO odds VegasInsider/Johnnybet Oct 2026; probabilities = agent estimates</t>
        </is>
      </c>
      <c r="S11" t="inlineStr">
        <is>
          <t>2026-10-08</t>
        </is>
      </c>
      <c r="T11" s="9" t="inlineStr">
        <is>
          <t>C</t>
        </is>
      </c>
      <c r="U11" t="inlineStr">
        <is>
          <t>US Open 2026 runner-up  [conf C: sd x1.25, p shrink 20%]</t>
        </is>
      </c>
      <c r="Y11">
        <f>N11-IF(T11="C",Assumptions!$B$27,IF(T11="B",Assumptions!$B$26,0))</f>
        <v/>
      </c>
    </row>
    <row r="12">
      <c r="A12" s="19" t="inlineStr">
        <is>
          <t>Coco Gauff</t>
        </is>
      </c>
      <c r="B12" t="inlineStr">
        <is>
          <t>WTA 4 (2026-10-08)</t>
        </is>
      </c>
      <c r="D12" t="n">
        <v>0.1474</v>
      </c>
      <c r="E12" t="n">
        <v>0.1197</v>
      </c>
      <c r="F12" t="inlineStr">
        <is>
          <t>W</t>
        </is>
      </c>
      <c r="I12" t="n">
        <v>0.9379</v>
      </c>
      <c r="J12" t="n">
        <v>0.1</v>
      </c>
      <c r="K12" t="n">
        <v>6.606</v>
      </c>
      <c r="L12">
        <f>Assumptions!$B$20*N(D12)+Assumptions!$B$21*N(E12)</f>
        <v/>
      </c>
      <c r="M12">
        <f>K12+MIN(L12,Assumptions!$H$8)</f>
        <v/>
      </c>
      <c r="N12">
        <f>M12-Assumptions!$I$8</f>
        <v/>
      </c>
      <c r="O12">
        <f>N12-Assumptions!$B$25*Q12</f>
        <v/>
      </c>
      <c r="P12" t="n">
        <v>3</v>
      </c>
      <c r="Q12" t="n">
        <v>3.732</v>
      </c>
      <c r="R12" t="inlineStr">
        <is>
          <t>ATP rank from league standings pull (A) / WTA via Olympics.com Oct 5; AO odds VegasInsider/Johnnybet Oct 2026; probabilities = agent estimates</t>
        </is>
      </c>
      <c r="S12" t="inlineStr">
        <is>
          <t>2026-10-08</t>
        </is>
      </c>
      <c r="T12" s="9" t="inlineStr">
        <is>
          <t>C</t>
        </is>
      </c>
      <c r="U12" t="inlineStr">
        <is>
          <t>[conf C: sd x1.25, p shrink 20%]</t>
        </is>
      </c>
      <c r="X12" s="16" t="inlineStr">
        <is>
          <t>Wu</t>
        </is>
      </c>
      <c r="Y12">
        <f>N12-IF(T12="C",Assumptions!$B$27,IF(T12="B",Assumptions!$B$26,0))</f>
        <v/>
      </c>
    </row>
    <row r="13">
      <c r="A13" s="19" t="inlineStr">
        <is>
          <t>Mirra Andreeva</t>
        </is>
      </c>
      <c r="B13" t="inlineStr">
        <is>
          <t>WTA 5 (2026-10-08)</t>
        </is>
      </c>
      <c r="D13" t="n">
        <v>0.1714</v>
      </c>
      <c r="E13" t="n">
        <v>0.1357</v>
      </c>
      <c r="F13" t="inlineStr">
        <is>
          <t>W</t>
        </is>
      </c>
      <c r="I13" t="n">
        <v>0.9217</v>
      </c>
      <c r="J13" t="n">
        <v>0.1</v>
      </c>
      <c r="K13" t="n">
        <v>6.014</v>
      </c>
      <c r="L13">
        <f>Assumptions!$B$20*N(D13)+Assumptions!$B$21*N(E13)</f>
        <v/>
      </c>
      <c r="M13">
        <f>K13+MIN(L13,Assumptions!$H$8)</f>
        <v/>
      </c>
      <c r="N13">
        <f>M13-Assumptions!$I$8</f>
        <v/>
      </c>
      <c r="O13">
        <f>N13-Assumptions!$B$25*Q13</f>
        <v/>
      </c>
      <c r="P13" t="n">
        <v>3</v>
      </c>
      <c r="Q13" t="n">
        <v>3.673</v>
      </c>
      <c r="R13" t="inlineStr">
        <is>
          <t>ATP rank from league standings pull (A) / WTA via Olympics.com Oct 5; AO odds VegasInsider/Johnnybet Oct 2026; probabilities = agent estimates</t>
        </is>
      </c>
      <c r="S13" t="inlineStr">
        <is>
          <t>2026-10-08</t>
        </is>
      </c>
      <c r="T13" s="9" t="inlineStr">
        <is>
          <t>C</t>
        </is>
      </c>
      <c r="U13" t="inlineStr">
        <is>
          <t>Won RG 2026  [conf C: sd x1.25, p shrink 20%]</t>
        </is>
      </c>
      <c r="Y13">
        <f>N13-IF(T13="C",Assumptions!$B$27,IF(T13="B",Assumptions!$B$26,0))</f>
        <v/>
      </c>
    </row>
    <row r="14">
      <c r="A14" s="19" t="inlineStr">
        <is>
          <t>Felix Auger-Aliassime</t>
        </is>
      </c>
      <c r="B14" t="inlineStr">
        <is>
          <t>ATP 5 (2026-10-08)</t>
        </is>
      </c>
      <c r="D14" t="n">
        <v>0.0514</v>
      </c>
      <c r="E14" t="n">
        <v>0.0557</v>
      </c>
      <c r="F14" t="inlineStr">
        <is>
          <t>M</t>
        </is>
      </c>
      <c r="I14" t="n">
        <v>0.9298</v>
      </c>
      <c r="J14" t="n">
        <v>0.1</v>
      </c>
      <c r="K14" t="n">
        <v>6.315</v>
      </c>
      <c r="L14">
        <f>Assumptions!$B$20*N(D14)+Assumptions!$B$21*N(E14)</f>
        <v/>
      </c>
      <c r="M14">
        <f>K14+MIN(L14,Assumptions!$H$8)</f>
        <v/>
      </c>
      <c r="N14">
        <f>M14-Assumptions!$I$8</f>
        <v/>
      </c>
      <c r="O14">
        <f>N14-Assumptions!$B$25*Q14</f>
        <v/>
      </c>
      <c r="P14" t="n">
        <v>3</v>
      </c>
      <c r="Q14" t="n">
        <v>3.69</v>
      </c>
      <c r="R14" t="inlineStr">
        <is>
          <t>ATP rank from league standings pull (A) / WTA via Olympics.com Oct 5; AO odds VegasInsider/Johnnybet Oct 2026; probabilities = agent estimates</t>
        </is>
      </c>
      <c r="S14" t="inlineStr">
        <is>
          <t>2026-10-08</t>
        </is>
      </c>
      <c r="T14" s="9" t="inlineStr">
        <is>
          <t>C</t>
        </is>
      </c>
      <c r="U14" t="inlineStr">
        <is>
          <t>[conf C: sd x1.25, p shrink 20%]</t>
        </is>
      </c>
      <c r="Y14">
        <f>N14-IF(T14="C",Assumptions!$B$27,IF(T14="B",Assumptions!$B$26,0))</f>
        <v/>
      </c>
    </row>
    <row r="15">
      <c r="A15" s="19" t="inlineStr">
        <is>
          <t>Daniil Medvedev</t>
        </is>
      </c>
      <c r="B15" t="inlineStr">
        <is>
          <t>ATP 6 (2026-10-08)</t>
        </is>
      </c>
      <c r="D15" t="n">
        <v>0.0514</v>
      </c>
      <c r="E15" t="n">
        <v>0.0557</v>
      </c>
      <c r="F15" t="inlineStr">
        <is>
          <t>M</t>
        </is>
      </c>
      <c r="I15" t="n">
        <v>0.9136</v>
      </c>
      <c r="J15" t="n">
        <v>0.1</v>
      </c>
      <c r="K15" t="n">
        <v>5.809</v>
      </c>
      <c r="L15">
        <f>Assumptions!$B$20*N(D15)+Assumptions!$B$21*N(E15)</f>
        <v/>
      </c>
      <c r="M15">
        <f>K15+MIN(L15,Assumptions!$H$8)</f>
        <v/>
      </c>
      <c r="N15">
        <f>M15-Assumptions!$I$8</f>
        <v/>
      </c>
      <c r="O15">
        <f>N15-Assumptions!$B$25*Q15</f>
        <v/>
      </c>
      <c r="P15" t="n">
        <v>3</v>
      </c>
      <c r="Q15" t="n">
        <v>3.605</v>
      </c>
      <c r="R15" t="inlineStr">
        <is>
          <t>ATP rank from league standings pull (A) / WTA via Olympics.com Oct 5; AO odds VegasInsider/Johnnybet Oct 2026; probabilities = agent estimates</t>
        </is>
      </c>
      <c r="S15" t="inlineStr">
        <is>
          <t>2026-10-08</t>
        </is>
      </c>
      <c r="T15" s="9" t="inlineStr">
        <is>
          <t>C</t>
        </is>
      </c>
      <c r="U15" t="inlineStr">
        <is>
          <t>[conf C: sd x1.25, p shrink 20%]</t>
        </is>
      </c>
      <c r="X15" s="16" t="inlineStr">
        <is>
          <t>Molmen</t>
        </is>
      </c>
      <c r="Y15">
        <f>N15-IF(T15="C",Assumptions!$B$27,IF(T15="B",Assumptions!$B$26,0))</f>
        <v/>
      </c>
    </row>
    <row r="16">
      <c r="A16" s="19" t="inlineStr">
        <is>
          <t>Linda Noskova</t>
        </is>
      </c>
      <c r="B16" t="inlineStr">
        <is>
          <t>WTA 6 (2026-10-08)</t>
        </is>
      </c>
      <c r="D16" t="n">
        <v>0.0914</v>
      </c>
      <c r="E16" t="n">
        <v>0.0877</v>
      </c>
      <c r="F16" t="inlineStr">
        <is>
          <t>W</t>
        </is>
      </c>
      <c r="I16" t="n">
        <v>0.9055</v>
      </c>
      <c r="J16" t="n">
        <v>0.1</v>
      </c>
      <c r="K16" t="n">
        <v>5.506</v>
      </c>
      <c r="L16">
        <f>Assumptions!$B$20*N(D16)+Assumptions!$B$21*N(E16)</f>
        <v/>
      </c>
      <c r="M16">
        <f>K16+MIN(L16,Assumptions!$H$8)</f>
        <v/>
      </c>
      <c r="N16">
        <f>M16-Assumptions!$I$8</f>
        <v/>
      </c>
      <c r="O16">
        <f>N16-Assumptions!$B$25*Q16</f>
        <v/>
      </c>
      <c r="P16" t="n">
        <v>3</v>
      </c>
      <c r="Q16" t="n">
        <v>3.563</v>
      </c>
      <c r="R16" t="inlineStr">
        <is>
          <t>ATP rank from league standings pull (A) / WTA via Olympics.com Oct 5; AO odds VegasInsider/Johnnybet Oct 2026; probabilities = agent estimates</t>
        </is>
      </c>
      <c r="S16" t="inlineStr">
        <is>
          <t>2026-10-08</t>
        </is>
      </c>
      <c r="T16" s="9" t="inlineStr">
        <is>
          <t>C</t>
        </is>
      </c>
      <c r="U16" t="inlineStr">
        <is>
          <t>Won Wimbledon 2026  [conf C: sd x1.25, p shrink 20%]</t>
        </is>
      </c>
      <c r="Y16">
        <f>N16-IF(T16="C",Assumptions!$B$27,IF(T16="B",Assumptions!$B$26,0))</f>
        <v/>
      </c>
    </row>
    <row r="17">
      <c r="A17" s="19" t="inlineStr">
        <is>
          <t>Flavio Cobolli</t>
        </is>
      </c>
      <c r="B17" t="inlineStr">
        <is>
          <t>ATP 7 (2026-10-08)</t>
        </is>
      </c>
      <c r="D17" t="n">
        <v>0.0434</v>
      </c>
      <c r="E17" t="n">
        <v>0.0557</v>
      </c>
      <c r="F17" t="inlineStr">
        <is>
          <t>M</t>
        </is>
      </c>
      <c r="I17" t="n">
        <v>0.8974</v>
      </c>
      <c r="J17" t="n">
        <v>0.1</v>
      </c>
      <c r="K17" t="n">
        <v>5.247</v>
      </c>
      <c r="L17">
        <f>Assumptions!$B$20*N(D17)+Assumptions!$B$21*N(E17)</f>
        <v/>
      </c>
      <c r="M17">
        <f>K17+MIN(L17,Assumptions!$H$8)</f>
        <v/>
      </c>
      <c r="N17">
        <f>M17-Assumptions!$I$8</f>
        <v/>
      </c>
      <c r="O17">
        <f>N17-Assumptions!$B$25*Q17</f>
        <v/>
      </c>
      <c r="P17" t="n">
        <v>3</v>
      </c>
      <c r="Q17" t="n">
        <v>3.562</v>
      </c>
      <c r="R17" t="inlineStr">
        <is>
          <t>ATP rank from league standings pull (A) / WTA via Olympics.com Oct 5; AO odds VegasInsider/Johnnybet Oct 2026; probabilities = agent estimates</t>
        </is>
      </c>
      <c r="S17" t="inlineStr">
        <is>
          <t>2026-10-08</t>
        </is>
      </c>
      <c r="T17" s="9" t="inlineStr">
        <is>
          <t>C</t>
        </is>
      </c>
      <c r="U17" t="inlineStr">
        <is>
          <t>RG 2026 runner-up  [conf C: sd x1.25, p shrink 20%]</t>
        </is>
      </c>
      <c r="Y17">
        <f>N17-IF(T17="C",Assumptions!$B$27,IF(T17="B",Assumptions!$B$26,0))</f>
        <v/>
      </c>
    </row>
    <row r="18">
      <c r="A18" t="inlineStr">
        <is>
          <t>Elina Svitolina</t>
        </is>
      </c>
      <c r="B18" t="inlineStr">
        <is>
          <t>WTA 7 (2026-10-08)</t>
        </is>
      </c>
      <c r="D18" t="n">
        <v>0.0514</v>
      </c>
      <c r="E18" t="n">
        <v>0.0557</v>
      </c>
      <c r="F18" t="inlineStr">
        <is>
          <t>W</t>
        </is>
      </c>
      <c r="I18" t="n">
        <v>0.8893</v>
      </c>
      <c r="J18" t="n">
        <v>0.1</v>
      </c>
      <c r="K18" t="n">
        <v>4.906</v>
      </c>
      <c r="L18">
        <f>Assumptions!$B$20*N(D18)+Assumptions!$B$21*N(E18)</f>
        <v/>
      </c>
      <c r="M18">
        <f>K18+MIN(L18,Assumptions!$H$8)</f>
        <v/>
      </c>
      <c r="N18">
        <f>M18-Assumptions!$I$8</f>
        <v/>
      </c>
      <c r="O18">
        <f>N18-Assumptions!$B$25*Q18</f>
        <v/>
      </c>
      <c r="P18" t="n">
        <v>4</v>
      </c>
      <c r="Q18" t="n">
        <v>3.418</v>
      </c>
      <c r="R18" t="inlineStr">
        <is>
          <t>ATP rank from league standings pull (A) / WTA via Olympics.com Oct 5; AO odds VegasInsider/Johnnybet Oct 2026; probabilities = agent estimates</t>
        </is>
      </c>
      <c r="S18" t="inlineStr">
        <is>
          <t>2026-10-08</t>
        </is>
      </c>
      <c r="T18" s="9" t="inlineStr">
        <is>
          <t>C</t>
        </is>
      </c>
      <c r="U18" t="inlineStr">
        <is>
          <t>[conf C: sd x1.25, p shrink 20%]</t>
        </is>
      </c>
      <c r="Y18">
        <f>N18-IF(T18="C",Assumptions!$B$27,IF(T18="B",Assumptions!$B$26,0))</f>
        <v/>
      </c>
    </row>
    <row r="19">
      <c r="A19" t="inlineStr">
        <is>
          <t>Novak Djokovic</t>
        </is>
      </c>
      <c r="B19" t="inlineStr">
        <is>
          <t>ATP 8 (2026-10-08)</t>
        </is>
      </c>
      <c r="C19" t="inlineStr">
        <is>
          <t>+1600 AO 2027</t>
        </is>
      </c>
      <c r="D19" t="n">
        <v>0.1037</v>
      </c>
      <c r="E19" t="n">
        <v>0.1468</v>
      </c>
      <c r="F19" t="inlineStr">
        <is>
          <t>M</t>
        </is>
      </c>
      <c r="I19" t="n">
        <v>0.874</v>
      </c>
      <c r="J19" t="n">
        <v>0.08799999999999999</v>
      </c>
      <c r="K19" t="n">
        <v>4.299</v>
      </c>
      <c r="L19">
        <f>Assumptions!$B$20*N(D19)+Assumptions!$B$21*N(E19)</f>
        <v/>
      </c>
      <c r="M19">
        <f>K19+MIN(L19,Assumptions!$H$8)</f>
        <v/>
      </c>
      <c r="N19">
        <f>M19-Assumptions!$I$8</f>
        <v/>
      </c>
      <c r="O19">
        <f>N19-Assumptions!$B$25*Q19</f>
        <v/>
      </c>
      <c r="P19" t="n">
        <v>4</v>
      </c>
      <c r="Q19" t="n">
        <v>3.071</v>
      </c>
      <c r="R19" t="inlineStr">
        <is>
          <t>ATP rank from league standings pull (A) / WTA via Olympics.com Oct 5; AO odds VegasInsider/Johnnybet Oct 2026; probabilities = agent estimates</t>
        </is>
      </c>
      <c r="S19" t="inlineStr">
        <is>
          <t>2026-10-08</t>
        </is>
      </c>
      <c r="T19" t="inlineStr">
        <is>
          <t>B</t>
        </is>
      </c>
      <c r="U19" t="inlineStr">
        <is>
          <t>39; AO 2026 runner-up  [conf B: sd x1.1, p shrink 10%]</t>
        </is>
      </c>
      <c r="X19" s="16" t="inlineStr">
        <is>
          <t>Shep</t>
        </is>
      </c>
      <c r="Y19">
        <f>N19-IF(T19="C",Assumptions!$B$27,IF(T19="B",Assumptions!$B$26,0))</f>
        <v/>
      </c>
    </row>
    <row r="20">
      <c r="A20" t="inlineStr">
        <is>
          <t>Iga Swiatek</t>
        </is>
      </c>
      <c r="B20" t="inlineStr">
        <is>
          <t>WTA 9 (2026-10-08)</t>
        </is>
      </c>
      <c r="C20" t="inlineStr">
        <is>
          <t>+500 AO 2027</t>
        </is>
      </c>
      <c r="D20" t="n">
        <v>0.2387</v>
      </c>
      <c r="E20" t="n">
        <v>0.1918</v>
      </c>
      <c r="F20" t="inlineStr">
        <is>
          <t>W</t>
        </is>
      </c>
      <c r="I20" t="n">
        <v>0.847</v>
      </c>
      <c r="J20" t="n">
        <v>0.08799999999999999</v>
      </c>
      <c r="K20" t="n">
        <v>3.54</v>
      </c>
      <c r="L20">
        <f>Assumptions!$B$20*N(D20)+Assumptions!$B$21*N(E20)</f>
        <v/>
      </c>
      <c r="M20">
        <f>K20+MIN(L20,Assumptions!$H$8)</f>
        <v/>
      </c>
      <c r="N20">
        <f>M20-Assumptions!$I$8</f>
        <v/>
      </c>
      <c r="O20">
        <f>N20-Assumptions!$B$25*Q20</f>
        <v/>
      </c>
      <c r="P20" t="n">
        <v>4</v>
      </c>
      <c r="Q20" t="n">
        <v>2.724</v>
      </c>
      <c r="R20" t="inlineStr">
        <is>
          <t>ATP rank from league standings pull (A) / WTA via Olympics.com Oct 5; AO odds VegasInsider/Johnnybet Oct 2026; probabilities = agent estimates</t>
        </is>
      </c>
      <c r="S20" t="inlineStr">
        <is>
          <t>2026-10-08</t>
        </is>
      </c>
      <c r="T20" t="inlineStr">
        <is>
          <t>B</t>
        </is>
      </c>
      <c r="U20" t="inlineStr">
        <is>
          <t>[conf B: sd x1.1, p shrink 10%]</t>
        </is>
      </c>
      <c r="X20" s="16" t="inlineStr">
        <is>
          <t>Feder</t>
        </is>
      </c>
      <c r="Y20">
        <f>N20-IF(T20="C",Assumptions!$B$27,IF(T20="B",Assumptions!$B$26,0))</f>
        <v/>
      </c>
    </row>
    <row r="21">
      <c r="A21" t="inlineStr">
        <is>
          <t>Karolina Muchova</t>
        </is>
      </c>
      <c r="B21" t="inlineStr">
        <is>
          <t>WTA 8 (2026-10-08)</t>
        </is>
      </c>
      <c r="D21" t="n">
        <v>0.0594</v>
      </c>
      <c r="E21" t="n">
        <v>0.07969999999999999</v>
      </c>
      <c r="F21" t="inlineStr">
        <is>
          <t>W</t>
        </is>
      </c>
      <c r="I21" t="n">
        <v>0.8731</v>
      </c>
      <c r="J21" t="n">
        <v>0.1</v>
      </c>
      <c r="K21" t="n">
        <v>4.449</v>
      </c>
      <c r="L21">
        <f>Assumptions!$B$20*N(D21)+Assumptions!$B$21*N(E21)</f>
        <v/>
      </c>
      <c r="M21">
        <f>K21+MIN(L21,Assumptions!$H$8)</f>
        <v/>
      </c>
      <c r="N21">
        <f>M21-Assumptions!$I$8</f>
        <v/>
      </c>
      <c r="O21">
        <f>N21-Assumptions!$B$25*Q21</f>
        <v/>
      </c>
      <c r="P21" t="n">
        <v>4</v>
      </c>
      <c r="Q21" t="n">
        <v>3.3</v>
      </c>
      <c r="R21" t="inlineStr">
        <is>
          <t>ATP rank from league standings pull (A) / WTA via Olympics.com Oct 5; AO odds VegasInsider/Johnnybet Oct 2026; probabilities = agent estimates</t>
        </is>
      </c>
      <c r="S21" t="inlineStr">
        <is>
          <t>2026-10-08</t>
        </is>
      </c>
      <c r="T21" s="9" t="inlineStr">
        <is>
          <t>C</t>
        </is>
      </c>
      <c r="U21" t="inlineStr">
        <is>
          <t>Wimbledon 2026 runner-up  [conf C: sd x1.25, p shrink 20%]</t>
        </is>
      </c>
      <c r="Y21">
        <f>N21-IF(T21="C",Assumptions!$B$27,IF(T21="B",Assumptions!$B$26,0))</f>
        <v/>
      </c>
    </row>
    <row r="22">
      <c r="A22" t="inlineStr">
        <is>
          <t>Alex de Minaur</t>
        </is>
      </c>
      <c r="B22" t="inlineStr">
        <is>
          <t>ATP 9 (2026-10-08)</t>
        </is>
      </c>
      <c r="D22" t="n">
        <v>0.0434</v>
      </c>
      <c r="E22" t="n">
        <v>0.0477</v>
      </c>
      <c r="F22" t="inlineStr">
        <is>
          <t>M</t>
        </is>
      </c>
      <c r="I22" t="n">
        <v>0.865</v>
      </c>
      <c r="J22" t="n">
        <v>0.1</v>
      </c>
      <c r="K22" t="n">
        <v>4.261</v>
      </c>
      <c r="L22">
        <f>Assumptions!$B$20*N(D22)+Assumptions!$B$21*N(E22)</f>
        <v/>
      </c>
      <c r="M22">
        <f>K22+MIN(L22,Assumptions!$H$8)</f>
        <v/>
      </c>
      <c r="N22">
        <f>M22-Assumptions!$I$8</f>
        <v/>
      </c>
      <c r="O22">
        <f>N22-Assumptions!$B$25*Q22</f>
        <v/>
      </c>
      <c r="P22" t="n">
        <v>4</v>
      </c>
      <c r="Q22" t="n">
        <v>3.237</v>
      </c>
      <c r="R22" t="inlineStr">
        <is>
          <t>ATP rank from league standings pull (A) / WTA via Olympics.com Oct 5; AO odds VegasInsider/Johnnybet Oct 2026; probabilities = agent estimates</t>
        </is>
      </c>
      <c r="S22" t="inlineStr">
        <is>
          <t>2026-10-08</t>
        </is>
      </c>
      <c r="T22" s="9" t="inlineStr">
        <is>
          <t>C</t>
        </is>
      </c>
      <c r="U22" t="inlineStr">
        <is>
          <t>[conf C: sd x1.25, p shrink 20%]</t>
        </is>
      </c>
      <c r="Y22">
        <f>N22-IF(T22="C",Assumptions!$B$27,IF(T22="B",Assumptions!$B$26,0))</f>
        <v/>
      </c>
    </row>
    <row r="23">
      <c r="A23" t="inlineStr">
        <is>
          <t>Frances Tiafoe</t>
        </is>
      </c>
      <c r="B23" t="inlineStr">
        <is>
          <t>ATP 10 (2026-10-08)</t>
        </is>
      </c>
      <c r="D23" t="n">
        <v>0.0354</v>
      </c>
      <c r="E23" t="n">
        <v>0.0397</v>
      </c>
      <c r="F23" t="inlineStr">
        <is>
          <t>M</t>
        </is>
      </c>
      <c r="I23" t="n">
        <v>0.8488</v>
      </c>
      <c r="J23" t="n">
        <v>0.1</v>
      </c>
      <c r="K23" t="n">
        <v>3.786</v>
      </c>
      <c r="L23">
        <f>Assumptions!$B$20*N(D23)+Assumptions!$B$21*N(E23)</f>
        <v/>
      </c>
      <c r="M23">
        <f>K23+MIN(L23,Assumptions!$H$8)</f>
        <v/>
      </c>
      <c r="N23">
        <f>M23-Assumptions!$I$8</f>
        <v/>
      </c>
      <c r="O23">
        <f>N23-Assumptions!$B$25*Q23</f>
        <v/>
      </c>
      <c r="P23" t="n">
        <v>4</v>
      </c>
      <c r="Q23" t="n">
        <v>3.022</v>
      </c>
      <c r="R23" t="inlineStr">
        <is>
          <t>ATP rank from league standings pull (A) / WTA via Olympics.com Oct 5; AO odds VegasInsider/Johnnybet Oct 2026; probabilities = agent estimates</t>
        </is>
      </c>
      <c r="S23" t="inlineStr">
        <is>
          <t>2026-10-08</t>
        </is>
      </c>
      <c r="T23" s="9" t="inlineStr">
        <is>
          <t>C</t>
        </is>
      </c>
      <c r="U23" t="inlineStr">
        <is>
          <t>[conf C: sd x1.25, p shrink 20%]</t>
        </is>
      </c>
      <c r="Y23">
        <f>N23-IF(T23="C",Assumptions!$B$27,IF(T23="B",Assumptions!$B$26,0))</f>
        <v/>
      </c>
    </row>
    <row r="24">
      <c r="A24" t="inlineStr">
        <is>
          <t>Marta Kostyuk</t>
        </is>
      </c>
      <c r="B24" t="inlineStr">
        <is>
          <t>WTA 10 (2026-10-08)</t>
        </is>
      </c>
      <c r="D24" t="n">
        <v>0.0434</v>
      </c>
      <c r="E24" t="n">
        <v>0.0477</v>
      </c>
      <c r="F24" t="inlineStr">
        <is>
          <t>W</t>
        </is>
      </c>
      <c r="I24" t="n">
        <v>0.8407</v>
      </c>
      <c r="J24" t="n">
        <v>0.1</v>
      </c>
      <c r="K24" t="n">
        <v>3.588</v>
      </c>
      <c r="L24">
        <f>Assumptions!$B$20*N(D24)+Assumptions!$B$21*N(E24)</f>
        <v/>
      </c>
      <c r="M24">
        <f>K24+MIN(L24,Assumptions!$H$8)</f>
        <v/>
      </c>
      <c r="N24">
        <f>M24-Assumptions!$I$8</f>
        <v/>
      </c>
      <c r="O24">
        <f>N24-Assumptions!$B$25*Q24</f>
        <v/>
      </c>
      <c r="P24" t="n">
        <v>4</v>
      </c>
      <c r="Q24" t="n">
        <v>2.907</v>
      </c>
      <c r="R24" t="inlineStr">
        <is>
          <t>ATP rank from league standings pull (A) / WTA via Olympics.com Oct 5; AO odds VegasInsider/Johnnybet Oct 2026; probabilities = agent estimates</t>
        </is>
      </c>
      <c r="S24" t="inlineStr">
        <is>
          <t>2026-10-08</t>
        </is>
      </c>
      <c r="T24" s="9" t="inlineStr">
        <is>
          <t>C</t>
        </is>
      </c>
      <c r="U24" t="inlineStr">
        <is>
          <t>[conf C: sd x1.25, p shrink 20%]</t>
        </is>
      </c>
      <c r="Y24">
        <f>N24-IF(T24="C",Assumptions!$B$27,IF(T24="B",Assumptions!$B$26,0))</f>
        <v/>
      </c>
    </row>
    <row r="25">
      <c r="A25" t="inlineStr">
        <is>
          <t>Arthur Fils</t>
        </is>
      </c>
      <c r="B25" t="inlineStr">
        <is>
          <t>ATP 11 (2026-10-08)</t>
        </is>
      </c>
      <c r="D25" t="n">
        <v>0.0434</v>
      </c>
      <c r="E25" t="n">
        <v>0.0477</v>
      </c>
      <c r="F25" t="inlineStr">
        <is>
          <t>M</t>
        </is>
      </c>
      <c r="I25" t="n">
        <v>0.8326</v>
      </c>
      <c r="J25" t="n">
        <v>0.1</v>
      </c>
      <c r="K25" t="n">
        <v>3.403</v>
      </c>
      <c r="L25">
        <f>Assumptions!$B$20*N(D25)+Assumptions!$B$21*N(E25)</f>
        <v/>
      </c>
      <c r="M25">
        <f>K25+MIN(L25,Assumptions!$H$8)</f>
        <v/>
      </c>
      <c r="N25">
        <f>M25-Assumptions!$I$8</f>
        <v/>
      </c>
      <c r="O25">
        <f>N25-Assumptions!$B$25*Q25</f>
        <v/>
      </c>
      <c r="P25" t="n">
        <v>4</v>
      </c>
      <c r="Q25" t="n">
        <v>2.844</v>
      </c>
      <c r="R25" t="inlineStr">
        <is>
          <t>ATP rank from league standings pull (A) / WTA via Olympics.com Oct 5; AO odds VegasInsider/Johnnybet Oct 2026; probabilities = agent estimates</t>
        </is>
      </c>
      <c r="S25" t="inlineStr">
        <is>
          <t>2026-10-08</t>
        </is>
      </c>
      <c r="T25" s="9" t="inlineStr">
        <is>
          <t>C</t>
        </is>
      </c>
      <c r="U25" t="inlineStr">
        <is>
          <t>[conf C: sd x1.25, p shrink 20%]</t>
        </is>
      </c>
      <c r="Y25">
        <f>N25-IF(T25="C",Assumptions!$B$27,IF(T25="B",Assumptions!$B$26,0))</f>
        <v/>
      </c>
    </row>
    <row r="26">
      <c r="A26" t="inlineStr">
        <is>
          <t>Taylor Fritz</t>
        </is>
      </c>
      <c r="B26" t="inlineStr">
        <is>
          <t>ATP 12 (2026-10-08)</t>
        </is>
      </c>
      <c r="D26" t="n">
        <v>0.0434</v>
      </c>
      <c r="E26" t="n">
        <v>0.0477</v>
      </c>
      <c r="F26" t="inlineStr">
        <is>
          <t>M</t>
        </is>
      </c>
      <c r="I26" t="n">
        <v>0.8164</v>
      </c>
      <c r="J26" t="n">
        <v>0.1</v>
      </c>
      <c r="K26" t="n">
        <v>3.025</v>
      </c>
      <c r="L26">
        <f>Assumptions!$B$20*N(D26)+Assumptions!$B$21*N(E26)</f>
        <v/>
      </c>
      <c r="M26">
        <f>K26+MIN(L26,Assumptions!$H$8)</f>
        <v/>
      </c>
      <c r="N26">
        <f>M26-Assumptions!$I$8</f>
        <v/>
      </c>
      <c r="O26">
        <f>N26-Assumptions!$B$25*Q26</f>
        <v/>
      </c>
      <c r="P26" t="n">
        <v>4</v>
      </c>
      <c r="Q26" t="n">
        <v>2.607</v>
      </c>
      <c r="R26" t="inlineStr">
        <is>
          <t>ATP rank from league standings pull (A) / WTA via Olympics.com Oct 5; AO odds VegasInsider/Johnnybet Oct 2026; probabilities = agent estimates</t>
        </is>
      </c>
      <c r="S26" t="inlineStr">
        <is>
          <t>2026-10-08</t>
        </is>
      </c>
      <c r="T26" s="9" t="inlineStr">
        <is>
          <t>C</t>
        </is>
      </c>
      <c r="U26" t="inlineStr">
        <is>
          <t>[conf C: sd x1.25, p shrink 20%]</t>
        </is>
      </c>
      <c r="X26" s="16" t="inlineStr">
        <is>
          <t>Mitchell</t>
        </is>
      </c>
      <c r="Y26">
        <f>N26-IF(T26="C",Assumptions!$B$27,IF(T26="B",Assumptions!$B$26,0))</f>
        <v/>
      </c>
    </row>
    <row r="27">
      <c r="A27" t="inlineStr">
        <is>
          <t>Amanda Anisimova</t>
        </is>
      </c>
      <c r="B27" t="inlineStr">
        <is>
          <t>WTA 14 (2026-10-08)</t>
        </is>
      </c>
      <c r="D27" t="n">
        <v>0.07539999999999999</v>
      </c>
      <c r="E27" t="n">
        <v>0.0717</v>
      </c>
      <c r="F27" t="inlineStr">
        <is>
          <t>W</t>
        </is>
      </c>
      <c r="I27" t="n">
        <v>0.7759</v>
      </c>
      <c r="J27" t="n">
        <v>0.1</v>
      </c>
      <c r="K27" t="n">
        <v>2.283</v>
      </c>
      <c r="L27">
        <f>Assumptions!$B$20*N(D27)+Assumptions!$B$21*N(E27)</f>
        <v/>
      </c>
      <c r="M27">
        <f>K27+MIN(L27,Assumptions!$H$8)</f>
        <v/>
      </c>
      <c r="N27">
        <f>M27-Assumptions!$I$8</f>
        <v/>
      </c>
      <c r="O27">
        <f>N27-Assumptions!$B$25*Q27</f>
        <v/>
      </c>
      <c r="P27" t="n">
        <v>4</v>
      </c>
      <c r="Q27" t="n">
        <v>2.037</v>
      </c>
      <c r="R27" t="inlineStr">
        <is>
          <t>ATP rank from league standings pull (A) / WTA via Olympics.com Oct 5; AO odds VegasInsider/Johnnybet Oct 2026; probabilities = agent estimates</t>
        </is>
      </c>
      <c r="S27" t="inlineStr">
        <is>
          <t>2026-10-08</t>
        </is>
      </c>
      <c r="T27" s="9" t="inlineStr">
        <is>
          <t>C</t>
        </is>
      </c>
      <c r="U27" t="inlineStr">
        <is>
          <t>rank sources conflict (11-18)  [conf C: sd x1.25, p shrink 20%]</t>
        </is>
      </c>
      <c r="X27" s="16" t="inlineStr">
        <is>
          <t>Jamzee</t>
        </is>
      </c>
      <c r="Y27">
        <f>N27-IF(T27="C",Assumptions!$B$27,IF(T27="B",Assumptions!$B$26,0))</f>
        <v/>
      </c>
    </row>
    <row r="28">
      <c r="A28" t="inlineStr">
        <is>
          <t>Jasmine Paolini</t>
        </is>
      </c>
      <c r="B28" t="inlineStr">
        <is>
          <t>owned (Jens); WTA rank not pulled</t>
        </is>
      </c>
      <c r="D28" t="n">
        <v>0.0434</v>
      </c>
      <c r="E28" t="n">
        <v>0.0477</v>
      </c>
      <c r="F28" t="inlineStr">
        <is>
          <t>W</t>
        </is>
      </c>
      <c r="I28" t="n">
        <v>0.7696</v>
      </c>
      <c r="J28" t="n">
        <v>0.1</v>
      </c>
      <c r="K28" t="n">
        <v>2.227</v>
      </c>
      <c r="L28">
        <f>Assumptions!$B$20*N(D28)+Assumptions!$B$21*N(E28)</f>
        <v/>
      </c>
      <c r="M28">
        <f>K28+MIN(L28,Assumptions!$H$8)</f>
        <v/>
      </c>
      <c r="N28">
        <f>M28-Assumptions!$I$8</f>
        <v/>
      </c>
      <c r="O28">
        <f>N28-Assumptions!$B$25*Q28</f>
        <v/>
      </c>
      <c r="P28" t="n">
        <v>4</v>
      </c>
      <c r="Q28" t="n">
        <v>2.013</v>
      </c>
      <c r="R28" t="inlineStr">
        <is>
          <t>added because a league member currently owns this pick (draft_picks_2026.py); not in the first-pass pool, so figures are placeholders (conf C)</t>
        </is>
      </c>
      <c r="S28" t="inlineStr">
        <is>
          <t>2026-10-08</t>
        </is>
      </c>
      <c r="T28" s="9" t="inlineStr">
        <is>
          <t>C</t>
        </is>
      </c>
      <c r="U28" t="inlineStr">
        <is>
          <t>[conf C: sd x1.25, p shrink 20%]</t>
        </is>
      </c>
      <c r="X28" s="16" t="inlineStr">
        <is>
          <t>Jens</t>
        </is>
      </c>
      <c r="Y28">
        <f>N28-IF(T28="C",Assumptions!$B$27,IF(T28="B",Assumptions!$B$26,0))</f>
        <v/>
      </c>
    </row>
    <row r="29">
      <c r="A29" t="inlineStr">
        <is>
          <t>Madison Keys</t>
        </is>
      </c>
      <c r="B29" t="inlineStr">
        <is>
          <t>owned (Tim); WTA rank not pulled</t>
        </is>
      </c>
      <c r="D29" t="n">
        <v>0.0514</v>
      </c>
      <c r="E29" t="n">
        <v>0.0477</v>
      </c>
      <c r="F29" t="inlineStr">
        <is>
          <t>W</t>
        </is>
      </c>
      <c r="I29" t="n">
        <v>0.7696</v>
      </c>
      <c r="J29" t="n">
        <v>0.1</v>
      </c>
      <c r="K29" t="n">
        <v>2.163</v>
      </c>
      <c r="L29">
        <f>Assumptions!$B$20*N(D29)+Assumptions!$B$21*N(E29)</f>
        <v/>
      </c>
      <c r="M29">
        <f>K29+MIN(L29,Assumptions!$H$8)</f>
        <v/>
      </c>
      <c r="N29">
        <f>M29-Assumptions!$I$8</f>
        <v/>
      </c>
      <c r="O29">
        <f>N29-Assumptions!$B$25*Q29</f>
        <v/>
      </c>
      <c r="P29" t="n">
        <v>4</v>
      </c>
      <c r="Q29" t="n">
        <v>1.943</v>
      </c>
      <c r="R29" t="inlineStr">
        <is>
          <t>added because a league member currently owns this pick (draft_picks_2026.py); not in the first-pass pool, so figures are placeholders (conf C)</t>
        </is>
      </c>
      <c r="S29" t="inlineStr">
        <is>
          <t>2026-10-08</t>
        </is>
      </c>
      <c r="T29" s="9" t="inlineStr">
        <is>
          <t>C</t>
        </is>
      </c>
      <c r="U29" t="inlineStr">
        <is>
          <t>[conf C: sd x1.25, p shrink 20%]</t>
        </is>
      </c>
      <c r="X29" s="16" t="inlineStr">
        <is>
          <t>Tim</t>
        </is>
      </c>
      <c r="Y29">
        <f>N29-IF(T29="C",Assumptions!$B$27,IF(T29="B",Assumptions!$B$26,0))</f>
        <v/>
      </c>
    </row>
    <row r="31">
      <c r="A31" s="8" t="inlineStr">
        <is>
          <t>Replacement-level EV (Nth best)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4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36" customWidth="1" min="2" max="2"/>
    <col width="22" customWidth="1" min="3" max="3"/>
    <col width="11" customWidth="1" min="4" max="4"/>
    <col width="11" customWidth="1" min="5" max="5"/>
    <col width="11" customWidth="1" min="6" max="6"/>
    <col width="11" customWidth="1" min="7" max="7"/>
    <col width="11" customWidth="1" min="8" max="8"/>
    <col width="9" customWidth="1" min="9" max="9"/>
    <col width="9" customWidth="1" min="10" max="10"/>
    <col width="11" customWidth="1" min="11" max="11"/>
    <col width="10" customWidth="1" min="12" max="12"/>
    <col width="10" customWidth="1" min="13" max="13"/>
    <col width="9" customWidth="1" min="14" max="14"/>
    <col width="11" customWidth="1" min="15" max="15"/>
    <col width="6" customWidth="1" min="16" max="16"/>
    <col width="9" customWidth="1" min="17" max="17"/>
    <col width="38" customWidth="1" min="18" max="18"/>
    <col width="11" customWidth="1" min="19" max="19"/>
    <col width="6" customWidth="1" min="20" max="20"/>
    <col width="60" customWidth="1" min="21" max="21"/>
    <col width="12" customWidth="1" min="22" max="22"/>
    <col width="9" customWidth="1" min="23" max="23"/>
    <col width="11" customWidth="1" min="24" max="24"/>
    <col width="11" customWidth="1" min="25" max="25"/>
  </cols>
  <sheetData>
    <row r="1">
      <c r="A1" s="18" t="inlineStr">
        <is>
          <t>Golf — 2027 draft research (EV model; see README)</t>
        </is>
      </c>
    </row>
    <row r="2">
      <c r="A2" t="inlineStr">
        <is>
          <t>As of 2026-10-22. Sorted by E[total]. Yellow = inferred / low-confidence (C).</t>
        </is>
      </c>
    </row>
    <row r="4">
      <c r="A4" s="7" t="inlineStr">
        <is>
          <t>Candidate</t>
        </is>
      </c>
      <c r="B4" s="7" t="inlineStr">
        <is>
          <t>Detail</t>
        </is>
      </c>
      <c r="C4" s="7" t="inlineStr">
        <is>
          <t>Odds / price</t>
        </is>
      </c>
      <c r="D4" s="7" t="inlineStr">
        <is>
          <t>p(≥1 major win)</t>
        </is>
      </c>
      <c r="E4" s="7" t="inlineStr">
        <is>
          <t>p(≥1 major RU)</t>
        </is>
      </c>
      <c r="F4" s="7" t="inlineStr"/>
      <c r="G4" s="7" t="inlineStr"/>
      <c r="H4" s="7" t="inlineStr"/>
      <c r="I4" s="7" t="inlineStr">
        <is>
          <t>mu</t>
        </is>
      </c>
      <c r="J4" s="7" t="inlineStr">
        <is>
          <t>sd</t>
        </is>
      </c>
      <c r="K4" s="7" t="inlineStr">
        <is>
          <t>E[rank pts] (MC)</t>
        </is>
      </c>
      <c r="L4" s="7" t="inlineStr">
        <is>
          <t>E[bonus]</t>
        </is>
      </c>
      <c r="M4" s="7" t="inlineStr">
        <is>
          <t>E[total]</t>
        </is>
      </c>
      <c r="N4" s="7" t="inlineStr">
        <is>
          <t>VOR</t>
        </is>
      </c>
      <c r="O4" s="7" t="inlineStr">
        <is>
          <t>Risk-adj VOR</t>
        </is>
      </c>
      <c r="P4" s="7" t="inlineStr">
        <is>
          <t>Tier</t>
        </is>
      </c>
      <c r="Q4" s="7" t="inlineStr">
        <is>
          <t>SD rank pts</t>
        </is>
      </c>
      <c r="R4" s="7" t="inlineStr">
        <is>
          <t>Source</t>
        </is>
      </c>
      <c r="S4" s="7" t="inlineStr">
        <is>
          <t>As of</t>
        </is>
      </c>
      <c r="T4" s="7" t="inlineStr">
        <is>
          <t>Conf</t>
        </is>
      </c>
      <c r="U4" s="7" t="inlineStr">
        <is>
          <t>Notes</t>
        </is>
      </c>
      <c r="V4" s="7" t="inlineStr">
        <is>
          <t>Field draft score</t>
        </is>
      </c>
      <c r="W4" s="7" t="inlineStr">
        <is>
          <t>Field rank</t>
        </is>
      </c>
      <c r="X4" s="7" t="inlineStr">
        <is>
          <t>Owner</t>
        </is>
      </c>
      <c r="Y4" s="7" t="inlineStr">
        <is>
          <t>Conf-adj VOR</t>
        </is>
      </c>
    </row>
    <row r="5">
      <c r="A5" s="9" t="inlineStr">
        <is>
          <t>Scottie Scheffler</t>
        </is>
      </c>
      <c r="B5" t="inlineStr">
        <is>
          <t>OWGR 1 (2026-10-08)</t>
        </is>
      </c>
      <c r="D5" t="n">
        <v>0.34</v>
      </c>
      <c r="E5" t="n">
        <v>0.312</v>
      </c>
      <c r="I5" t="n">
        <v>0.991</v>
      </c>
      <c r="J5" t="n">
        <v>0.15</v>
      </c>
      <c r="K5" t="n">
        <v>8.875</v>
      </c>
      <c r="L5">
        <f>Assumptions!$B$22*N(D5)+Assumptions!$B$23*N(E5)</f>
        <v/>
      </c>
      <c r="M5">
        <f>K5+MIN(L5,Assumptions!$H$9)</f>
        <v/>
      </c>
      <c r="N5">
        <f>M5-Assumptions!$I$9</f>
        <v/>
      </c>
      <c r="O5">
        <f>N5-Assumptions!$B$25*Q5</f>
        <v/>
      </c>
      <c r="P5" t="n">
        <v>1</v>
      </c>
      <c r="Q5" t="n">
        <v>3.428</v>
      </c>
      <c r="R5" t="inlineStr">
        <is>
          <t>OWGR rank from league standings pull (A); major-win probabilities = model (rank-weighted share of 4 majors)</t>
        </is>
      </c>
      <c r="S5" t="inlineStr">
        <is>
          <t>2026-10-08</t>
        </is>
      </c>
      <c r="T5" s="9" t="inlineStr">
        <is>
          <t>C</t>
        </is>
      </c>
      <c r="U5" t="inlineStr">
        <is>
          <t>2026: Masters runner-up, US Open T4. Masters 2027 +450 (DK/FD, Apr)  [conf C: sd x1.25, p shrink 20%]</t>
        </is>
      </c>
      <c r="X5" s="16" t="inlineStr">
        <is>
          <t>Wu</t>
        </is>
      </c>
      <c r="Y5">
        <f>N5-IF(T5="C",Assumptions!$B$27,IF(T5="B",Assumptions!$B$26,0))</f>
        <v/>
      </c>
    </row>
    <row r="6">
      <c r="A6" s="9" t="inlineStr">
        <is>
          <t>Rory McIlroy</t>
        </is>
      </c>
      <c r="B6" t="inlineStr">
        <is>
          <t>OWGR 2 (2026-10-08)</t>
        </is>
      </c>
      <c r="D6" t="n">
        <v>0.2992</v>
      </c>
      <c r="E6" t="n">
        <v>0.2736</v>
      </c>
      <c r="I6" t="n">
        <v>0.9775</v>
      </c>
      <c r="J6" t="n">
        <v>0.15</v>
      </c>
      <c r="K6" t="n">
        <v>8.651</v>
      </c>
      <c r="L6">
        <f>Assumptions!$B$22*N(D6)+Assumptions!$B$23*N(E6)</f>
        <v/>
      </c>
      <c r="M6">
        <f>K6+MIN(L6,Assumptions!$H$9)</f>
        <v/>
      </c>
      <c r="N6">
        <f>M6-Assumptions!$I$9</f>
        <v/>
      </c>
      <c r="O6">
        <f>N6-Assumptions!$B$25*Q6</f>
        <v/>
      </c>
      <c r="P6" t="n">
        <v>1</v>
      </c>
      <c r="Q6" t="n">
        <v>3.434</v>
      </c>
      <c r="R6" t="inlineStr">
        <is>
          <t>OWGR rank from league standings pull (A); major-win probabilities = model (rank-weighted share of 4 majors)</t>
        </is>
      </c>
      <c r="S6" t="inlineStr">
        <is>
          <t>2026-10-08</t>
        </is>
      </c>
      <c r="T6" s="9" t="inlineStr">
        <is>
          <t>C</t>
        </is>
      </c>
      <c r="U6" t="inlineStr">
        <is>
          <t>Won 2026 Masters. +550-600 Masters 2027  [conf C: sd x1.25, p shrink 20%]</t>
        </is>
      </c>
      <c r="X6" s="16" t="inlineStr">
        <is>
          <t>Molmen</t>
        </is>
      </c>
      <c r="Y6">
        <f>N6-IF(T6="C",Assumptions!$B$27,IF(T6="B",Assumptions!$B$26,0))</f>
        <v/>
      </c>
    </row>
    <row r="7">
      <c r="A7" s="9" t="inlineStr">
        <is>
          <t>Matt Fitzpatrick</t>
        </is>
      </c>
      <c r="B7" t="inlineStr">
        <is>
          <t>OWGR 3 (2026-10-08)</t>
        </is>
      </c>
      <c r="D7" t="n">
        <v>0.2624</v>
      </c>
      <c r="E7" t="n">
        <v>0.2392</v>
      </c>
      <c r="I7" t="n">
        <v>0.964</v>
      </c>
      <c r="J7" t="n">
        <v>0.15</v>
      </c>
      <c r="K7" t="n">
        <v>8.237</v>
      </c>
      <c r="L7">
        <f>Assumptions!$B$22*N(D7)+Assumptions!$B$23*N(E7)</f>
        <v/>
      </c>
      <c r="M7">
        <f>K7+MIN(L7,Assumptions!$H$9)</f>
        <v/>
      </c>
      <c r="N7">
        <f>M7-Assumptions!$I$9</f>
        <v/>
      </c>
      <c r="O7">
        <f>N7-Assumptions!$B$25*Q7</f>
        <v/>
      </c>
      <c r="P7" t="n">
        <v>1</v>
      </c>
      <c r="Q7" t="n">
        <v>3.522</v>
      </c>
      <c r="R7" t="inlineStr">
        <is>
          <t>OWGR rank from league standings pull (A); major-win probabilities = model (rank-weighted share of 4 majors)</t>
        </is>
      </c>
      <c r="S7" t="inlineStr">
        <is>
          <t>2026-10-08</t>
        </is>
      </c>
      <c r="T7" s="9" t="inlineStr">
        <is>
          <t>C</t>
        </is>
      </c>
      <c r="U7" t="inlineStr">
        <is>
          <t>[conf C: sd x1.25, p shrink 20%]</t>
        </is>
      </c>
      <c r="Y7">
        <f>N7-IF(T7="C",Assumptions!$B$27,IF(T7="B",Assumptions!$B$26,0))</f>
        <v/>
      </c>
    </row>
    <row r="8">
      <c r="A8" s="17" t="inlineStr">
        <is>
          <t>Cameron Young</t>
        </is>
      </c>
      <c r="B8" t="inlineStr">
        <is>
          <t>OWGR 4 (2026-10-08)</t>
        </is>
      </c>
      <c r="D8" t="n">
        <v>0.2304</v>
      </c>
      <c r="E8" t="n">
        <v>0.2096</v>
      </c>
      <c r="I8" t="n">
        <v>0.9505</v>
      </c>
      <c r="J8" t="n">
        <v>0.15</v>
      </c>
      <c r="K8" t="n">
        <v>7.903</v>
      </c>
      <c r="L8">
        <f>Assumptions!$B$22*N(D8)+Assumptions!$B$23*N(E8)</f>
        <v/>
      </c>
      <c r="M8">
        <f>K8+MIN(L8,Assumptions!$H$9)</f>
        <v/>
      </c>
      <c r="N8">
        <f>M8-Assumptions!$I$9</f>
        <v/>
      </c>
      <c r="O8">
        <f>N8-Assumptions!$B$25*Q8</f>
        <v/>
      </c>
      <c r="P8" t="n">
        <v>2</v>
      </c>
      <c r="Q8" t="n">
        <v>3.596</v>
      </c>
      <c r="R8" t="inlineStr">
        <is>
          <t>OWGR rank from league standings pull (A); major-win probabilities = model (rank-weighted share of 4 majors)</t>
        </is>
      </c>
      <c r="S8" t="inlineStr">
        <is>
          <t>2026-10-08</t>
        </is>
      </c>
      <c r="T8" s="9" t="inlineStr">
        <is>
          <t>C</t>
        </is>
      </c>
      <c r="U8" t="inlineStr">
        <is>
          <t>2026 Open runner-up  [conf C: sd x1.25, p shrink 20%]</t>
        </is>
      </c>
      <c r="Y8">
        <f>N8-IF(T8="C",Assumptions!$B$27,IF(T8="B",Assumptions!$B$26,0))</f>
        <v/>
      </c>
    </row>
    <row r="9">
      <c r="A9" s="17" t="inlineStr">
        <is>
          <t>Wyndham Clark</t>
        </is>
      </c>
      <c r="B9" t="inlineStr">
        <is>
          <t>OWGR 5 (2026-10-08)</t>
        </is>
      </c>
      <c r="D9" t="n">
        <v>0.2016</v>
      </c>
      <c r="E9" t="n">
        <v>0.1832</v>
      </c>
      <c r="I9" t="n">
        <v>0.9370000000000001</v>
      </c>
      <c r="J9" t="n">
        <v>0.15</v>
      </c>
      <c r="K9" t="n">
        <v>7.668</v>
      </c>
      <c r="L9">
        <f>Assumptions!$B$22*N(D9)+Assumptions!$B$23*N(E9)</f>
        <v/>
      </c>
      <c r="M9">
        <f>K9+MIN(L9,Assumptions!$H$9)</f>
        <v/>
      </c>
      <c r="N9">
        <f>M9-Assumptions!$I$9</f>
        <v/>
      </c>
      <c r="O9">
        <f>N9-Assumptions!$B$25*Q9</f>
        <v/>
      </c>
      <c r="P9" t="n">
        <v>2</v>
      </c>
      <c r="Q9" t="n">
        <v>3.623</v>
      </c>
      <c r="R9" t="inlineStr">
        <is>
          <t>OWGR rank from league standings pull (A); major-win probabilities = model (rank-weighted share of 4 majors)</t>
        </is>
      </c>
      <c r="S9" t="inlineStr">
        <is>
          <t>2026-10-08</t>
        </is>
      </c>
      <c r="T9" s="9" t="inlineStr">
        <is>
          <t>C</t>
        </is>
      </c>
      <c r="U9" t="inlineStr">
        <is>
          <t>Won 2026 US Open  [conf C: sd x1.25, p shrink 20%]</t>
        </is>
      </c>
      <c r="Y9">
        <f>N9-IF(T9="C",Assumptions!$B$27,IF(T9="B",Assumptions!$B$26,0))</f>
        <v/>
      </c>
    </row>
    <row r="10">
      <c r="A10" s="17" t="inlineStr">
        <is>
          <t>Russell Henley</t>
        </is>
      </c>
      <c r="B10" t="inlineStr">
        <is>
          <t>OWGR 6 (2026-10-08)</t>
        </is>
      </c>
      <c r="D10" t="n">
        <v>0.1768</v>
      </c>
      <c r="E10" t="n">
        <v>0.1608</v>
      </c>
      <c r="I10" t="n">
        <v>0.9235</v>
      </c>
      <c r="J10" t="n">
        <v>0.15</v>
      </c>
      <c r="K10" t="n">
        <v>7.292</v>
      </c>
      <c r="L10">
        <f>Assumptions!$B$22*N(D10)+Assumptions!$B$23*N(E10)</f>
        <v/>
      </c>
      <c r="M10">
        <f>K10+MIN(L10,Assumptions!$H$9)</f>
        <v/>
      </c>
      <c r="N10">
        <f>M10-Assumptions!$I$9</f>
        <v/>
      </c>
      <c r="O10">
        <f>N10-Assumptions!$B$25*Q10</f>
        <v/>
      </c>
      <c r="P10" t="n">
        <v>2</v>
      </c>
      <c r="Q10" t="n">
        <v>3.64</v>
      </c>
      <c r="R10" t="inlineStr">
        <is>
          <t>OWGR rank from league standings pull (A); major-win probabilities = model (rank-weighted share of 4 majors)</t>
        </is>
      </c>
      <c r="S10" t="inlineStr">
        <is>
          <t>2026-10-08</t>
        </is>
      </c>
      <c r="T10" s="9" t="inlineStr">
        <is>
          <t>C</t>
        </is>
      </c>
      <c r="U10" t="inlineStr">
        <is>
          <t>[conf C: sd x1.25, p shrink 20%]</t>
        </is>
      </c>
      <c r="X10" s="16" t="inlineStr">
        <is>
          <t>Jens</t>
        </is>
      </c>
      <c r="Y10">
        <f>N10-IF(T10="C",Assumptions!$B$27,IF(T10="B",Assumptions!$B$26,0))</f>
        <v/>
      </c>
    </row>
    <row r="11">
      <c r="A11" s="17" t="inlineStr">
        <is>
          <t>Tommy Fleetwood</t>
        </is>
      </c>
      <c r="B11" t="inlineStr">
        <is>
          <t>OWGR 7 (2026-10-08)</t>
        </is>
      </c>
      <c r="D11" t="n">
        <v>0.1552</v>
      </c>
      <c r="E11" t="n">
        <v>0.1408</v>
      </c>
      <c r="I11" t="n">
        <v>0.91</v>
      </c>
      <c r="J11" t="n">
        <v>0.15</v>
      </c>
      <c r="K11" t="n">
        <v>7.07</v>
      </c>
      <c r="L11">
        <f>Assumptions!$B$22*N(D11)+Assumptions!$B$23*N(E11)</f>
        <v/>
      </c>
      <c r="M11">
        <f>K11+MIN(L11,Assumptions!$H$9)</f>
        <v/>
      </c>
      <c r="N11">
        <f>M11-Assumptions!$I$9</f>
        <v/>
      </c>
      <c r="O11">
        <f>N11-Assumptions!$B$25*Q11</f>
        <v/>
      </c>
      <c r="P11" t="n">
        <v>2</v>
      </c>
      <c r="Q11" t="n">
        <v>3.632</v>
      </c>
      <c r="R11" t="inlineStr">
        <is>
          <t>OWGR rank from league standings pull (A); major-win probabilities = model (rank-weighted share of 4 majors)</t>
        </is>
      </c>
      <c r="S11" t="inlineStr">
        <is>
          <t>2026-10-08</t>
        </is>
      </c>
      <c r="T11" s="9" t="inlineStr">
        <is>
          <t>C</t>
        </is>
      </c>
      <c r="U11" t="inlineStr">
        <is>
          <t>[conf C: sd x1.25, p shrink 20%]</t>
        </is>
      </c>
      <c r="X11" s="16" t="inlineStr">
        <is>
          <t>Korch</t>
        </is>
      </c>
      <c r="Y11">
        <f>N11-IF(T11="C",Assumptions!$B$27,IF(T11="B",Assumptions!$B$26,0))</f>
        <v/>
      </c>
    </row>
    <row r="12">
      <c r="A12" s="19" t="inlineStr">
        <is>
          <t>Chris Gotterup</t>
        </is>
      </c>
      <c r="B12" t="inlineStr">
        <is>
          <t>OWGR 8 (2026-10-08)</t>
        </is>
      </c>
      <c r="D12" t="n">
        <v>0.1368</v>
      </c>
      <c r="E12" t="n">
        <v>0.124</v>
      </c>
      <c r="I12" t="n">
        <v>0.8965</v>
      </c>
      <c r="J12" t="n">
        <v>0.15</v>
      </c>
      <c r="K12" t="n">
        <v>6.745</v>
      </c>
      <c r="L12">
        <f>Assumptions!$B$22*N(D12)+Assumptions!$B$23*N(E12)</f>
        <v/>
      </c>
      <c r="M12">
        <f>K12+MIN(L12,Assumptions!$H$9)</f>
        <v/>
      </c>
      <c r="N12">
        <f>M12-Assumptions!$I$9</f>
        <v/>
      </c>
      <c r="O12">
        <f>N12-Assumptions!$B$25*Q12</f>
        <v/>
      </c>
      <c r="P12" t="n">
        <v>3</v>
      </c>
      <c r="Q12" t="n">
        <v>3.646</v>
      </c>
      <c r="R12" t="inlineStr">
        <is>
          <t>OWGR rank from league standings pull (A); major-win probabilities = model (rank-weighted share of 4 majors)</t>
        </is>
      </c>
      <c r="S12" t="inlineStr">
        <is>
          <t>2026-10-08</t>
        </is>
      </c>
      <c r="T12" s="9" t="inlineStr">
        <is>
          <t>C</t>
        </is>
      </c>
      <c r="U12" t="inlineStr">
        <is>
          <t>[conf C: sd x1.25, p shrink 20%]</t>
        </is>
      </c>
      <c r="Y12">
        <f>N12-IF(T12="C",Assumptions!$B$27,IF(T12="B",Assumptions!$B$26,0))</f>
        <v/>
      </c>
    </row>
    <row r="13">
      <c r="A13" s="19" t="inlineStr">
        <is>
          <t>Sam Burns</t>
        </is>
      </c>
      <c r="B13" t="inlineStr">
        <is>
          <t>OWGR 9 (2026-10-08)</t>
        </is>
      </c>
      <c r="D13" t="n">
        <v>0.1208</v>
      </c>
      <c r="E13" t="n">
        <v>0.1096</v>
      </c>
      <c r="I13" t="n">
        <v>0.883</v>
      </c>
      <c r="J13" t="n">
        <v>0.15</v>
      </c>
      <c r="K13" t="n">
        <v>6.379</v>
      </c>
      <c r="L13">
        <f>Assumptions!$B$22*N(D13)+Assumptions!$B$23*N(E13)</f>
        <v/>
      </c>
      <c r="M13">
        <f>K13+MIN(L13,Assumptions!$H$9)</f>
        <v/>
      </c>
      <c r="N13">
        <f>M13-Assumptions!$I$9</f>
        <v/>
      </c>
      <c r="O13">
        <f>N13-Assumptions!$B$25*Q13</f>
        <v/>
      </c>
      <c r="P13" t="n">
        <v>3</v>
      </c>
      <c r="Q13" t="n">
        <v>3.625</v>
      </c>
      <c r="R13" t="inlineStr">
        <is>
          <t>OWGR rank from league standings pull (A); major-win probabilities = model (rank-weighted share of 4 majors)</t>
        </is>
      </c>
      <c r="S13" t="inlineStr">
        <is>
          <t>2026-10-08</t>
        </is>
      </c>
      <c r="T13" s="9" t="inlineStr">
        <is>
          <t>C</t>
        </is>
      </c>
      <c r="U13" t="inlineStr">
        <is>
          <t>2026 US Open runner-up  [conf C: sd x1.25, p shrink 20%]</t>
        </is>
      </c>
      <c r="Y13">
        <f>N13-IF(T13="C",Assumptions!$B$27,IF(T13="B",Assumptions!$B$26,0))</f>
        <v/>
      </c>
    </row>
    <row r="14">
      <c r="A14" s="19" t="inlineStr">
        <is>
          <t>Xander Schauffele</t>
        </is>
      </c>
      <c r="B14" t="inlineStr">
        <is>
          <t>OWGR 10 (2026-10-08)</t>
        </is>
      </c>
      <c r="D14" t="n">
        <v>0.1072</v>
      </c>
      <c r="E14" t="n">
        <v>0.0968</v>
      </c>
      <c r="I14" t="n">
        <v>0.8695000000000001</v>
      </c>
      <c r="J14" t="n">
        <v>0.15</v>
      </c>
      <c r="K14" t="n">
        <v>6.048</v>
      </c>
      <c r="L14">
        <f>Assumptions!$B$22*N(D14)+Assumptions!$B$23*N(E14)</f>
        <v/>
      </c>
      <c r="M14">
        <f>K14+MIN(L14,Assumptions!$H$9)</f>
        <v/>
      </c>
      <c r="N14">
        <f>M14-Assumptions!$I$9</f>
        <v/>
      </c>
      <c r="O14">
        <f>N14-Assumptions!$B$25*Q14</f>
        <v/>
      </c>
      <c r="P14" t="n">
        <v>3</v>
      </c>
      <c r="Q14" t="n">
        <v>3.576</v>
      </c>
      <c r="R14" t="inlineStr">
        <is>
          <t>OWGR rank from league standings pull (A); major-win probabilities = model (rank-weighted share of 4 majors)</t>
        </is>
      </c>
      <c r="S14" t="inlineStr">
        <is>
          <t>2026-10-08</t>
        </is>
      </c>
      <c r="T14" s="9" t="inlineStr">
        <is>
          <t>C</t>
        </is>
      </c>
      <c r="U14" t="inlineStr">
        <is>
          <t>+1600 Masters 2027  [conf C: sd x1.25, p shrink 20%]</t>
        </is>
      </c>
      <c r="X14" s="16" t="inlineStr">
        <is>
          <t>Tim</t>
        </is>
      </c>
      <c r="Y14">
        <f>N14-IF(T14="C",Assumptions!$B$27,IF(T14="B",Assumptions!$B$26,0))</f>
        <v/>
      </c>
    </row>
    <row r="15">
      <c r="A15" s="19" t="inlineStr">
        <is>
          <t>Collin Morikawa</t>
        </is>
      </c>
      <c r="B15" t="inlineStr">
        <is>
          <t>OWGR 11 (2026-10-08)</t>
        </is>
      </c>
      <c r="D15" t="n">
        <v>0.09520000000000001</v>
      </c>
      <c r="E15" t="n">
        <v>0.0864</v>
      </c>
      <c r="I15" t="n">
        <v>0.856</v>
      </c>
      <c r="J15" t="n">
        <v>0.15</v>
      </c>
      <c r="K15" t="n">
        <v>5.735</v>
      </c>
      <c r="L15">
        <f>Assumptions!$B$22*N(D15)+Assumptions!$B$23*N(E15)</f>
        <v/>
      </c>
      <c r="M15">
        <f>K15+MIN(L15,Assumptions!$H$9)</f>
        <v/>
      </c>
      <c r="N15">
        <f>M15-Assumptions!$I$9</f>
        <v/>
      </c>
      <c r="O15">
        <f>N15-Assumptions!$B$25*Q15</f>
        <v/>
      </c>
      <c r="P15" t="n">
        <v>3</v>
      </c>
      <c r="Q15" t="n">
        <v>3.54</v>
      </c>
      <c r="R15" t="inlineStr">
        <is>
          <t>OWGR rank from league standings pull (A); major-win probabilities = model (rank-weighted share of 4 majors)</t>
        </is>
      </c>
      <c r="S15" t="inlineStr">
        <is>
          <t>2026-10-08</t>
        </is>
      </c>
      <c r="T15" s="9" t="inlineStr">
        <is>
          <t>C</t>
        </is>
      </c>
      <c r="U15" t="inlineStr">
        <is>
          <t>[conf C: sd x1.25, p shrink 20%]</t>
        </is>
      </c>
      <c r="X15" s="16" t="inlineStr">
        <is>
          <t>Buckley</t>
        </is>
      </c>
      <c r="Y15">
        <f>N15-IF(T15="C",Assumptions!$B$27,IF(T15="B",Assumptions!$B$26,0))</f>
        <v/>
      </c>
    </row>
    <row r="16">
      <c r="A16" s="19" t="inlineStr">
        <is>
          <t>J.J. Spaun</t>
        </is>
      </c>
      <c r="B16" t="inlineStr">
        <is>
          <t>OWGR 12 (2026-10-08)</t>
        </is>
      </c>
      <c r="D16" t="n">
        <v>0.0856</v>
      </c>
      <c r="E16" t="n">
        <v>0.0776</v>
      </c>
      <c r="I16" t="n">
        <v>0.8425</v>
      </c>
      <c r="J16" t="n">
        <v>0.15</v>
      </c>
      <c r="K16" t="n">
        <v>5.44</v>
      </c>
      <c r="L16">
        <f>Assumptions!$B$22*N(D16)+Assumptions!$B$23*N(E16)</f>
        <v/>
      </c>
      <c r="M16">
        <f>K16+MIN(L16,Assumptions!$H$9)</f>
        <v/>
      </c>
      <c r="N16">
        <f>M16-Assumptions!$I$9</f>
        <v/>
      </c>
      <c r="O16">
        <f>N16-Assumptions!$B$25*Q16</f>
        <v/>
      </c>
      <c r="P16" t="n">
        <v>3</v>
      </c>
      <c r="Q16" t="n">
        <v>3.509</v>
      </c>
      <c r="R16" t="inlineStr">
        <is>
          <t>OWGR rank from league standings pull (A); major-win probabilities = model (rank-weighted share of 4 majors)</t>
        </is>
      </c>
      <c r="S16" t="inlineStr">
        <is>
          <t>2026-10-08</t>
        </is>
      </c>
      <c r="T16" s="9" t="inlineStr">
        <is>
          <t>C</t>
        </is>
      </c>
      <c r="U16" t="inlineStr">
        <is>
          <t>[conf C: sd x1.25, p shrink 20%]</t>
        </is>
      </c>
      <c r="X16" s="16" t="inlineStr">
        <is>
          <t>Mitchell</t>
        </is>
      </c>
      <c r="Y16">
        <f>N16-IF(T16="C",Assumptions!$B$27,IF(T16="B",Assumptions!$B$26,0))</f>
        <v/>
      </c>
    </row>
    <row r="17">
      <c r="A17" s="19" t="inlineStr">
        <is>
          <t>Viktor Hovland</t>
        </is>
      </c>
      <c r="B17" t="inlineStr">
        <is>
          <t>OWGR 13 (2026-10-08)</t>
        </is>
      </c>
      <c r="D17" t="n">
        <v>0.07679999999999999</v>
      </c>
      <c r="E17" t="n">
        <v>0.0696</v>
      </c>
      <c r="I17" t="n">
        <v>0.829</v>
      </c>
      <c r="J17" t="n">
        <v>0.15</v>
      </c>
      <c r="K17" t="n">
        <v>5.107</v>
      </c>
      <c r="L17">
        <f>Assumptions!$B$22*N(D17)+Assumptions!$B$23*N(E17)</f>
        <v/>
      </c>
      <c r="M17">
        <f>K17+MIN(L17,Assumptions!$H$9)</f>
        <v/>
      </c>
      <c r="N17">
        <f>M17-Assumptions!$I$9</f>
        <v/>
      </c>
      <c r="O17">
        <f>N17-Assumptions!$B$25*Q17</f>
        <v/>
      </c>
      <c r="P17" t="n">
        <v>3</v>
      </c>
      <c r="Q17" t="n">
        <v>3.411</v>
      </c>
      <c r="R17" t="inlineStr">
        <is>
          <t>OWGR rank from league standings pull (A); major-win probabilities = model (rank-weighted share of 4 majors)</t>
        </is>
      </c>
      <c r="S17" t="inlineStr">
        <is>
          <t>2026-10-08</t>
        </is>
      </c>
      <c r="T17" s="9" t="inlineStr">
        <is>
          <t>C</t>
        </is>
      </c>
      <c r="U17" t="inlineStr">
        <is>
          <t>[conf C: sd x1.25, p shrink 20%]</t>
        </is>
      </c>
      <c r="X17" s="16" t="inlineStr">
        <is>
          <t>Fryar</t>
        </is>
      </c>
      <c r="Y17">
        <f>N17-IF(T17="C",Assumptions!$B$27,IF(T17="B",Assumptions!$B$26,0))</f>
        <v/>
      </c>
    </row>
    <row r="18">
      <c r="A18" t="inlineStr">
        <is>
          <t>Si Woo Kim</t>
        </is>
      </c>
      <c r="B18" t="inlineStr">
        <is>
          <t>OWGR 14 (2026-10-08)</t>
        </is>
      </c>
      <c r="D18" t="n">
        <v>0.0696</v>
      </c>
      <c r="E18" t="n">
        <v>0.06320000000000001</v>
      </c>
      <c r="I18" t="n">
        <v>0.8155</v>
      </c>
      <c r="J18" t="n">
        <v>0.15</v>
      </c>
      <c r="K18" t="n">
        <v>4.811</v>
      </c>
      <c r="L18">
        <f>Assumptions!$B$22*N(D18)+Assumptions!$B$23*N(E18)</f>
        <v/>
      </c>
      <c r="M18">
        <f>K18+MIN(L18,Assumptions!$H$9)</f>
        <v/>
      </c>
      <c r="N18">
        <f>M18-Assumptions!$I$9</f>
        <v/>
      </c>
      <c r="O18">
        <f>N18-Assumptions!$B$25*Q18</f>
        <v/>
      </c>
      <c r="P18" t="n">
        <v>4</v>
      </c>
      <c r="Q18" t="n">
        <v>3.332</v>
      </c>
      <c r="R18" t="inlineStr">
        <is>
          <t>OWGR rank from league standings pull (A); major-win probabilities = model (rank-weighted share of 4 majors)</t>
        </is>
      </c>
      <c r="S18" t="inlineStr">
        <is>
          <t>2026-10-08</t>
        </is>
      </c>
      <c r="T18" s="9" t="inlineStr">
        <is>
          <t>C</t>
        </is>
      </c>
      <c r="U18" t="inlineStr">
        <is>
          <t>[conf C: sd x1.25, p shrink 20%]</t>
        </is>
      </c>
      <c r="Y18">
        <f>N18-IF(T18="C",Assumptions!$B$27,IF(T18="B",Assumptions!$B$26,0))</f>
        <v/>
      </c>
    </row>
    <row r="19">
      <c r="A19" t="inlineStr">
        <is>
          <t>Jon Rahm</t>
        </is>
      </c>
      <c r="B19" t="inlineStr">
        <is>
          <t>OWGR 15 (2026-10-08)</t>
        </is>
      </c>
      <c r="D19" t="n">
        <v>0.064</v>
      </c>
      <c r="E19" t="n">
        <v>0.0576</v>
      </c>
      <c r="I19" t="n">
        <v>0.802</v>
      </c>
      <c r="J19" t="n">
        <v>0.15</v>
      </c>
      <c r="K19" t="n">
        <v>4.568</v>
      </c>
      <c r="L19">
        <f>Assumptions!$B$22*N(D19)+Assumptions!$B$23*N(E19)</f>
        <v/>
      </c>
      <c r="M19">
        <f>K19+MIN(L19,Assumptions!$H$9)</f>
        <v/>
      </c>
      <c r="N19">
        <f>M19-Assumptions!$I$9</f>
        <v/>
      </c>
      <c r="O19">
        <f>N19-Assumptions!$B$25*Q19</f>
        <v/>
      </c>
      <c r="P19" t="n">
        <v>4</v>
      </c>
      <c r="Q19" t="n">
        <v>3.292</v>
      </c>
      <c r="R19" t="inlineStr">
        <is>
          <t>OWGR rank from league standings pull (A); major-win probabilities = model (rank-weighted share of 4 majors)</t>
        </is>
      </c>
      <c r="S19" t="inlineStr">
        <is>
          <t>2026-10-08</t>
        </is>
      </c>
      <c r="T19" s="9" t="inlineStr">
        <is>
          <t>C</t>
        </is>
      </c>
      <c r="U19" t="inlineStr">
        <is>
          <t>LIV; 2026 PGA runner-up. +1200-1400 Masters 2027  [conf C: sd x1.25, p shrink 20%]</t>
        </is>
      </c>
      <c r="X19" s="16" t="inlineStr">
        <is>
          <t>Shep</t>
        </is>
      </c>
      <c r="Y19">
        <f>N19-IF(T19="C",Assumptions!$B$27,IF(T19="B",Assumptions!$B$26,0))</f>
        <v/>
      </c>
    </row>
    <row r="20">
      <c r="A20" t="inlineStr">
        <is>
          <t>Aaron Rai</t>
        </is>
      </c>
      <c r="B20" t="inlineStr">
        <is>
          <t>OWGR 16 (2026-10-08)</t>
        </is>
      </c>
      <c r="D20" t="n">
        <v>0.0584</v>
      </c>
      <c r="E20" t="n">
        <v>0.0528</v>
      </c>
      <c r="I20" t="n">
        <v>0.7885</v>
      </c>
      <c r="J20" t="n">
        <v>0.15</v>
      </c>
      <c r="K20" t="n">
        <v>4.287</v>
      </c>
      <c r="L20">
        <f>Assumptions!$B$22*N(D20)+Assumptions!$B$23*N(E20)</f>
        <v/>
      </c>
      <c r="M20">
        <f>K20+MIN(L20,Assumptions!$H$9)</f>
        <v/>
      </c>
      <c r="N20">
        <f>M20-Assumptions!$I$9</f>
        <v/>
      </c>
      <c r="O20">
        <f>N20-Assumptions!$B$25*Q20</f>
        <v/>
      </c>
      <c r="P20" t="n">
        <v>4</v>
      </c>
      <c r="Q20" t="n">
        <v>3.212</v>
      </c>
      <c r="R20" t="inlineStr">
        <is>
          <t>OWGR rank from league standings pull (A); major-win probabilities = model (rank-weighted share of 4 majors)</t>
        </is>
      </c>
      <c r="S20" t="inlineStr">
        <is>
          <t>2026-10-08</t>
        </is>
      </c>
      <c r="T20" s="9" t="inlineStr">
        <is>
          <t>C</t>
        </is>
      </c>
      <c r="U20" t="inlineStr">
        <is>
          <t>Won 2026 PGA Championship  [conf C: sd x1.25, p shrink 20%]</t>
        </is>
      </c>
      <c r="Y20">
        <f>N20-IF(T20="C",Assumptions!$B$27,IF(T20="B",Assumptions!$B$26,0))</f>
        <v/>
      </c>
    </row>
    <row r="21">
      <c r="A21" t="inlineStr">
        <is>
          <t>Justin Rose</t>
        </is>
      </c>
      <c r="B21" t="inlineStr">
        <is>
          <t>OWGR 17 (2026-10-08)</t>
        </is>
      </c>
      <c r="D21" t="n">
        <v>0.0544</v>
      </c>
      <c r="E21" t="n">
        <v>0.0488</v>
      </c>
      <c r="I21" t="n">
        <v>0.775</v>
      </c>
      <c r="J21" t="n">
        <v>0.15</v>
      </c>
      <c r="K21" t="n">
        <v>4.032</v>
      </c>
      <c r="L21">
        <f>Assumptions!$B$22*N(D21)+Assumptions!$B$23*N(E21)</f>
        <v/>
      </c>
      <c r="M21">
        <f>K21+MIN(L21,Assumptions!$H$9)</f>
        <v/>
      </c>
      <c r="N21">
        <f>M21-Assumptions!$I$9</f>
        <v/>
      </c>
      <c r="O21">
        <f>N21-Assumptions!$B$25*Q21</f>
        <v/>
      </c>
      <c r="P21" t="n">
        <v>4</v>
      </c>
      <c r="Q21" t="n">
        <v>3.082</v>
      </c>
      <c r="R21" t="inlineStr">
        <is>
          <t>OWGR rank from league standings pull (A); major-win probabilities = model (rank-weighted share of 4 majors)</t>
        </is>
      </c>
      <c r="S21" t="inlineStr">
        <is>
          <t>2026-10-08</t>
        </is>
      </c>
      <c r="T21" s="9" t="inlineStr">
        <is>
          <t>C</t>
        </is>
      </c>
      <c r="U21" t="inlineStr">
        <is>
          <t>[conf C: sd x1.25, p shrink 20%]</t>
        </is>
      </c>
      <c r="Y21">
        <f>N21-IF(T21="C",Assumptions!$B$27,IF(T21="B",Assumptions!$B$26,0))</f>
        <v/>
      </c>
    </row>
    <row r="22">
      <c r="A22" t="inlineStr">
        <is>
          <t>Ludvig Åberg</t>
        </is>
      </c>
      <c r="B22" t="inlineStr">
        <is>
          <t>OWGR 18 (2026-10-08)</t>
        </is>
      </c>
      <c r="D22" t="n">
        <v>0.0504</v>
      </c>
      <c r="E22" t="n">
        <v>0.0456</v>
      </c>
      <c r="I22" t="n">
        <v>0.7615</v>
      </c>
      <c r="J22" t="n">
        <v>0.15</v>
      </c>
      <c r="K22" t="n">
        <v>3.88</v>
      </c>
      <c r="L22">
        <f>Assumptions!$B$22*N(D22)+Assumptions!$B$23*N(E22)</f>
        <v/>
      </c>
      <c r="M22">
        <f>K22+MIN(L22,Assumptions!$H$9)</f>
        <v/>
      </c>
      <c r="N22">
        <f>M22-Assumptions!$I$9</f>
        <v/>
      </c>
      <c r="O22">
        <f>N22-Assumptions!$B$25*Q22</f>
        <v/>
      </c>
      <c r="P22" t="n">
        <v>4</v>
      </c>
      <c r="Q22" t="n">
        <v>3.011</v>
      </c>
      <c r="R22" t="inlineStr">
        <is>
          <t>OWGR rank from league standings pull (A); major-win probabilities = model (rank-weighted share of 4 majors)</t>
        </is>
      </c>
      <c r="S22" t="inlineStr">
        <is>
          <t>2026-10-08</t>
        </is>
      </c>
      <c r="T22" s="9" t="inlineStr">
        <is>
          <t>C</t>
        </is>
      </c>
      <c r="U22" t="inlineStr">
        <is>
          <t>Sweden; 2027 contender  [conf C: sd x1.25, p shrink 20%]</t>
        </is>
      </c>
      <c r="X22" s="16" t="inlineStr">
        <is>
          <t>Jamzee</t>
        </is>
      </c>
      <c r="Y22">
        <f>N22-IF(T22="C",Assumptions!$B$27,IF(T22="B",Assumptions!$B$26,0))</f>
        <v/>
      </c>
    </row>
    <row r="23">
      <c r="A23" t="inlineStr">
        <is>
          <t>Robert MacIntyre</t>
        </is>
      </c>
      <c r="B23" t="inlineStr">
        <is>
          <t>OWGR 19 (2026-10-08)</t>
        </is>
      </c>
      <c r="D23" t="n">
        <v>0.0472</v>
      </c>
      <c r="E23" t="n">
        <v>0.0424</v>
      </c>
      <c r="I23" t="n">
        <v>0.748</v>
      </c>
      <c r="J23" t="n">
        <v>0.15</v>
      </c>
      <c r="K23" t="n">
        <v>3.589</v>
      </c>
      <c r="L23">
        <f>Assumptions!$B$22*N(D23)+Assumptions!$B$23*N(E23)</f>
        <v/>
      </c>
      <c r="M23">
        <f>K23+MIN(L23,Assumptions!$H$9)</f>
        <v/>
      </c>
      <c r="N23">
        <f>M23-Assumptions!$I$9</f>
        <v/>
      </c>
      <c r="O23">
        <f>N23-Assumptions!$B$25*Q23</f>
        <v/>
      </c>
      <c r="P23" t="n">
        <v>4</v>
      </c>
      <c r="Q23" t="n">
        <v>2.867</v>
      </c>
      <c r="R23" t="inlineStr">
        <is>
          <t>OWGR rank from league standings pull (A); major-win probabilities = model (rank-weighted share of 4 majors)</t>
        </is>
      </c>
      <c r="S23" t="inlineStr">
        <is>
          <t>2026-10-08</t>
        </is>
      </c>
      <c r="T23" s="9" t="inlineStr">
        <is>
          <t>C</t>
        </is>
      </c>
      <c r="U23" t="inlineStr">
        <is>
          <t>[conf C: sd x1.25, p shrink 20%]</t>
        </is>
      </c>
      <c r="Y23">
        <f>N23-IF(T23="C",Assumptions!$B$27,IF(T23="B",Assumptions!$B$26,0))</f>
        <v/>
      </c>
    </row>
    <row r="24">
      <c r="A24" t="inlineStr">
        <is>
          <t>Jacob Bridgeman</t>
        </is>
      </c>
      <c r="B24" t="inlineStr">
        <is>
          <t>OWGR 20 (2026-10-08)</t>
        </is>
      </c>
      <c r="D24" t="n">
        <v>0.0448</v>
      </c>
      <c r="E24" t="n">
        <v>0.04</v>
      </c>
      <c r="I24" t="n">
        <v>0.7345</v>
      </c>
      <c r="J24" t="n">
        <v>0.15</v>
      </c>
      <c r="K24" t="n">
        <v>3.412</v>
      </c>
      <c r="L24">
        <f>Assumptions!$B$22*N(D24)+Assumptions!$B$23*N(E24)</f>
        <v/>
      </c>
      <c r="M24">
        <f>K24+MIN(L24,Assumptions!$H$9)</f>
        <v/>
      </c>
      <c r="N24">
        <f>M24-Assumptions!$I$9</f>
        <v/>
      </c>
      <c r="O24">
        <f>N24-Assumptions!$B$25*Q24</f>
        <v/>
      </c>
      <c r="P24" t="n">
        <v>4</v>
      </c>
      <c r="Q24" t="n">
        <v>2.796</v>
      </c>
      <c r="R24" t="inlineStr">
        <is>
          <t>OWGR rank from league standings pull (A); major-win probabilities = model (rank-weighted share of 4 majors)</t>
        </is>
      </c>
      <c r="S24" t="inlineStr">
        <is>
          <t>2026-10-08</t>
        </is>
      </c>
      <c r="T24" s="9" t="inlineStr">
        <is>
          <t>C</t>
        </is>
      </c>
      <c r="U24" t="inlineStr">
        <is>
          <t>[conf C: sd x1.25, p shrink 20%]</t>
        </is>
      </c>
      <c r="Y24">
        <f>N24-IF(T24="C",Assumptions!$B$27,IF(T24="B",Assumptions!$B$26,0))</f>
        <v/>
      </c>
    </row>
    <row r="25">
      <c r="A25" t="inlineStr">
        <is>
          <t>Alex Noren</t>
        </is>
      </c>
      <c r="B25" t="inlineStr">
        <is>
          <t>OWGR 21 (2026-10-08)</t>
        </is>
      </c>
      <c r="D25" t="n">
        <v>0.0424</v>
      </c>
      <c r="E25" t="n">
        <v>0.0384</v>
      </c>
      <c r="I25" t="n">
        <v>0.721</v>
      </c>
      <c r="J25" t="n">
        <v>0.15</v>
      </c>
      <c r="K25" t="n">
        <v>3.166</v>
      </c>
      <c r="L25">
        <f>Assumptions!$B$22*N(D25)+Assumptions!$B$23*N(E25)</f>
        <v/>
      </c>
      <c r="M25">
        <f>K25+MIN(L25,Assumptions!$H$9)</f>
        <v/>
      </c>
      <c r="N25">
        <f>M25-Assumptions!$I$9</f>
        <v/>
      </c>
      <c r="O25">
        <f>N25-Assumptions!$B$25*Q25</f>
        <v/>
      </c>
      <c r="P25" t="n">
        <v>4</v>
      </c>
      <c r="Q25" t="n">
        <v>2.65</v>
      </c>
      <c r="R25" t="inlineStr">
        <is>
          <t>OWGR rank from league standings pull (A); major-win probabilities = model (rank-weighted share of 4 majors)</t>
        </is>
      </c>
      <c r="S25" t="inlineStr">
        <is>
          <t>2026-10-08</t>
        </is>
      </c>
      <c r="T25" s="9" t="inlineStr">
        <is>
          <t>C</t>
        </is>
      </c>
      <c r="U25" t="inlineStr">
        <is>
          <t>[conf C: sd x1.25, p shrink 20%]</t>
        </is>
      </c>
      <c r="Y25">
        <f>N25-IF(T25="C",Assumptions!$B$27,IF(T25="B",Assumptions!$B$26,0))</f>
        <v/>
      </c>
    </row>
    <row r="26">
      <c r="A26" t="inlineStr">
        <is>
          <t>Ryan Fox</t>
        </is>
      </c>
      <c r="B26" t="inlineStr">
        <is>
          <t>OWGR 22 (2026-10-08)</t>
        </is>
      </c>
      <c r="D26" t="n">
        <v>0.0408</v>
      </c>
      <c r="E26" t="n">
        <v>0.0368</v>
      </c>
      <c r="I26" t="n">
        <v>0.7075</v>
      </c>
      <c r="J26" t="n">
        <v>0.15</v>
      </c>
      <c r="K26" t="n">
        <v>3.011</v>
      </c>
      <c r="L26">
        <f>Assumptions!$B$22*N(D26)+Assumptions!$B$23*N(E26)</f>
        <v/>
      </c>
      <c r="M26">
        <f>K26+MIN(L26,Assumptions!$H$9)</f>
        <v/>
      </c>
      <c r="N26">
        <f>M26-Assumptions!$I$9</f>
        <v/>
      </c>
      <c r="O26">
        <f>N26-Assumptions!$B$25*Q26</f>
        <v/>
      </c>
      <c r="P26" t="n">
        <v>4</v>
      </c>
      <c r="Q26" t="n">
        <v>2.544</v>
      </c>
      <c r="R26" t="inlineStr">
        <is>
          <t>OWGR rank from league standings pull (A); major-win probabilities = model (rank-weighted share of 4 majors)</t>
        </is>
      </c>
      <c r="S26" t="inlineStr">
        <is>
          <t>2026-10-08</t>
        </is>
      </c>
      <c r="T26" s="9" t="inlineStr">
        <is>
          <t>C</t>
        </is>
      </c>
      <c r="U26" t="inlineStr">
        <is>
          <t>Won 2026 Open  [conf C: sd x1.25, p shrink 20%]</t>
        </is>
      </c>
      <c r="Y26">
        <f>N26-IF(T26="C",Assumptions!$B$27,IF(T26="B",Assumptions!$B$26,0))</f>
        <v/>
      </c>
    </row>
    <row r="27">
      <c r="A27" t="inlineStr">
        <is>
          <t>Ryan Gerard</t>
        </is>
      </c>
      <c r="B27" t="inlineStr">
        <is>
          <t>OWGR 23 (2026-10-08)</t>
        </is>
      </c>
      <c r="D27" t="n">
        <v>0.0392</v>
      </c>
      <c r="E27" t="n">
        <v>0.0352</v>
      </c>
      <c r="I27" t="n">
        <v>0.694</v>
      </c>
      <c r="J27" t="n">
        <v>0.15</v>
      </c>
      <c r="K27" t="n">
        <v>2.819</v>
      </c>
      <c r="L27">
        <f>Assumptions!$B$22*N(D27)+Assumptions!$B$23*N(E27)</f>
        <v/>
      </c>
      <c r="M27">
        <f>K27+MIN(L27,Assumptions!$H$9)</f>
        <v/>
      </c>
      <c r="N27">
        <f>M27-Assumptions!$I$9</f>
        <v/>
      </c>
      <c r="O27">
        <f>N27-Assumptions!$B$25*Q27</f>
        <v/>
      </c>
      <c r="P27" t="n">
        <v>4</v>
      </c>
      <c r="Q27" t="n">
        <v>2.402</v>
      </c>
      <c r="R27" t="inlineStr">
        <is>
          <t>OWGR rank from league standings pull (A); major-win probabilities = model (rank-weighted share of 4 majors)</t>
        </is>
      </c>
      <c r="S27" t="inlineStr">
        <is>
          <t>2026-10-08</t>
        </is>
      </c>
      <c r="T27" s="9" t="inlineStr">
        <is>
          <t>C</t>
        </is>
      </c>
      <c r="U27" t="inlineStr">
        <is>
          <t>[conf C: sd x1.25, p shrink 20%]</t>
        </is>
      </c>
      <c r="Y27">
        <f>N27-IF(T27="C",Assumptions!$B$27,IF(T27="B",Assumptions!$B$26,0))</f>
        <v/>
      </c>
    </row>
    <row r="28">
      <c r="A28" t="inlineStr">
        <is>
          <t>Tyrrell Hatton</t>
        </is>
      </c>
      <c r="B28" t="inlineStr">
        <is>
          <t>OWGR 24 (2026-10-08)</t>
        </is>
      </c>
      <c r="D28" t="n">
        <v>0.0376</v>
      </c>
      <c r="E28" t="n">
        <v>0.0336</v>
      </c>
      <c r="I28" t="n">
        <v>0.6805</v>
      </c>
      <c r="J28" t="n">
        <v>0.15</v>
      </c>
      <c r="K28" t="n">
        <v>2.639</v>
      </c>
      <c r="L28">
        <f>Assumptions!$B$22*N(D28)+Assumptions!$B$23*N(E28)</f>
        <v/>
      </c>
      <c r="M28">
        <f>K28+MIN(L28,Assumptions!$H$9)</f>
        <v/>
      </c>
      <c r="N28">
        <f>M28-Assumptions!$I$9</f>
        <v/>
      </c>
      <c r="O28">
        <f>N28-Assumptions!$B$25*Q28</f>
        <v/>
      </c>
      <c r="P28" t="n">
        <v>4</v>
      </c>
      <c r="Q28" t="n">
        <v>2.298</v>
      </c>
      <c r="R28" t="inlineStr">
        <is>
          <t>OWGR rank from league standings pull (A); major-win probabilities = model (rank-weighted share of 4 majors)</t>
        </is>
      </c>
      <c r="S28" t="inlineStr">
        <is>
          <t>2026-10-08</t>
        </is>
      </c>
      <c r="T28" s="9" t="inlineStr">
        <is>
          <t>C</t>
        </is>
      </c>
      <c r="U28" t="inlineStr">
        <is>
          <t>[conf C: sd x1.25, p shrink 20%]</t>
        </is>
      </c>
      <c r="Y28">
        <f>N28-IF(T28="C",Assumptions!$B$27,IF(T28="B",Assumptions!$B$26,0))</f>
        <v/>
      </c>
    </row>
    <row r="29">
      <c r="A29" t="inlineStr">
        <is>
          <t>Ben Griffin</t>
        </is>
      </c>
      <c r="B29" t="inlineStr">
        <is>
          <t>OWGR 25 (2026-10-08)</t>
        </is>
      </c>
      <c r="D29" t="n">
        <v>0.036</v>
      </c>
      <c r="E29" t="n">
        <v>0.0328</v>
      </c>
      <c r="I29" t="n">
        <v>0.667</v>
      </c>
      <c r="J29" t="n">
        <v>0.15</v>
      </c>
      <c r="K29" t="n">
        <v>2.539</v>
      </c>
      <c r="L29">
        <f>Assumptions!$B$22*N(D29)+Assumptions!$B$23*N(E29)</f>
        <v/>
      </c>
      <c r="M29">
        <f>K29+MIN(L29,Assumptions!$H$9)</f>
        <v/>
      </c>
      <c r="N29">
        <f>M29-Assumptions!$I$9</f>
        <v/>
      </c>
      <c r="O29">
        <f>N29-Assumptions!$B$25*Q29</f>
        <v/>
      </c>
      <c r="P29" t="n">
        <v>4</v>
      </c>
      <c r="Q29" t="n">
        <v>2.244</v>
      </c>
      <c r="R29" t="inlineStr">
        <is>
          <t>OWGR rank from league standings pull (A); major-win probabilities = model (rank-weighted share of 4 majors)</t>
        </is>
      </c>
      <c r="S29" t="inlineStr">
        <is>
          <t>2026-10-08</t>
        </is>
      </c>
      <c r="T29" s="9" t="inlineStr">
        <is>
          <t>C</t>
        </is>
      </c>
      <c r="U29" t="inlineStr">
        <is>
          <t>[conf C: sd x1.25, p shrink 20%]</t>
        </is>
      </c>
      <c r="Y29">
        <f>N29-IF(T29="C",Assumptions!$B$27,IF(T29="B",Assumptions!$B$26,0))</f>
        <v/>
      </c>
    </row>
    <row r="30">
      <c r="A30" t="inlineStr">
        <is>
          <t>Hideki Matsuyama</t>
        </is>
      </c>
      <c r="B30" t="inlineStr">
        <is>
          <t>OWGR 26 (2026-10-08)</t>
        </is>
      </c>
      <c r="D30" t="n">
        <v>0.0352</v>
      </c>
      <c r="E30" t="n">
        <v>0.032</v>
      </c>
      <c r="I30" t="n">
        <v>0.6535</v>
      </c>
      <c r="J30" t="n">
        <v>0.15</v>
      </c>
      <c r="K30" t="n">
        <v>2.33</v>
      </c>
      <c r="L30">
        <f>Assumptions!$B$22*N(D30)+Assumptions!$B$23*N(E30)</f>
        <v/>
      </c>
      <c r="M30">
        <f>K30+MIN(L30,Assumptions!$H$9)</f>
        <v/>
      </c>
      <c r="N30">
        <f>M30-Assumptions!$I$9</f>
        <v/>
      </c>
      <c r="O30">
        <f>N30-Assumptions!$B$25*Q30</f>
        <v/>
      </c>
      <c r="P30" t="n">
        <v>4</v>
      </c>
      <c r="Q30" t="n">
        <v>2.077</v>
      </c>
      <c r="R30" t="inlineStr">
        <is>
          <t>OWGR rank from league standings pull (A); major-win probabilities = model (rank-weighted share of 4 majors)</t>
        </is>
      </c>
      <c r="S30" t="inlineStr">
        <is>
          <t>2026-10-08</t>
        </is>
      </c>
      <c r="T30" s="9" t="inlineStr">
        <is>
          <t>C</t>
        </is>
      </c>
      <c r="U30" t="inlineStr">
        <is>
          <t>[conf C: sd x1.25, p shrink 20%]</t>
        </is>
      </c>
      <c r="Y30">
        <f>N30-IF(T30="C",Assumptions!$B$27,IF(T30="B",Assumptions!$B$26,0))</f>
        <v/>
      </c>
    </row>
    <row r="31">
      <c r="A31" t="inlineStr">
        <is>
          <t>Justin Thomas</t>
        </is>
      </c>
      <c r="B31" t="inlineStr">
        <is>
          <t>OWGR 27 (2026-10-08)</t>
        </is>
      </c>
      <c r="D31" t="n">
        <v>0.0344</v>
      </c>
      <c r="E31" t="n">
        <v>0.0312</v>
      </c>
      <c r="I31" t="n">
        <v>0.64</v>
      </c>
      <c r="J31" t="n">
        <v>0.15</v>
      </c>
      <c r="K31" t="n">
        <v>2.249</v>
      </c>
      <c r="L31">
        <f>Assumptions!$B$22*N(D31)+Assumptions!$B$23*N(E31)</f>
        <v/>
      </c>
      <c r="M31">
        <f>K31+MIN(L31,Assumptions!$H$9)</f>
        <v/>
      </c>
      <c r="N31">
        <f>M31-Assumptions!$I$9</f>
        <v/>
      </c>
      <c r="O31">
        <f>N31-Assumptions!$B$25*Q31</f>
        <v/>
      </c>
      <c r="P31" t="n">
        <v>4</v>
      </c>
      <c r="Q31" t="n">
        <v>2.016</v>
      </c>
      <c r="R31" t="inlineStr">
        <is>
          <t>OWGR rank from league standings pull (A); major-win probabilities = model (rank-weighted share of 4 majors)</t>
        </is>
      </c>
      <c r="S31" t="inlineStr">
        <is>
          <t>2026-10-08</t>
        </is>
      </c>
      <c r="T31" s="9" t="inlineStr">
        <is>
          <t>C</t>
        </is>
      </c>
      <c r="U31" t="inlineStr">
        <is>
          <t>[conf C: sd x1.25, p shrink 20%]</t>
        </is>
      </c>
      <c r="X31" s="16" t="inlineStr">
        <is>
          <t>Theo</t>
        </is>
      </c>
      <c r="Y31">
        <f>N31-IF(T31="C",Assumptions!$B$27,IF(T31="B",Assumptions!$B$26,0))</f>
        <v/>
      </c>
    </row>
    <row r="32">
      <c r="A32" t="inlineStr">
        <is>
          <t>Patrick Cantlay</t>
        </is>
      </c>
      <c r="B32" t="inlineStr">
        <is>
          <t>OWGR 28 (2026-10-08)</t>
        </is>
      </c>
      <c r="D32" t="n">
        <v>0.0336</v>
      </c>
      <c r="E32" t="n">
        <v>0.0304</v>
      </c>
      <c r="I32" t="n">
        <v>0.6264999999999999</v>
      </c>
      <c r="J32" t="n">
        <v>0.15</v>
      </c>
      <c r="K32" t="n">
        <v>2.086</v>
      </c>
      <c r="L32">
        <f>Assumptions!$B$22*N(D32)+Assumptions!$B$23*N(E32)</f>
        <v/>
      </c>
      <c r="M32">
        <f>K32+MIN(L32,Assumptions!$H$9)</f>
        <v/>
      </c>
      <c r="N32">
        <f>M32-Assumptions!$I$9</f>
        <v/>
      </c>
      <c r="O32">
        <f>N32-Assumptions!$B$25*Q32</f>
        <v/>
      </c>
      <c r="P32" t="n">
        <v>4</v>
      </c>
      <c r="Q32" t="n">
        <v>1.839</v>
      </c>
      <c r="R32" t="inlineStr">
        <is>
          <t>OWGR rank from league standings pull (A); major-win probabilities = model (rank-weighted share of 4 majors)</t>
        </is>
      </c>
      <c r="S32" t="inlineStr">
        <is>
          <t>2026-10-08</t>
        </is>
      </c>
      <c r="T32" s="9" t="inlineStr">
        <is>
          <t>C</t>
        </is>
      </c>
      <c r="U32" t="inlineStr">
        <is>
          <t>[conf C: sd x1.25, p shrink 20%]</t>
        </is>
      </c>
      <c r="X32" s="16" t="inlineStr">
        <is>
          <t>Todd</t>
        </is>
      </c>
      <c r="Y32">
        <f>N32-IF(T32="C",Assumptions!$B$27,IF(T32="B",Assumptions!$B$26,0))</f>
        <v/>
      </c>
    </row>
    <row r="33">
      <c r="A33" t="inlineStr">
        <is>
          <t>Patrick Reed</t>
        </is>
      </c>
      <c r="B33" t="inlineStr">
        <is>
          <t>OWGR 29 (2026-10-08)</t>
        </is>
      </c>
      <c r="D33" t="n">
        <v>0.0336</v>
      </c>
      <c r="E33" t="n">
        <v>0.0296</v>
      </c>
      <c r="I33" t="n">
        <v>0.613</v>
      </c>
      <c r="J33" t="n">
        <v>0.15</v>
      </c>
      <c r="K33" t="n">
        <v>1.989</v>
      </c>
      <c r="L33">
        <f>Assumptions!$B$22*N(D33)+Assumptions!$B$23*N(E33)</f>
        <v/>
      </c>
      <c r="M33">
        <f>K33+MIN(L33,Assumptions!$H$9)</f>
        <v/>
      </c>
      <c r="N33">
        <f>M33-Assumptions!$I$9</f>
        <v/>
      </c>
      <c r="O33">
        <f>N33-Assumptions!$B$25*Q33</f>
        <v/>
      </c>
      <c r="P33" t="n">
        <v>4</v>
      </c>
      <c r="Q33" t="n">
        <v>1.737</v>
      </c>
      <c r="R33" t="inlineStr">
        <is>
          <t>OWGR rank from league standings pull (A); major-win probabilities = model (rank-weighted share of 4 majors)</t>
        </is>
      </c>
      <c r="S33" t="inlineStr">
        <is>
          <t>2026-10-08</t>
        </is>
      </c>
      <c r="T33" s="9" t="inlineStr">
        <is>
          <t>C</t>
        </is>
      </c>
      <c r="U33" t="inlineStr">
        <is>
          <t>[conf C: sd x1.25, p shrink 20%]</t>
        </is>
      </c>
      <c r="Y33">
        <f>N33-IF(T33="C",Assumptions!$B$27,IF(T33="B",Assumptions!$B$26,0))</f>
        <v/>
      </c>
    </row>
    <row r="34">
      <c r="A34" t="inlineStr">
        <is>
          <t>Kristoffer Reitan</t>
        </is>
      </c>
      <c r="B34" t="inlineStr">
        <is>
          <t>OWGR 30 (2026-10-08)</t>
        </is>
      </c>
      <c r="D34" t="n">
        <v>0.0328</v>
      </c>
      <c r="E34" t="n">
        <v>0.0296</v>
      </c>
      <c r="I34" t="n">
        <v>0.5995</v>
      </c>
      <c r="J34" t="n">
        <v>0.15</v>
      </c>
      <c r="K34" t="n">
        <v>1.855</v>
      </c>
      <c r="L34">
        <f>Assumptions!$B$22*N(D34)+Assumptions!$B$23*N(E34)</f>
        <v/>
      </c>
      <c r="M34">
        <f>K34+MIN(L34,Assumptions!$H$9)</f>
        <v/>
      </c>
      <c r="N34">
        <f>M34-Assumptions!$I$9</f>
        <v/>
      </c>
      <c r="O34">
        <f>N34-Assumptions!$B$25*Q34</f>
        <v/>
      </c>
      <c r="P34" t="n">
        <v>4</v>
      </c>
      <c r="Q34" t="n">
        <v>1.597</v>
      </c>
      <c r="R34" t="inlineStr">
        <is>
          <t>OWGR rank from league standings pull (A); major-win probabilities = model (rank-weighted share of 4 majors)</t>
        </is>
      </c>
      <c r="S34" t="inlineStr">
        <is>
          <t>2026-10-08</t>
        </is>
      </c>
      <c r="T34" s="9" t="inlineStr">
        <is>
          <t>C</t>
        </is>
      </c>
      <c r="U34" t="inlineStr">
        <is>
          <t>[conf C: sd x1.25, p shrink 20%]</t>
        </is>
      </c>
      <c r="Y34">
        <f>N34-IF(T34="C",Assumptions!$B$27,IF(T34="B",Assumptions!$B$26,0))</f>
        <v/>
      </c>
    </row>
    <row r="35">
      <c r="A35" t="inlineStr">
        <is>
          <t>Min Woo Lee</t>
        </is>
      </c>
      <c r="B35" t="inlineStr">
        <is>
          <t>OWGR 31 (2026-10-08)</t>
        </is>
      </c>
      <c r="D35" t="n">
        <v>0.032</v>
      </c>
      <c r="E35" t="n">
        <v>0.0288</v>
      </c>
      <c r="I35" t="n">
        <v>0.586</v>
      </c>
      <c r="J35" t="n">
        <v>0.15</v>
      </c>
      <c r="K35" t="n">
        <v>1.762</v>
      </c>
      <c r="L35">
        <f>Assumptions!$B$22*N(D35)+Assumptions!$B$23*N(E35)</f>
        <v/>
      </c>
      <c r="M35">
        <f>K35+MIN(L35,Assumptions!$H$9)</f>
        <v/>
      </c>
      <c r="N35">
        <f>M35-Assumptions!$I$9</f>
        <v/>
      </c>
      <c r="O35">
        <f>N35-Assumptions!$B$25*Q35</f>
        <v/>
      </c>
      <c r="P35" t="n">
        <v>4</v>
      </c>
      <c r="Q35" t="n">
        <v>1.5</v>
      </c>
      <c r="R35" t="inlineStr">
        <is>
          <t>OWGR rank from league standings pull (A); major-win probabilities = model (rank-weighted share of 4 majors)</t>
        </is>
      </c>
      <c r="S35" t="inlineStr">
        <is>
          <t>2026-10-08</t>
        </is>
      </c>
      <c r="T35" s="9" t="inlineStr">
        <is>
          <t>C</t>
        </is>
      </c>
      <c r="U35" t="inlineStr">
        <is>
          <t>[conf C: sd x1.25, p shrink 20%]</t>
        </is>
      </c>
      <c r="Y35">
        <f>N35-IF(T35="C",Assumptions!$B$27,IF(T35="B",Assumptions!$B$26,0))</f>
        <v/>
      </c>
    </row>
    <row r="36">
      <c r="A36" t="inlineStr">
        <is>
          <t>Tom Kim</t>
        </is>
      </c>
      <c r="B36" t="inlineStr">
        <is>
          <t>OWGR 32 (2026-10-08)</t>
        </is>
      </c>
      <c r="D36" t="n">
        <v>0.032</v>
      </c>
      <c r="E36" t="n">
        <v>0.0288</v>
      </c>
      <c r="I36" t="n">
        <v>0.5725</v>
      </c>
      <c r="J36" t="n">
        <v>0.15</v>
      </c>
      <c r="K36" t="n">
        <v>1.704</v>
      </c>
      <c r="L36">
        <f>Assumptions!$B$22*N(D36)+Assumptions!$B$23*N(E36)</f>
        <v/>
      </c>
      <c r="M36">
        <f>K36+MIN(L36,Assumptions!$H$9)</f>
        <v/>
      </c>
      <c r="N36">
        <f>M36-Assumptions!$I$9</f>
        <v/>
      </c>
      <c r="O36">
        <f>N36-Assumptions!$B$25*Q36</f>
        <v/>
      </c>
      <c r="P36" t="n">
        <v>4</v>
      </c>
      <c r="Q36" t="n">
        <v>1.47</v>
      </c>
      <c r="R36" t="inlineStr">
        <is>
          <t>OWGR rank from league standings pull (A); major-win probabilities = model (rank-weighted share of 4 majors)</t>
        </is>
      </c>
      <c r="S36" t="inlineStr">
        <is>
          <t>2026-10-08</t>
        </is>
      </c>
      <c r="T36" s="9" t="inlineStr">
        <is>
          <t>C</t>
        </is>
      </c>
      <c r="U36" t="inlineStr">
        <is>
          <t>[conf C: sd x1.25, p shrink 20%]</t>
        </is>
      </c>
      <c r="Y36">
        <f>N36-IF(T36="C",Assumptions!$B$27,IF(T36="B",Assumptions!$B$26,0))</f>
        <v/>
      </c>
    </row>
    <row r="37">
      <c r="A37" t="inlineStr">
        <is>
          <t>Michael Brennan</t>
        </is>
      </c>
      <c r="B37" t="inlineStr">
        <is>
          <t>OWGR 33 (2026-10-08)</t>
        </is>
      </c>
      <c r="D37" t="n">
        <v>0.032</v>
      </c>
      <c r="E37" t="n">
        <v>0.0288</v>
      </c>
      <c r="I37" t="n">
        <v>0.5590000000000001</v>
      </c>
      <c r="J37" t="n">
        <v>0.15</v>
      </c>
      <c r="K37" t="n">
        <v>1.596</v>
      </c>
      <c r="L37">
        <f>Assumptions!$B$22*N(D37)+Assumptions!$B$23*N(E37)</f>
        <v/>
      </c>
      <c r="M37">
        <f>K37+MIN(L37,Assumptions!$H$9)</f>
        <v/>
      </c>
      <c r="N37">
        <f>M37-Assumptions!$I$9</f>
        <v/>
      </c>
      <c r="O37">
        <f>N37-Assumptions!$B$25*Q37</f>
        <v/>
      </c>
      <c r="P37" t="n">
        <v>4</v>
      </c>
      <c r="Q37" t="n">
        <v>1.32</v>
      </c>
      <c r="R37" t="inlineStr">
        <is>
          <t>OWGR rank from league standings pull (A); major-win probabilities = model (rank-weighted share of 4 majors)</t>
        </is>
      </c>
      <c r="S37" t="inlineStr">
        <is>
          <t>2026-10-08</t>
        </is>
      </c>
      <c r="T37" s="9" t="inlineStr">
        <is>
          <t>C</t>
        </is>
      </c>
      <c r="U37" t="inlineStr">
        <is>
          <t>[conf C: sd x1.25, p shrink 20%]</t>
        </is>
      </c>
      <c r="Y37">
        <f>N37-IF(T37="C",Assumptions!$B$27,IF(T37="B",Assumptions!$B$26,0))</f>
        <v/>
      </c>
    </row>
    <row r="38">
      <c r="A38" t="inlineStr">
        <is>
          <t>Akshay Bhatia</t>
        </is>
      </c>
      <c r="B38" t="inlineStr">
        <is>
          <t>OWGR 34 (2026-10-08)</t>
        </is>
      </c>
      <c r="D38" t="n">
        <v>0.0312</v>
      </c>
      <c r="E38" t="n">
        <v>0.028</v>
      </c>
      <c r="I38" t="n">
        <v>0.5455</v>
      </c>
      <c r="J38" t="n">
        <v>0.15</v>
      </c>
      <c r="K38" t="n">
        <v>1.526</v>
      </c>
      <c r="L38">
        <f>Assumptions!$B$22*N(D38)+Assumptions!$B$23*N(E38)</f>
        <v/>
      </c>
      <c r="M38">
        <f>K38+MIN(L38,Assumptions!$H$9)</f>
        <v/>
      </c>
      <c r="N38">
        <f>M38-Assumptions!$I$9</f>
        <v/>
      </c>
      <c r="O38">
        <f>N38-Assumptions!$B$25*Q38</f>
        <v/>
      </c>
      <c r="P38" t="n">
        <v>4</v>
      </c>
      <c r="Q38" t="n">
        <v>1.221</v>
      </c>
      <c r="R38" t="inlineStr">
        <is>
          <t>OWGR rank from league standings pull (A); major-win probabilities = model (rank-weighted share of 4 majors)</t>
        </is>
      </c>
      <c r="S38" t="inlineStr">
        <is>
          <t>2026-10-08</t>
        </is>
      </c>
      <c r="T38" s="9" t="inlineStr">
        <is>
          <t>C</t>
        </is>
      </c>
      <c r="U38" t="inlineStr">
        <is>
          <t>[conf C: sd x1.25, p shrink 20%]</t>
        </is>
      </c>
      <c r="Y38">
        <f>N38-IF(T38="C",Assumptions!$B$27,IF(T38="B",Assumptions!$B$26,0))</f>
        <v/>
      </c>
    </row>
    <row r="39">
      <c r="A39" t="inlineStr">
        <is>
          <t>Joaquin Niemann</t>
        </is>
      </c>
      <c r="B39" t="inlineStr">
        <is>
          <t>OWGR 35 (2026-10-08)</t>
        </is>
      </c>
      <c r="D39" t="n">
        <v>0.0312</v>
      </c>
      <c r="E39" t="n">
        <v>0.028</v>
      </c>
      <c r="I39" t="n">
        <v>0.532</v>
      </c>
      <c r="J39" t="n">
        <v>0.15</v>
      </c>
      <c r="K39" t="n">
        <v>1.456</v>
      </c>
      <c r="L39">
        <f>Assumptions!$B$22*N(D39)+Assumptions!$B$23*N(E39)</f>
        <v/>
      </c>
      <c r="M39">
        <f>K39+MIN(L39,Assumptions!$H$9)</f>
        <v/>
      </c>
      <c r="N39">
        <f>M39-Assumptions!$I$9</f>
        <v/>
      </c>
      <c r="O39">
        <f>N39-Assumptions!$B$25*Q39</f>
        <v/>
      </c>
      <c r="P39" t="n">
        <v>4</v>
      </c>
      <c r="Q39" t="n">
        <v>1.125</v>
      </c>
      <c r="R39" t="inlineStr">
        <is>
          <t>OWGR rank from league standings pull (A); major-win probabilities = model (rank-weighted share of 4 majors)</t>
        </is>
      </c>
      <c r="S39" t="inlineStr">
        <is>
          <t>2026-10-08</t>
        </is>
      </c>
      <c r="T39" s="9" t="inlineStr">
        <is>
          <t>C</t>
        </is>
      </c>
      <c r="U39" t="inlineStr">
        <is>
          <t>[conf C: sd x1.25, p shrink 20%]</t>
        </is>
      </c>
      <c r="Y39">
        <f>N39-IF(T39="C",Assumptions!$B$27,IF(T39="B",Assumptions!$B$26,0))</f>
        <v/>
      </c>
    </row>
    <row r="40">
      <c r="A40" t="inlineStr">
        <is>
          <t>Sepp Straka</t>
        </is>
      </c>
      <c r="B40" t="inlineStr">
        <is>
          <t>OWGR 36 (2026-10-08)</t>
        </is>
      </c>
      <c r="D40" t="n">
        <v>0.0312</v>
      </c>
      <c r="E40" t="n">
        <v>0.028</v>
      </c>
      <c r="I40" t="n">
        <v>0.5185</v>
      </c>
      <c r="J40" t="n">
        <v>0.15</v>
      </c>
      <c r="K40" t="n">
        <v>1.437</v>
      </c>
      <c r="L40">
        <f>Assumptions!$B$22*N(D40)+Assumptions!$B$23*N(E40)</f>
        <v/>
      </c>
      <c r="M40">
        <f>K40+MIN(L40,Assumptions!$H$9)</f>
        <v/>
      </c>
      <c r="N40">
        <f>M40-Assumptions!$I$9</f>
        <v/>
      </c>
      <c r="O40">
        <f>N40-Assumptions!$B$25*Q40</f>
        <v/>
      </c>
      <c r="P40" t="n">
        <v>4</v>
      </c>
      <c r="Q40" t="n">
        <v>1.113</v>
      </c>
      <c r="R40" t="inlineStr">
        <is>
          <t>OWGR rank from league standings pull (A); major-win probabilities = model (rank-weighted share of 4 majors)</t>
        </is>
      </c>
      <c r="S40" t="inlineStr">
        <is>
          <t>2026-10-08</t>
        </is>
      </c>
      <c r="T40" s="9" t="inlineStr">
        <is>
          <t>C</t>
        </is>
      </c>
      <c r="U40" t="inlineStr">
        <is>
          <t>[conf C: sd x1.25, p shrink 20%]</t>
        </is>
      </c>
      <c r="Y40">
        <f>N40-IF(T40="C",Assumptions!$B$27,IF(T40="B",Assumptions!$B$26,0))</f>
        <v/>
      </c>
    </row>
    <row r="41">
      <c r="A41" t="inlineStr">
        <is>
          <t>Bryson DeChambeau</t>
        </is>
      </c>
      <c r="B41" t="inlineStr">
        <is>
          <t>OWGR 37 (2026-10-08)</t>
        </is>
      </c>
      <c r="D41" t="n">
        <v>0.0312</v>
      </c>
      <c r="E41" t="n">
        <v>0.028</v>
      </c>
      <c r="I41" t="n">
        <v>0.505</v>
      </c>
      <c r="J41" t="n">
        <v>0.15</v>
      </c>
      <c r="K41" t="n">
        <v>1.346</v>
      </c>
      <c r="L41">
        <f>Assumptions!$B$22*N(D41)+Assumptions!$B$23*N(E41)</f>
        <v/>
      </c>
      <c r="M41">
        <f>K41+MIN(L41,Assumptions!$H$9)</f>
        <v/>
      </c>
      <c r="N41">
        <f>M41-Assumptions!$I$9</f>
        <v/>
      </c>
      <c r="O41">
        <f>N41-Assumptions!$B$25*Q41</f>
        <v/>
      </c>
      <c r="P41" t="n">
        <v>4</v>
      </c>
      <c r="Q41" t="n">
        <v>0.977</v>
      </c>
      <c r="R41" t="inlineStr">
        <is>
          <t>OWGR rank from league standings pull (A); major-win probabilities = model (rank-weighted share of 4 majors)</t>
        </is>
      </c>
      <c r="S41" t="inlineStr">
        <is>
          <t>2026-10-08</t>
        </is>
      </c>
      <c r="T41" s="9" t="inlineStr">
        <is>
          <t>C</t>
        </is>
      </c>
      <c r="U41" t="inlineStr">
        <is>
          <t>LIV. +1400 Masters 2027  [conf C: sd x1.25, p shrink 20%]</t>
        </is>
      </c>
      <c r="X41" s="16" t="inlineStr">
        <is>
          <t>Feder</t>
        </is>
      </c>
      <c r="Y41">
        <f>N41-IF(T41="C",Assumptions!$B$27,IF(T41="B",Assumptions!$B$26,0))</f>
        <v/>
      </c>
    </row>
    <row r="42">
      <c r="A42" t="inlineStr">
        <is>
          <t>J.T. Poston</t>
        </is>
      </c>
      <c r="B42" t="inlineStr">
        <is>
          <t>OWGR 38 (2026-10-08)</t>
        </is>
      </c>
      <c r="D42" t="n">
        <v>0.0304</v>
      </c>
      <c r="E42" t="n">
        <v>0.028</v>
      </c>
      <c r="I42" t="n">
        <v>0.4915</v>
      </c>
      <c r="J42" t="n">
        <v>0.15</v>
      </c>
      <c r="K42" t="n">
        <v>1.301</v>
      </c>
      <c r="L42">
        <f>Assumptions!$B$22*N(D42)+Assumptions!$B$23*N(E42)</f>
        <v/>
      </c>
      <c r="M42">
        <f>K42+MIN(L42,Assumptions!$H$9)</f>
        <v/>
      </c>
      <c r="N42">
        <f>M42-Assumptions!$I$9</f>
        <v/>
      </c>
      <c r="O42">
        <f>N42-Assumptions!$B$25*Q42</f>
        <v/>
      </c>
      <c r="P42" t="n">
        <v>4</v>
      </c>
      <c r="Q42" t="n">
        <v>0.875</v>
      </c>
      <c r="R42" t="inlineStr">
        <is>
          <t>OWGR rank from league standings pull (A); major-win probabilities = model (rank-weighted share of 4 majors)</t>
        </is>
      </c>
      <c r="S42" t="inlineStr">
        <is>
          <t>2026-10-08</t>
        </is>
      </c>
      <c r="T42" s="9" t="inlineStr">
        <is>
          <t>C</t>
        </is>
      </c>
      <c r="U42" t="inlineStr">
        <is>
          <t>[conf C: sd x1.25, p shrink 20%]</t>
        </is>
      </c>
      <c r="Y42">
        <f>N42-IF(T42="C",Assumptions!$B$27,IF(T42="B",Assumptions!$B$26,0))</f>
        <v/>
      </c>
    </row>
    <row r="43">
      <c r="A43" t="inlineStr">
        <is>
          <t>Shane Lowry</t>
        </is>
      </c>
      <c r="B43" t="inlineStr">
        <is>
          <t>OWGR 39 (2026-10-08)</t>
        </is>
      </c>
      <c r="D43" t="n">
        <v>0.0304</v>
      </c>
      <c r="E43" t="n">
        <v>0.028</v>
      </c>
      <c r="I43" t="n">
        <v>0.478</v>
      </c>
      <c r="J43" t="n">
        <v>0.15</v>
      </c>
      <c r="K43" t="n">
        <v>1.262</v>
      </c>
      <c r="L43">
        <f>Assumptions!$B$22*N(D43)+Assumptions!$B$23*N(E43)</f>
        <v/>
      </c>
      <c r="M43">
        <f>K43+MIN(L43,Assumptions!$H$9)</f>
        <v/>
      </c>
      <c r="N43">
        <f>M43-Assumptions!$I$9</f>
        <v/>
      </c>
      <c r="O43">
        <f>N43-Assumptions!$B$25*Q43</f>
        <v/>
      </c>
      <c r="P43" t="n">
        <v>4</v>
      </c>
      <c r="Q43" t="n">
        <v>0.788</v>
      </c>
      <c r="R43" t="inlineStr">
        <is>
          <t>OWGR rank from league standings pull (A); major-win probabilities = model (rank-weighted share of 4 majors)</t>
        </is>
      </c>
      <c r="S43" t="inlineStr">
        <is>
          <t>2026-10-08</t>
        </is>
      </c>
      <c r="T43" s="9" t="inlineStr">
        <is>
          <t>C</t>
        </is>
      </c>
      <c r="U43" t="inlineStr">
        <is>
          <t>[conf C: sd x1.25, p shrink 20%]</t>
        </is>
      </c>
      <c r="Y43">
        <f>N43-IF(T43="C",Assumptions!$B$27,IF(T43="B",Assumptions!$B$26,0))</f>
        <v/>
      </c>
    </row>
    <row r="44">
      <c r="A44" t="inlineStr">
        <is>
          <t>Michael Thorbjornsen</t>
        </is>
      </c>
      <c r="B44" t="inlineStr">
        <is>
          <t>OWGR 40 (2026-10-08)</t>
        </is>
      </c>
      <c r="D44" t="n">
        <v>0.0304</v>
      </c>
      <c r="E44" t="n">
        <v>0.0272</v>
      </c>
      <c r="I44" t="n">
        <v>0.4645</v>
      </c>
      <c r="J44" t="n">
        <v>0.15</v>
      </c>
      <c r="K44" t="n">
        <v>1.233</v>
      </c>
      <c r="L44">
        <f>Assumptions!$B$22*N(D44)+Assumptions!$B$23*N(E44)</f>
        <v/>
      </c>
      <c r="M44">
        <f>K44+MIN(L44,Assumptions!$H$9)</f>
        <v/>
      </c>
      <c r="N44">
        <f>M44-Assumptions!$I$9</f>
        <v/>
      </c>
      <c r="O44">
        <f>N44-Assumptions!$B$25*Q44</f>
        <v/>
      </c>
      <c r="P44" t="n">
        <v>4</v>
      </c>
      <c r="Q44" t="n">
        <v>0.791</v>
      </c>
      <c r="R44" t="inlineStr">
        <is>
          <t>OWGR rank from league standings pull (A); major-win probabilities = model (rank-weighted share of 4 majors)</t>
        </is>
      </c>
      <c r="S44" t="inlineStr">
        <is>
          <t>2026-10-08</t>
        </is>
      </c>
      <c r="T44" s="9" t="inlineStr">
        <is>
          <t>C</t>
        </is>
      </c>
      <c r="U44" t="inlineStr">
        <is>
          <t>[conf C: sd x1.25, p shrink 20%]</t>
        </is>
      </c>
      <c r="Y44">
        <f>N44-IF(T44="C",Assumptions!$B$27,IF(T44="B",Assumptions!$B$26,0))</f>
        <v/>
      </c>
    </row>
    <row r="46">
      <c r="A46" s="8" t="inlineStr">
        <is>
          <t>Replacement-level EV (Nth best)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Y3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36" customWidth="1" min="2" max="2"/>
    <col width="22" customWidth="1" min="3" max="3"/>
    <col width="11" customWidth="1" min="4" max="4"/>
    <col width="11" customWidth="1" min="5" max="5"/>
    <col width="11" customWidth="1" min="6" max="6"/>
    <col width="11" customWidth="1" min="7" max="7"/>
    <col width="11" customWidth="1" min="8" max="8"/>
    <col width="9" customWidth="1" min="9" max="9"/>
    <col width="9" customWidth="1" min="10" max="10"/>
    <col width="11" customWidth="1" min="11" max="11"/>
    <col width="10" customWidth="1" min="12" max="12"/>
    <col width="10" customWidth="1" min="13" max="13"/>
    <col width="9" customWidth="1" min="14" max="14"/>
    <col width="11" customWidth="1" min="15" max="15"/>
    <col width="6" customWidth="1" min="16" max="16"/>
    <col width="9" customWidth="1" min="17" max="17"/>
    <col width="38" customWidth="1" min="18" max="18"/>
    <col width="11" customWidth="1" min="19" max="19"/>
    <col width="6" customWidth="1" min="20" max="20"/>
    <col width="60" customWidth="1" min="21" max="21"/>
    <col width="12" customWidth="1" min="22" max="22"/>
    <col width="9" customWidth="1" min="23" max="23"/>
    <col width="11" customWidth="1" min="24" max="24"/>
    <col width="11" customWidth="1" min="25" max="25"/>
  </cols>
  <sheetData>
    <row r="1">
      <c r="A1" s="18" t="inlineStr">
        <is>
          <t>NASCAR — 2027 draft research (EV model; see README)</t>
        </is>
      </c>
    </row>
    <row r="2">
      <c r="A2" t="inlineStr">
        <is>
          <t>As of 2026-10-22. Sorted by E[total]. Yellow = inferred / low-confidence (C).</t>
        </is>
      </c>
    </row>
    <row r="4">
      <c r="A4" s="7" t="inlineStr">
        <is>
          <t>Candidate</t>
        </is>
      </c>
      <c r="B4" s="7" t="inlineStr">
        <is>
          <t>Detail</t>
        </is>
      </c>
      <c r="C4" s="7" t="inlineStr">
        <is>
          <t>Odds / price</t>
        </is>
      </c>
      <c r="D4" s="7" t="inlineStr">
        <is>
          <t>p(champ)</t>
        </is>
      </c>
      <c r="E4" s="7" t="inlineStr">
        <is>
          <t>p(top 5)</t>
        </is>
      </c>
      <c r="F4" s="7" t="inlineStr"/>
      <c r="G4" s="7" t="inlineStr"/>
      <c r="H4" s="7" t="inlineStr"/>
      <c r="I4" s="7" t="inlineStr">
        <is>
          <t>mu</t>
        </is>
      </c>
      <c r="J4" s="7" t="inlineStr">
        <is>
          <t>sd</t>
        </is>
      </c>
      <c r="K4" s="7" t="inlineStr">
        <is>
          <t>E[rank pts] (MC)</t>
        </is>
      </c>
      <c r="L4" s="7" t="inlineStr">
        <is>
          <t>E[bonus]</t>
        </is>
      </c>
      <c r="M4" s="7" t="inlineStr">
        <is>
          <t>E[total]</t>
        </is>
      </c>
      <c r="N4" s="7" t="inlineStr">
        <is>
          <t>VOR</t>
        </is>
      </c>
      <c r="O4" s="7" t="inlineStr">
        <is>
          <t>Risk-adj VOR</t>
        </is>
      </c>
      <c r="P4" s="7" t="inlineStr">
        <is>
          <t>Tier</t>
        </is>
      </c>
      <c r="Q4" s="7" t="inlineStr">
        <is>
          <t>SD rank pts</t>
        </is>
      </c>
      <c r="R4" s="7" t="inlineStr">
        <is>
          <t>Source</t>
        </is>
      </c>
      <c r="S4" s="7" t="inlineStr">
        <is>
          <t>As of</t>
        </is>
      </c>
      <c r="T4" s="7" t="inlineStr">
        <is>
          <t>Conf</t>
        </is>
      </c>
      <c r="U4" s="7" t="inlineStr">
        <is>
          <t>Notes</t>
        </is>
      </c>
      <c r="V4" s="7" t="inlineStr">
        <is>
          <t>Field draft score</t>
        </is>
      </c>
      <c r="W4" s="7" t="inlineStr">
        <is>
          <t>Field rank</t>
        </is>
      </c>
      <c r="X4" s="7" t="inlineStr">
        <is>
          <t>Owner</t>
        </is>
      </c>
      <c r="Y4" s="7" t="inlineStr">
        <is>
          <t>Conf-adj VOR</t>
        </is>
      </c>
    </row>
    <row r="5">
      <c r="A5" s="9" t="inlineStr">
        <is>
          <t>Kyle Larson</t>
        </is>
      </c>
      <c r="B5" t="inlineStr">
        <is>
          <t>2,318 pts, leads Chase after Las Vegas</t>
        </is>
      </c>
      <c r="C5" t="inlineStr">
        <is>
          <t>2026 title: Kalshi 42.0%</t>
        </is>
      </c>
      <c r="D5" t="n">
        <v>0.2602</v>
      </c>
      <c r="E5" t="n">
        <v>0.5366</v>
      </c>
      <c r="I5" t="n">
        <v>0.7776999999999999</v>
      </c>
      <c r="J5" t="n">
        <v>0.3</v>
      </c>
      <c r="K5" t="n">
        <v>9.917</v>
      </c>
      <c r="L5">
        <f>13*N(D5)+MAX(N(E5)-N(D5),0)*Assumptions!$B$24</f>
        <v/>
      </c>
      <c r="M5">
        <f>K5+MIN(L5,Assumptions!$H$10)</f>
        <v/>
      </c>
      <c r="N5">
        <f>M5-Assumptions!$I$10</f>
        <v/>
      </c>
      <c r="O5">
        <f>N5-Assumptions!$B$25*Q5</f>
        <v/>
      </c>
      <c r="P5" t="n">
        <v>1</v>
      </c>
      <c r="Q5" t="n">
        <v>3.108</v>
      </c>
      <c r="R5" t="inlineStr">
        <is>
          <t>User-supplied final Cup standings 2021-2026(proj.), recency-weighted (decay 0.65/yr, nascar_model.py) for drivers in the table; others = field prior blended with 2026 Kalshi title price (shrunk). No 2027 market exists.</t>
        </is>
      </c>
      <c r="S5" t="inlineStr">
        <is>
          <t>2026-10-08</t>
        </is>
      </c>
      <c r="T5" s="9" t="inlineStr">
        <is>
          <t>C</t>
        </is>
      </c>
      <c r="U5" t="inlineStr">
        <is>
          <t>Top-5 finishes: 2021 (1st) • 2023 (2nd) • 2025 (1st) • 2026 (1st) | recency-weighted score 9.6 [v2 certainty adj: sd x2.0, mu shrink 40%, p shrink 30%]</t>
        </is>
      </c>
      <c r="X5" s="16" t="inlineStr">
        <is>
          <t>Molmen</t>
        </is>
      </c>
      <c r="Y5">
        <f>N5-IF(T5="C",Assumptions!$B$27,IF(T5="B",Assumptions!$B$26,0))</f>
        <v/>
      </c>
    </row>
    <row r="6">
      <c r="A6" s="9" t="inlineStr">
        <is>
          <t>Denny Hamlin</t>
        </is>
      </c>
      <c r="B6" t="inlineStr">
        <is>
          <t>2,278 pts (2nd)</t>
        </is>
      </c>
      <c r="C6" t="inlineStr">
        <is>
          <t>2026 title: Kalshi 28.0%</t>
        </is>
      </c>
      <c r="D6" t="n">
        <v>0.06569999999999999</v>
      </c>
      <c r="E6" t="n">
        <v>0.5766</v>
      </c>
      <c r="I6" t="n">
        <v>0.7195</v>
      </c>
      <c r="J6" t="n">
        <v>0.3</v>
      </c>
      <c r="K6" t="n">
        <v>9.362</v>
      </c>
      <c r="L6">
        <f>13*N(D6)+MAX(N(E6)-N(D6),0)*Assumptions!$B$24</f>
        <v/>
      </c>
      <c r="M6">
        <f>K6+MIN(L6,Assumptions!$H$10)</f>
        <v/>
      </c>
      <c r="N6">
        <f>M6-Assumptions!$I$10</f>
        <v/>
      </c>
      <c r="O6">
        <f>N6-Assumptions!$B$25*Q6</f>
        <v/>
      </c>
      <c r="P6" t="n">
        <v>1</v>
      </c>
      <c r="Q6" t="n">
        <v>3.257</v>
      </c>
      <c r="R6" t="inlineStr">
        <is>
          <t>User-supplied final Cup standings 2021-2026(proj.), recency-weighted (decay 0.65/yr, nascar_model.py) for drivers in the table; others = field prior blended with 2026 Kalshi title price (shrunk). No 2027 market exists.</t>
        </is>
      </c>
      <c r="S6" t="inlineStr">
        <is>
          <t>2026-10-08</t>
        </is>
      </c>
      <c r="T6" s="9" t="inlineStr">
        <is>
          <t>C</t>
        </is>
      </c>
      <c r="U6" t="inlineStr">
        <is>
          <t>Top-5 finishes: 2021 (3rd) • 2022 (5th) • 2023 (5th) • 2025 (2nd) • 2026 (2nd) | recency-weighted score 6.3 [v2 certainty adj: sd x2.0, mu shrink 40%, p shrink 30%]</t>
        </is>
      </c>
      <c r="X6" s="16" t="inlineStr">
        <is>
          <t>Theo</t>
        </is>
      </c>
      <c r="Y6">
        <f>N6-IF(T6="C",Assumptions!$B$27,IF(T6="B",Assumptions!$B$26,0))</f>
        <v/>
      </c>
    </row>
    <row r="7">
      <c r="A7" s="9" t="inlineStr">
        <is>
          <t>Christopher Bell</t>
        </is>
      </c>
      <c r="B7" t="inlineStr">
        <is>
          <t>2,263 pts (3rd)</t>
        </is>
      </c>
      <c r="C7" t="inlineStr">
        <is>
          <t>2026 title: Kalshi 10.5%</t>
        </is>
      </c>
      <c r="D7" t="n">
        <v>0.0726</v>
      </c>
      <c r="E7" t="n">
        <v>0.6454</v>
      </c>
      <c r="I7" t="n">
        <v>0.5755</v>
      </c>
      <c r="J7" t="n">
        <v>0.3</v>
      </c>
      <c r="K7" t="n">
        <v>7.65</v>
      </c>
      <c r="L7">
        <f>13*N(D7)+MAX(N(E7)-N(D7),0)*Assumptions!$B$24</f>
        <v/>
      </c>
      <c r="M7">
        <f>K7+MIN(L7,Assumptions!$H$10)</f>
        <v/>
      </c>
      <c r="N7">
        <f>M7-Assumptions!$I$10</f>
        <v/>
      </c>
      <c r="O7">
        <f>N7-Assumptions!$B$25*Q7</f>
        <v/>
      </c>
      <c r="P7" t="n">
        <v>1</v>
      </c>
      <c r="Q7" t="n">
        <v>3.567</v>
      </c>
      <c r="R7" t="inlineStr">
        <is>
          <t>User-supplied final Cup standings 2021-2026(proj.), recency-weighted (decay 0.65/yr, nascar_model.py) for drivers in the table; others = field prior blended with 2026 Kalshi title price (shrunk). No 2027 market exists.</t>
        </is>
      </c>
      <c r="S7" t="inlineStr">
        <is>
          <t>2026-10-08</t>
        </is>
      </c>
      <c r="T7" s="9" t="inlineStr">
        <is>
          <t>C</t>
        </is>
      </c>
      <c r="U7" t="inlineStr">
        <is>
          <t>Top-5 finishes: 2022 (3rd) • 2023 (4th) • 2024 (5th) • 2025 (5th) • 2026 (3rd) | recency-weighted score 4.3 [v2 certainty adj: sd x2.0, mu shrink 40%, p shrink 30%]</t>
        </is>
      </c>
      <c r="X7" s="16" t="inlineStr">
        <is>
          <t>Wu</t>
        </is>
      </c>
      <c r="Y7">
        <f>N7-IF(T7="C",Assumptions!$B$27,IF(T7="B",Assumptions!$B$26,0))</f>
        <v/>
      </c>
    </row>
    <row r="8">
      <c r="A8" s="17" t="inlineStr">
        <is>
          <t>Joey Logano</t>
        </is>
      </c>
      <c r="B8" t="inlineStr">
        <is>
          <t>2,247 pts (4th)</t>
        </is>
      </c>
      <c r="C8" t="inlineStr">
        <is>
          <t>2026 title: Kalshi 5.5%</t>
        </is>
      </c>
      <c r="D8" t="n">
        <v>0.1194</v>
      </c>
      <c r="E8" t="n">
        <v>0.438</v>
      </c>
      <c r="I8" t="n">
        <v>0.5461</v>
      </c>
      <c r="J8" t="n">
        <v>0.3</v>
      </c>
      <c r="K8" t="n">
        <v>7.384</v>
      </c>
      <c r="L8">
        <f>13*N(D8)+MAX(N(E8)-N(D8),0)*Assumptions!$B$24</f>
        <v/>
      </c>
      <c r="M8">
        <f>K8+MIN(L8,Assumptions!$H$10)</f>
        <v/>
      </c>
      <c r="N8">
        <f>M8-Assumptions!$I$10</f>
        <v/>
      </c>
      <c r="O8">
        <f>N8-Assumptions!$B$25*Q8</f>
        <v/>
      </c>
      <c r="P8" t="n">
        <v>2</v>
      </c>
      <c r="Q8" t="n">
        <v>3.633</v>
      </c>
      <c r="R8" t="inlineStr">
        <is>
          <t>User-supplied final Cup standings 2021-2026(proj.), recency-weighted (decay 0.65/yr, nascar_model.py) for drivers in the table; others = field prior blended with 2026 Kalshi title price (shrunk). No 2027 market exists.</t>
        </is>
      </c>
      <c r="S8" t="inlineStr">
        <is>
          <t>2026-10-08</t>
        </is>
      </c>
      <c r="T8" s="9" t="inlineStr">
        <is>
          <t>C</t>
        </is>
      </c>
      <c r="U8" t="inlineStr">
        <is>
          <t>Top-5 finishes: 2022 (1st) • 2024 (1st) • 2026 (4th) | recency-weighted score 4.5 [v2 certainty adj: sd x2.0, mu shrink 40%, p shrink 30%]</t>
        </is>
      </c>
      <c r="X8" s="16" t="inlineStr">
        <is>
          <t>Jamzee</t>
        </is>
      </c>
      <c r="Y8">
        <f>N8-IF(T8="C",Assumptions!$B$27,IF(T8="B",Assumptions!$B$26,0))</f>
        <v/>
      </c>
    </row>
    <row r="9">
      <c r="A9" s="17" t="inlineStr">
        <is>
          <t>Ryan Blaney</t>
        </is>
      </c>
      <c r="B9" t="inlineStr">
        <is>
          <t>2,238 pts (5th)</t>
        </is>
      </c>
      <c r="C9" t="inlineStr">
        <is>
          <t>2026 title: Kalshi 5.5%</t>
        </is>
      </c>
      <c r="D9" t="n">
        <v>0.0848</v>
      </c>
      <c r="E9" t="n">
        <v>0.4595</v>
      </c>
      <c r="I9" t="n">
        <v>0.5335</v>
      </c>
      <c r="J9" t="n">
        <v>0.3</v>
      </c>
      <c r="K9" t="n">
        <v>7.127</v>
      </c>
      <c r="L9">
        <f>13*N(D9)+MAX(N(E9)-N(D9),0)*Assumptions!$B$24</f>
        <v/>
      </c>
      <c r="M9">
        <f>K9+MIN(L9,Assumptions!$H$10)</f>
        <v/>
      </c>
      <c r="N9">
        <f>M9-Assumptions!$I$10</f>
        <v/>
      </c>
      <c r="O9">
        <f>N9-Assumptions!$B$25*Q9</f>
        <v/>
      </c>
      <c r="P9" t="n">
        <v>2</v>
      </c>
      <c r="Q9" t="n">
        <v>3.624</v>
      </c>
      <c r="R9" t="inlineStr">
        <is>
          <t>User-supplied final Cup standings 2021-2026(proj.), recency-weighted (decay 0.65/yr, nascar_model.py) for drivers in the table; others = field prior blended with 2026 Kalshi title price (shrunk). No 2027 market exists.</t>
        </is>
      </c>
      <c r="S9" t="inlineStr">
        <is>
          <t>2026-10-08</t>
        </is>
      </c>
      <c r="T9" s="9" t="inlineStr">
        <is>
          <t>C</t>
        </is>
      </c>
      <c r="U9" t="inlineStr">
        <is>
          <t>Top-5 finishes: 2023 (1st) • 2024 (2nd) • 2026 (5th) | recency-weighted score 3.7 [v2 certainty adj: sd x2.0, mu shrink 40%, p shrink 30%]</t>
        </is>
      </c>
      <c r="X9" s="16" t="inlineStr">
        <is>
          <t>Fryar</t>
        </is>
      </c>
      <c r="Y9">
        <f>N9-IF(T9="C",Assumptions!$B$27,IF(T9="B",Assumptions!$B$26,0))</f>
        <v/>
      </c>
    </row>
    <row r="10">
      <c r="A10" s="17" t="inlineStr">
        <is>
          <t>William Byron</t>
        </is>
      </c>
      <c r="B10" t="inlineStr">
        <is>
          <t>2026 Cup Series</t>
        </is>
      </c>
      <c r="C10" t="inlineStr">
        <is>
          <t>2026 title: Kalshi 0.5%</t>
        </is>
      </c>
      <c r="D10" t="n">
        <v>0.0461</v>
      </c>
      <c r="E10" t="n">
        <v>0.3811</v>
      </c>
      <c r="I10" t="n">
        <v>0.4831</v>
      </c>
      <c r="J10" t="n">
        <v>0.3</v>
      </c>
      <c r="K10" t="n">
        <v>6.652</v>
      </c>
      <c r="L10">
        <f>13*N(D10)+MAX(N(E10)-N(D10),0)*Assumptions!$B$24</f>
        <v/>
      </c>
      <c r="M10">
        <f>K10+MIN(L10,Assumptions!$H$10)</f>
        <v/>
      </c>
      <c r="N10">
        <f>M10-Assumptions!$I$10</f>
        <v/>
      </c>
      <c r="O10">
        <f>N10-Assumptions!$B$25*Q10</f>
        <v/>
      </c>
      <c r="P10" t="n">
        <v>2</v>
      </c>
      <c r="Q10" t="n">
        <v>3.643</v>
      </c>
      <c r="R10" t="inlineStr">
        <is>
          <t>User-supplied final Cup standings 2021-2026(proj.), recency-weighted (decay 0.65/yr, nascar_model.py) for drivers in the table; others = field prior blended with 2026 Kalshi title price (shrunk). No 2027 market exists.</t>
        </is>
      </c>
      <c r="S10" t="inlineStr">
        <is>
          <t>2026-10-08</t>
        </is>
      </c>
      <c r="T10" s="9" t="inlineStr">
        <is>
          <t>C</t>
        </is>
      </c>
      <c r="U10" t="inlineStr">
        <is>
          <t>Top-5 finishes: 2023 (3rd) • 2024 (3rd) • 2025 (4th) | recency-weighted score 2.7 [v2 certainty adj: sd x2.0, mu shrink 40%, p shrink 30%]</t>
        </is>
      </c>
      <c r="X10" s="16" t="inlineStr">
        <is>
          <t>Korch</t>
        </is>
      </c>
      <c r="Y10">
        <f>N10-IF(T10="C",Assumptions!$B$27,IF(T10="B",Assumptions!$B$26,0))</f>
        <v/>
      </c>
    </row>
    <row r="11">
      <c r="A11" s="17" t="inlineStr">
        <is>
          <t>Chase Briscoe</t>
        </is>
      </c>
      <c r="B11" t="inlineStr">
        <is>
          <t>2 wins incl. Las Vegas; 6th</t>
        </is>
      </c>
      <c r="C11" t="inlineStr">
        <is>
          <t>2026 title: Kalshi 3.5%</t>
        </is>
      </c>
      <c r="D11" t="n">
        <v>0.0181</v>
      </c>
      <c r="E11" t="n">
        <v>0.1</v>
      </c>
      <c r="I11" t="n">
        <v>0.4729</v>
      </c>
      <c r="J11" t="n">
        <v>0.3</v>
      </c>
      <c r="K11" t="n">
        <v>6.451</v>
      </c>
      <c r="L11">
        <f>13*N(D11)+MAX(N(E11)-N(D11),0)*Assumptions!$B$24</f>
        <v/>
      </c>
      <c r="M11">
        <f>K11+MIN(L11,Assumptions!$H$10)</f>
        <v/>
      </c>
      <c r="N11">
        <f>M11-Assumptions!$I$10</f>
        <v/>
      </c>
      <c r="O11">
        <f>N11-Assumptions!$B$25*Q11</f>
        <v/>
      </c>
      <c r="P11" t="n">
        <v>2</v>
      </c>
      <c r="Q11" t="n">
        <v>3.611</v>
      </c>
      <c r="R11" t="inlineStr">
        <is>
          <t>User-supplied final Cup standings 2021-2026(proj.), recency-weighted (decay 0.65/yr, nascar_model.py) for drivers in the table; others = field prior blended with 2026 Kalshi title price (shrunk). No 2027 market exists.</t>
        </is>
      </c>
      <c r="S11" t="inlineStr">
        <is>
          <t>2026-10-08</t>
        </is>
      </c>
      <c r="T11" s="9" t="inlineStr">
        <is>
          <t>C</t>
        </is>
      </c>
      <c r="U11" t="inlineStr">
        <is>
          <t>No 2027 title market yet [v2 certainty adj: sd x2.0, mu shrink 40%, p shrink 30%]</t>
        </is>
      </c>
      <c r="X11" s="16" t="inlineStr">
        <is>
          <t>Jens</t>
        </is>
      </c>
      <c r="Y11">
        <f>N11-IF(T11="C",Assumptions!$B$27,IF(T11="B",Assumptions!$B$26,0))</f>
        <v/>
      </c>
    </row>
    <row r="12">
      <c r="A12" s="19" t="inlineStr">
        <is>
          <t>Chase Elliott</t>
        </is>
      </c>
      <c r="B12" t="inlineStr">
        <is>
          <t>2026 Cup Series</t>
        </is>
      </c>
      <c r="C12" t="inlineStr">
        <is>
          <t>2026 title: Kalshi 1.0%</t>
        </is>
      </c>
      <c r="D12" t="n">
        <v>0.0224</v>
      </c>
      <c r="E12" t="n">
        <v>0.145</v>
      </c>
      <c r="I12" t="n">
        <v>0.4465</v>
      </c>
      <c r="J12" t="n">
        <v>0.3</v>
      </c>
      <c r="K12" t="n">
        <v>6.169</v>
      </c>
      <c r="L12">
        <f>13*N(D12)+MAX(N(E12)-N(D12),0)*Assumptions!$B$24</f>
        <v/>
      </c>
      <c r="M12">
        <f>K12+MIN(L12,Assumptions!$H$10)</f>
        <v/>
      </c>
      <c r="N12">
        <f>M12-Assumptions!$I$10</f>
        <v/>
      </c>
      <c r="O12">
        <f>N12-Assumptions!$B$25*Q12</f>
        <v/>
      </c>
      <c r="P12" t="n">
        <v>3</v>
      </c>
      <c r="Q12" t="n">
        <v>3.577</v>
      </c>
      <c r="R12" t="inlineStr">
        <is>
          <t>User-supplied final Cup standings 2021-2026(proj.), recency-weighted (decay 0.65/yr, nascar_model.py) for drivers in the table; others = field prior blended with 2026 Kalshi title price (shrunk). No 2027 market exists.</t>
        </is>
      </c>
      <c r="S12" t="inlineStr">
        <is>
          <t>2026-10-08</t>
        </is>
      </c>
      <c r="T12" s="9" t="inlineStr">
        <is>
          <t>C</t>
        </is>
      </c>
      <c r="U12" t="inlineStr">
        <is>
          <t>Top-5 finishes: 2021 (4th) • 2022 (4th) | recency-weighted score 0.4 [v2 certainty adj: sd x2.0, mu shrink 40%, p shrink 30%]</t>
        </is>
      </c>
      <c r="X12" s="16" t="inlineStr">
        <is>
          <t>Todd</t>
        </is>
      </c>
      <c r="Y12">
        <f>N12-IF(T12="C",Assumptions!$B$27,IF(T12="B",Assumptions!$B$26,0))</f>
        <v/>
      </c>
    </row>
    <row r="13">
      <c r="A13" s="19" t="inlineStr">
        <is>
          <t>Tyler Reddick</t>
        </is>
      </c>
      <c r="B13" t="inlineStr">
        <is>
          <t>7th, -106</t>
        </is>
      </c>
      <c r="C13" t="inlineStr">
        <is>
          <t>2026 title: Kalshi 2.0%</t>
        </is>
      </c>
      <c r="D13" t="n">
        <v>0.0177</v>
      </c>
      <c r="E13" t="n">
        <v>0.09859999999999999</v>
      </c>
      <c r="I13" t="n">
        <v>0.4543</v>
      </c>
      <c r="J13" t="n">
        <v>0.3</v>
      </c>
      <c r="K13" t="n">
        <v>6.269</v>
      </c>
      <c r="L13">
        <f>13*N(D13)+MAX(N(E13)-N(D13),0)*Assumptions!$B$24</f>
        <v/>
      </c>
      <c r="M13">
        <f>K13+MIN(L13,Assumptions!$H$10)</f>
        <v/>
      </c>
      <c r="N13">
        <f>M13-Assumptions!$I$10</f>
        <v/>
      </c>
      <c r="O13">
        <f>N13-Assumptions!$B$25*Q13</f>
        <v/>
      </c>
      <c r="P13" t="n">
        <v>3</v>
      </c>
      <c r="Q13" t="n">
        <v>3.611</v>
      </c>
      <c r="R13" t="inlineStr">
        <is>
          <t>User-supplied final Cup standings 2021-2026(proj.), recency-weighted (decay 0.65/yr, nascar_model.py) for drivers in the table; others = field prior blended with 2026 Kalshi title price (shrunk). No 2027 market exists.</t>
        </is>
      </c>
      <c r="S13" t="inlineStr">
        <is>
          <t>2026-10-08</t>
        </is>
      </c>
      <c r="T13" s="9" t="inlineStr">
        <is>
          <t>C</t>
        </is>
      </c>
      <c r="U13" t="inlineStr">
        <is>
          <t>No 2027 title market yet [v2 certainty adj: sd x2.0, mu shrink 40%, p shrink 30%]</t>
        </is>
      </c>
      <c r="X13" s="16" t="inlineStr">
        <is>
          <t>Feder</t>
        </is>
      </c>
      <c r="Y13">
        <f>N13-IF(T13="C",Assumptions!$B$27,IF(T13="B",Assumptions!$B$26,0))</f>
        <v/>
      </c>
    </row>
    <row r="14">
      <c r="A14" s="19" t="inlineStr">
        <is>
          <t>Shane van Gisbergen</t>
        </is>
      </c>
      <c r="B14" t="inlineStr">
        <is>
          <t>2026 Cup Series</t>
        </is>
      </c>
      <c r="C14" t="inlineStr">
        <is>
          <t>2026 title: Kalshi 0.5%</t>
        </is>
      </c>
      <c r="D14" t="n">
        <v>0.0173</v>
      </c>
      <c r="E14" t="n">
        <v>0.09710000000000001</v>
      </c>
      <c r="I14" t="n">
        <v>0.4351</v>
      </c>
      <c r="J14" t="n">
        <v>0.3</v>
      </c>
      <c r="K14" t="n">
        <v>6.086</v>
      </c>
      <c r="L14">
        <f>13*N(D14)+MAX(N(E14)-N(D14),0)*Assumptions!$B$24</f>
        <v/>
      </c>
      <c r="M14">
        <f>K14+MIN(L14,Assumptions!$H$10)</f>
        <v/>
      </c>
      <c r="N14">
        <f>M14-Assumptions!$I$10</f>
        <v/>
      </c>
      <c r="O14">
        <f>N14-Assumptions!$B$25*Q14</f>
        <v/>
      </c>
      <c r="P14" t="n">
        <v>3</v>
      </c>
      <c r="Q14" t="n">
        <v>3.579</v>
      </c>
      <c r="R14" t="inlineStr">
        <is>
          <t>User-supplied final Cup standings 2021-2026(proj.), recency-weighted (decay 0.65/yr, nascar_model.py) for drivers in the table; others = field prior blended with 2026 Kalshi title price (shrunk). No 2027 market exists.</t>
        </is>
      </c>
      <c r="S14" t="inlineStr">
        <is>
          <t>2026-10-08</t>
        </is>
      </c>
      <c r="T14" s="9" t="inlineStr">
        <is>
          <t>C</t>
        </is>
      </c>
      <c r="U14" t="inlineStr">
        <is>
          <t>No 2027 title market yet [v2 certainty adj: sd x2.0, mu shrink 40%, p shrink 30%]</t>
        </is>
      </c>
      <c r="X14" s="16" t="inlineStr">
        <is>
          <t>Mitchell</t>
        </is>
      </c>
      <c r="Y14">
        <f>N14-IF(T14="C",Assumptions!$B$27,IF(T14="B",Assumptions!$B$26,0))</f>
        <v/>
      </c>
    </row>
    <row r="15">
      <c r="A15" s="19" t="inlineStr">
        <is>
          <t>Michael McDowell</t>
        </is>
      </c>
      <c r="B15" t="inlineStr">
        <is>
          <t>2026 Cup Series</t>
        </is>
      </c>
      <c r="C15" t="inlineStr">
        <is>
          <t>2026 title: Kalshi 0.5%</t>
        </is>
      </c>
      <c r="D15" t="n">
        <v>0.0173</v>
      </c>
      <c r="E15" t="n">
        <v>0.09710000000000001</v>
      </c>
      <c r="I15" t="n">
        <v>0.4351</v>
      </c>
      <c r="J15" t="n">
        <v>0.3</v>
      </c>
      <c r="K15" t="n">
        <v>6.059</v>
      </c>
      <c r="L15">
        <f>13*N(D15)+MAX(N(E15)-N(D15),0)*Assumptions!$B$24</f>
        <v/>
      </c>
      <c r="M15">
        <f>K15+MIN(L15,Assumptions!$H$10)</f>
        <v/>
      </c>
      <c r="N15">
        <f>M15-Assumptions!$I$10</f>
        <v/>
      </c>
      <c r="O15">
        <f>N15-Assumptions!$B$25*Q15</f>
        <v/>
      </c>
      <c r="P15" t="n">
        <v>3</v>
      </c>
      <c r="Q15" t="n">
        <v>3.583</v>
      </c>
      <c r="R15" t="inlineStr">
        <is>
          <t>User-supplied final Cup standings 2021-2026(proj.), recency-weighted (decay 0.65/yr, nascar_model.py) for drivers in the table; others = field prior blended with 2026 Kalshi title price (shrunk). No 2027 market exists.</t>
        </is>
      </c>
      <c r="S15" t="inlineStr">
        <is>
          <t>2026-10-08</t>
        </is>
      </c>
      <c r="T15" s="9" t="inlineStr">
        <is>
          <t>C</t>
        </is>
      </c>
      <c r="U15" t="inlineStr">
        <is>
          <t>No 2027 title market yet [v2 certainty adj: sd x2.0, mu shrink 40%, p shrink 30%]</t>
        </is>
      </c>
      <c r="Y15">
        <f>N15-IF(T15="C",Assumptions!$B$27,IF(T15="B",Assumptions!$B$26,0))</f>
        <v/>
      </c>
    </row>
    <row r="16">
      <c r="A16" s="19" t="inlineStr">
        <is>
          <t>Ty Gibbs</t>
        </is>
      </c>
      <c r="B16" t="inlineStr">
        <is>
          <t>2026 Cup Series</t>
        </is>
      </c>
      <c r="C16" t="inlineStr">
        <is>
          <t>2026 title: Kalshi 0.5%</t>
        </is>
      </c>
      <c r="D16" t="n">
        <v>0.0173</v>
      </c>
      <c r="E16" t="n">
        <v>0.09710000000000001</v>
      </c>
      <c r="I16" t="n">
        <v>0.4351</v>
      </c>
      <c r="J16" t="n">
        <v>0.3</v>
      </c>
      <c r="K16" t="n">
        <v>6.048</v>
      </c>
      <c r="L16">
        <f>13*N(D16)+MAX(N(E16)-N(D16),0)*Assumptions!$B$24</f>
        <v/>
      </c>
      <c r="M16">
        <f>K16+MIN(L16,Assumptions!$H$10)</f>
        <v/>
      </c>
      <c r="N16">
        <f>M16-Assumptions!$I$10</f>
        <v/>
      </c>
      <c r="O16">
        <f>N16-Assumptions!$B$25*Q16</f>
        <v/>
      </c>
      <c r="P16" t="n">
        <v>3</v>
      </c>
      <c r="Q16" t="n">
        <v>3.573</v>
      </c>
      <c r="R16" t="inlineStr">
        <is>
          <t>User-supplied final Cup standings 2021-2026(proj.), recency-weighted (decay 0.65/yr, nascar_model.py) for drivers in the table; others = field prior blended with 2026 Kalshi title price (shrunk). No 2027 market exists.</t>
        </is>
      </c>
      <c r="S16" t="inlineStr">
        <is>
          <t>2026-10-08</t>
        </is>
      </c>
      <c r="T16" s="9" t="inlineStr">
        <is>
          <t>C</t>
        </is>
      </c>
      <c r="U16" t="inlineStr">
        <is>
          <t>No 2027 title market yet [v2 certainty adj: sd x2.0, mu shrink 40%, p shrink 30%]</t>
        </is>
      </c>
      <c r="Y16">
        <f>N16-IF(T16="C",Assumptions!$B$27,IF(T16="B",Assumptions!$B$26,0))</f>
        <v/>
      </c>
    </row>
    <row r="17">
      <c r="A17" s="19" t="inlineStr">
        <is>
          <t>AJ Allmendinger</t>
        </is>
      </c>
      <c r="B17" t="inlineStr">
        <is>
          <t>2026 Cup Series</t>
        </is>
      </c>
      <c r="C17" t="inlineStr">
        <is>
          <t>2026 title: Kalshi 0.5%</t>
        </is>
      </c>
      <c r="D17" t="n">
        <v>0.0173</v>
      </c>
      <c r="E17" t="n">
        <v>0.09710000000000001</v>
      </c>
      <c r="I17" t="n">
        <v>0.4351</v>
      </c>
      <c r="J17" t="n">
        <v>0.3</v>
      </c>
      <c r="K17" t="n">
        <v>6.039</v>
      </c>
      <c r="L17">
        <f>13*N(D17)+MAX(N(E17)-N(D17),0)*Assumptions!$B$24</f>
        <v/>
      </c>
      <c r="M17">
        <f>K17+MIN(L17,Assumptions!$H$10)</f>
        <v/>
      </c>
      <c r="N17">
        <f>M17-Assumptions!$I$10</f>
        <v/>
      </c>
      <c r="O17">
        <f>N17-Assumptions!$B$25*Q17</f>
        <v/>
      </c>
      <c r="P17" t="n">
        <v>3</v>
      </c>
      <c r="Q17" t="n">
        <v>3.563</v>
      </c>
      <c r="R17" t="inlineStr">
        <is>
          <t>User-supplied final Cup standings 2021-2026(proj.), recency-weighted (decay 0.65/yr, nascar_model.py) for drivers in the table; others = field prior blended with 2026 Kalshi title price (shrunk). No 2027 market exists.</t>
        </is>
      </c>
      <c r="S17" t="inlineStr">
        <is>
          <t>2026-10-08</t>
        </is>
      </c>
      <c r="T17" s="9" t="inlineStr">
        <is>
          <t>C</t>
        </is>
      </c>
      <c r="U17" t="inlineStr">
        <is>
          <t>No 2027 title market yet [v2 certainty adj: sd x2.0, mu shrink 40%, p shrink 30%]</t>
        </is>
      </c>
      <c r="Y17">
        <f>N17-IF(T17="C",Assumptions!$B$27,IF(T17="B",Assumptions!$B$26,0))</f>
        <v/>
      </c>
    </row>
    <row r="18">
      <c r="A18" t="inlineStr">
        <is>
          <t>Alex Bowman</t>
        </is>
      </c>
      <c r="B18" t="inlineStr">
        <is>
          <t>2026 Cup Series</t>
        </is>
      </c>
      <c r="C18" t="inlineStr">
        <is>
          <t>2026 title: Kalshi 0.5%</t>
        </is>
      </c>
      <c r="D18" t="n">
        <v>0.0173</v>
      </c>
      <c r="E18" t="n">
        <v>0.09710000000000001</v>
      </c>
      <c r="I18" t="n">
        <v>0.4351</v>
      </c>
      <c r="J18" t="n">
        <v>0.3</v>
      </c>
      <c r="K18" t="n">
        <v>6.036</v>
      </c>
      <c r="L18">
        <f>13*N(D18)+MAX(N(E18)-N(D18),0)*Assumptions!$B$24</f>
        <v/>
      </c>
      <c r="M18">
        <f>K18+MIN(L18,Assumptions!$H$10)</f>
        <v/>
      </c>
      <c r="N18">
        <f>M18-Assumptions!$I$10</f>
        <v/>
      </c>
      <c r="O18">
        <f>N18-Assumptions!$B$25*Q18</f>
        <v/>
      </c>
      <c r="P18" t="n">
        <v>4</v>
      </c>
      <c r="Q18" t="n">
        <v>3.602</v>
      </c>
      <c r="R18" t="inlineStr">
        <is>
          <t>User-supplied final Cup standings 2021-2026(proj.), recency-weighted (decay 0.65/yr, nascar_model.py) for drivers in the table; others = field prior blended with 2026 Kalshi title price (shrunk). No 2027 market exists.</t>
        </is>
      </c>
      <c r="S18" t="inlineStr">
        <is>
          <t>2026-10-08</t>
        </is>
      </c>
      <c r="T18" s="9" t="inlineStr">
        <is>
          <t>C</t>
        </is>
      </c>
      <c r="U18" t="inlineStr">
        <is>
          <t>No 2027 title market yet [v2 certainty adj: sd x2.0, mu shrink 40%, p shrink 30%]</t>
        </is>
      </c>
      <c r="Y18">
        <f>N18-IF(T18="C",Assumptions!$B$27,IF(T18="B",Assumptions!$B$26,0))</f>
        <v/>
      </c>
    </row>
    <row r="19">
      <c r="A19" t="inlineStr">
        <is>
          <t>Riley Herbst</t>
        </is>
      </c>
      <c r="B19" t="inlineStr">
        <is>
          <t>2026 Cup Series</t>
        </is>
      </c>
      <c r="C19" t="inlineStr">
        <is>
          <t>2026 title: Kalshi 0.5%</t>
        </is>
      </c>
      <c r="D19" t="n">
        <v>0.0173</v>
      </c>
      <c r="E19" t="n">
        <v>0.09710000000000001</v>
      </c>
      <c r="I19" t="n">
        <v>0.4351</v>
      </c>
      <c r="J19" t="n">
        <v>0.3</v>
      </c>
      <c r="K19" t="n">
        <v>6.027</v>
      </c>
      <c r="L19">
        <f>13*N(D19)+MAX(N(E19)-N(D19),0)*Assumptions!$B$24</f>
        <v/>
      </c>
      <c r="M19">
        <f>K19+MIN(L19,Assumptions!$H$10)</f>
        <v/>
      </c>
      <c r="N19">
        <f>M19-Assumptions!$I$10</f>
        <v/>
      </c>
      <c r="O19">
        <f>N19-Assumptions!$B$25*Q19</f>
        <v/>
      </c>
      <c r="P19" t="n">
        <v>4</v>
      </c>
      <c r="Q19" t="n">
        <v>3.565</v>
      </c>
      <c r="R19" t="inlineStr">
        <is>
          <t>User-supplied final Cup standings 2021-2026(proj.), recency-weighted (decay 0.65/yr, nascar_model.py) for drivers in the table; others = field prior blended with 2026 Kalshi title price (shrunk). No 2027 market exists.</t>
        </is>
      </c>
      <c r="S19" t="inlineStr">
        <is>
          <t>2026-10-08</t>
        </is>
      </c>
      <c r="T19" s="9" t="inlineStr">
        <is>
          <t>C</t>
        </is>
      </c>
      <c r="U19" t="inlineStr">
        <is>
          <t>No 2027 title market yet [v2 certainty adj: sd x2.0, mu shrink 40%, p shrink 30%]</t>
        </is>
      </c>
      <c r="Y19">
        <f>N19-IF(T19="C",Assumptions!$B$27,IF(T19="B",Assumptions!$B$26,0))</f>
        <v/>
      </c>
    </row>
    <row r="20">
      <c r="A20" t="inlineStr">
        <is>
          <t>Ross Chastain</t>
        </is>
      </c>
      <c r="B20" t="inlineStr">
        <is>
          <t>2026 Cup Series</t>
        </is>
      </c>
      <c r="C20" t="inlineStr">
        <is>
          <t>2026 title: Kalshi 0.5%</t>
        </is>
      </c>
      <c r="D20" t="n">
        <v>0.0173</v>
      </c>
      <c r="E20" t="n">
        <v>0.09710000000000001</v>
      </c>
      <c r="I20" t="n">
        <v>0.4351</v>
      </c>
      <c r="J20" t="n">
        <v>0.3</v>
      </c>
      <c r="K20" t="n">
        <v>6.024</v>
      </c>
      <c r="L20">
        <f>13*N(D20)+MAX(N(E20)-N(D20),0)*Assumptions!$B$24</f>
        <v/>
      </c>
      <c r="M20">
        <f>K20+MIN(L20,Assumptions!$H$10)</f>
        <v/>
      </c>
      <c r="N20">
        <f>M20-Assumptions!$I$10</f>
        <v/>
      </c>
      <c r="O20">
        <f>N20-Assumptions!$B$25*Q20</f>
        <v/>
      </c>
      <c r="P20" t="n">
        <v>4</v>
      </c>
      <c r="Q20" t="n">
        <v>3.592</v>
      </c>
      <c r="R20" t="inlineStr">
        <is>
          <t>User-supplied final Cup standings 2021-2026(proj.), recency-weighted (decay 0.65/yr, nascar_model.py) for drivers in the table; others = field prior blended with 2026 Kalshi title price (shrunk). No 2027 market exists.</t>
        </is>
      </c>
      <c r="S20" t="inlineStr">
        <is>
          <t>2026-10-08</t>
        </is>
      </c>
      <c r="T20" s="9" t="inlineStr">
        <is>
          <t>C</t>
        </is>
      </c>
      <c r="U20" t="inlineStr">
        <is>
          <t>No 2027 title market yet [v2 certainty adj: sd x2.0, mu shrink 40%, p shrink 30%]</t>
        </is>
      </c>
      <c r="X20" s="16" t="inlineStr">
        <is>
          <t>Buckley</t>
        </is>
      </c>
      <c r="Y20">
        <f>N20-IF(T20="C",Assumptions!$B$27,IF(T20="B",Assumptions!$B$26,0))</f>
        <v/>
      </c>
    </row>
    <row r="21">
      <c r="A21" t="inlineStr">
        <is>
          <t>Todd Gilliland</t>
        </is>
      </c>
      <c r="B21" t="inlineStr">
        <is>
          <t>2026 Cup Series</t>
        </is>
      </c>
      <c r="C21" t="inlineStr">
        <is>
          <t>2026 title: Kalshi 0.5%</t>
        </is>
      </c>
      <c r="D21" t="n">
        <v>0.0173</v>
      </c>
      <c r="E21" t="n">
        <v>0.09710000000000001</v>
      </c>
      <c r="I21" t="n">
        <v>0.4351</v>
      </c>
      <c r="J21" t="n">
        <v>0.3</v>
      </c>
      <c r="K21" t="n">
        <v>6.018</v>
      </c>
      <c r="L21">
        <f>13*N(D21)+MAX(N(E21)-N(D21),0)*Assumptions!$B$24</f>
        <v/>
      </c>
      <c r="M21">
        <f>K21+MIN(L21,Assumptions!$H$10)</f>
        <v/>
      </c>
      <c r="N21">
        <f>M21-Assumptions!$I$10</f>
        <v/>
      </c>
      <c r="O21">
        <f>N21-Assumptions!$B$25*Q21</f>
        <v/>
      </c>
      <c r="P21" t="n">
        <v>4</v>
      </c>
      <c r="Q21" t="n">
        <v>3.556</v>
      </c>
      <c r="R21" t="inlineStr">
        <is>
          <t>User-supplied final Cup standings 2021-2026(proj.), recency-weighted (decay 0.65/yr, nascar_model.py) for drivers in the table; others = field prior blended with 2026 Kalshi title price (shrunk). No 2027 market exists.</t>
        </is>
      </c>
      <c r="S21" t="inlineStr">
        <is>
          <t>2026-10-08</t>
        </is>
      </c>
      <c r="T21" s="9" t="inlineStr">
        <is>
          <t>C</t>
        </is>
      </c>
      <c r="U21" t="inlineStr">
        <is>
          <t>No 2027 title market yet [v2 certainty adj: sd x2.0, mu shrink 40%, p shrink 30%]</t>
        </is>
      </c>
      <c r="Y21">
        <f>N21-IF(T21="C",Assumptions!$B$27,IF(T21="B",Assumptions!$B$26,0))</f>
        <v/>
      </c>
    </row>
    <row r="22">
      <c r="A22" t="inlineStr">
        <is>
          <t>Ryan Preece</t>
        </is>
      </c>
      <c r="B22" t="inlineStr">
        <is>
          <t>2026 Cup Series</t>
        </is>
      </c>
      <c r="C22" t="inlineStr">
        <is>
          <t>2026 title: Kalshi 0.5%</t>
        </is>
      </c>
      <c r="D22" t="n">
        <v>0.0173</v>
      </c>
      <c r="E22" t="n">
        <v>0.09710000000000001</v>
      </c>
      <c r="I22" t="n">
        <v>0.4351</v>
      </c>
      <c r="J22" t="n">
        <v>0.3</v>
      </c>
      <c r="K22" t="n">
        <v>6.017</v>
      </c>
      <c r="L22">
        <f>13*N(D22)+MAX(N(E22)-N(D22),0)*Assumptions!$B$24</f>
        <v/>
      </c>
      <c r="M22">
        <f>K22+MIN(L22,Assumptions!$H$10)</f>
        <v/>
      </c>
      <c r="N22">
        <f>M22-Assumptions!$I$10</f>
        <v/>
      </c>
      <c r="O22">
        <f>N22-Assumptions!$B$25*Q22</f>
        <v/>
      </c>
      <c r="P22" t="n">
        <v>4</v>
      </c>
      <c r="Q22" t="n">
        <v>3.53</v>
      </c>
      <c r="R22" t="inlineStr">
        <is>
          <t>User-supplied final Cup standings 2021-2026(proj.), recency-weighted (decay 0.65/yr, nascar_model.py) for drivers in the table; others = field prior blended with 2026 Kalshi title price (shrunk). No 2027 market exists.</t>
        </is>
      </c>
      <c r="S22" t="inlineStr">
        <is>
          <t>2026-10-08</t>
        </is>
      </c>
      <c r="T22" s="9" t="inlineStr">
        <is>
          <t>C</t>
        </is>
      </c>
      <c r="U22" t="inlineStr">
        <is>
          <t>No 2027 title market yet [v2 certainty adj: sd x2.0, mu shrink 40%, p shrink 30%]</t>
        </is>
      </c>
      <c r="Y22">
        <f>N22-IF(T22="C",Assumptions!$B$27,IF(T22="B",Assumptions!$B$26,0))</f>
        <v/>
      </c>
    </row>
    <row r="23">
      <c r="A23" t="inlineStr">
        <is>
          <t>Bubba Wallace</t>
        </is>
      </c>
      <c r="B23" t="inlineStr">
        <is>
          <t>2026 Cup Series</t>
        </is>
      </c>
      <c r="C23" t="inlineStr">
        <is>
          <t>2026 title: Kalshi 0.5%</t>
        </is>
      </c>
      <c r="D23" t="n">
        <v>0.0173</v>
      </c>
      <c r="E23" t="n">
        <v>0.09710000000000001</v>
      </c>
      <c r="I23" t="n">
        <v>0.4351</v>
      </c>
      <c r="J23" t="n">
        <v>0.3</v>
      </c>
      <c r="K23" t="n">
        <v>6.008</v>
      </c>
      <c r="L23">
        <f>13*N(D23)+MAX(N(E23)-N(D23),0)*Assumptions!$B$24</f>
        <v/>
      </c>
      <c r="M23">
        <f>K23+MIN(L23,Assumptions!$H$10)</f>
        <v/>
      </c>
      <c r="N23">
        <f>M23-Assumptions!$I$10</f>
        <v/>
      </c>
      <c r="O23">
        <f>N23-Assumptions!$B$25*Q23</f>
        <v/>
      </c>
      <c r="P23" t="n">
        <v>4</v>
      </c>
      <c r="Q23" t="n">
        <v>3.543</v>
      </c>
      <c r="R23" t="inlineStr">
        <is>
          <t>User-supplied final Cup standings 2021-2026(proj.), recency-weighted (decay 0.65/yr, nascar_model.py) for drivers in the table; others = field prior blended with 2026 Kalshi title price (shrunk). No 2027 market exists.</t>
        </is>
      </c>
      <c r="S23" t="inlineStr">
        <is>
          <t>2026-10-08</t>
        </is>
      </c>
      <c r="T23" s="9" t="inlineStr">
        <is>
          <t>C</t>
        </is>
      </c>
      <c r="U23" t="inlineStr">
        <is>
          <t>No 2027 title market yet [v2 certainty adj: sd x2.0, mu shrink 40%, p shrink 30%]</t>
        </is>
      </c>
      <c r="X23" s="16" t="inlineStr">
        <is>
          <t>Tim</t>
        </is>
      </c>
      <c r="Y23">
        <f>N23-IF(T23="C",Assumptions!$B$27,IF(T23="B",Assumptions!$B$26,0))</f>
        <v/>
      </c>
    </row>
    <row r="24">
      <c r="A24" t="inlineStr">
        <is>
          <t>Zane Smith</t>
        </is>
      </c>
      <c r="B24" t="inlineStr">
        <is>
          <t>2026 Cup Series</t>
        </is>
      </c>
      <c r="C24" t="inlineStr">
        <is>
          <t>2026 title: Kalshi 0.5%</t>
        </is>
      </c>
      <c r="D24" t="n">
        <v>0.0173</v>
      </c>
      <c r="E24" t="n">
        <v>0.09710000000000001</v>
      </c>
      <c r="I24" t="n">
        <v>0.4351</v>
      </c>
      <c r="J24" t="n">
        <v>0.3</v>
      </c>
      <c r="K24" t="n">
        <v>6.007</v>
      </c>
      <c r="L24">
        <f>13*N(D24)+MAX(N(E24)-N(D24),0)*Assumptions!$B$24</f>
        <v/>
      </c>
      <c r="M24">
        <f>K24+MIN(L24,Assumptions!$H$10)</f>
        <v/>
      </c>
      <c r="N24">
        <f>M24-Assumptions!$I$10</f>
        <v/>
      </c>
      <c r="O24">
        <f>N24-Assumptions!$B$25*Q24</f>
        <v/>
      </c>
      <c r="P24" t="n">
        <v>4</v>
      </c>
      <c r="Q24" t="n">
        <v>3.552</v>
      </c>
      <c r="R24" t="inlineStr">
        <is>
          <t>User-supplied final Cup standings 2021-2026(proj.), recency-weighted (decay 0.65/yr, nascar_model.py) for drivers in the table; others = field prior blended with 2026 Kalshi title price (shrunk). No 2027 market exists.</t>
        </is>
      </c>
      <c r="S24" t="inlineStr">
        <is>
          <t>2026-10-08</t>
        </is>
      </c>
      <c r="T24" s="9" t="inlineStr">
        <is>
          <t>C</t>
        </is>
      </c>
      <c r="U24" t="inlineStr">
        <is>
          <t>No 2027 title market yet [v2 certainty adj: sd x2.0, mu shrink 40%, p shrink 30%]</t>
        </is>
      </c>
      <c r="Y24">
        <f>N24-IF(T24="C",Assumptions!$B$27,IF(T24="B",Assumptions!$B$26,0))</f>
        <v/>
      </c>
    </row>
    <row r="25">
      <c r="A25" t="inlineStr">
        <is>
          <t>Noah Gragson</t>
        </is>
      </c>
      <c r="B25" t="inlineStr">
        <is>
          <t>2026 Cup Series</t>
        </is>
      </c>
      <c r="C25" t="inlineStr">
        <is>
          <t>2026 title: Kalshi 0.5%</t>
        </is>
      </c>
      <c r="D25" t="n">
        <v>0.0173</v>
      </c>
      <c r="E25" t="n">
        <v>0.09710000000000001</v>
      </c>
      <c r="I25" t="n">
        <v>0.4351</v>
      </c>
      <c r="J25" t="n">
        <v>0.3</v>
      </c>
      <c r="K25" t="n">
        <v>6.005</v>
      </c>
      <c r="L25">
        <f>13*N(D25)+MAX(N(E25)-N(D25),0)*Assumptions!$B$24</f>
        <v/>
      </c>
      <c r="M25">
        <f>K25+MIN(L25,Assumptions!$H$10)</f>
        <v/>
      </c>
      <c r="N25">
        <f>M25-Assumptions!$I$10</f>
        <v/>
      </c>
      <c r="O25">
        <f>N25-Assumptions!$B$25*Q25</f>
        <v/>
      </c>
      <c r="P25" t="n">
        <v>4</v>
      </c>
      <c r="Q25" t="n">
        <v>3.561</v>
      </c>
      <c r="R25" t="inlineStr">
        <is>
          <t>User-supplied final Cup standings 2021-2026(proj.), recency-weighted (decay 0.65/yr, nascar_model.py) for drivers in the table; others = field prior blended with 2026 Kalshi title price (shrunk). No 2027 market exists.</t>
        </is>
      </c>
      <c r="S25" t="inlineStr">
        <is>
          <t>2026-10-08</t>
        </is>
      </c>
      <c r="T25" s="9" t="inlineStr">
        <is>
          <t>C</t>
        </is>
      </c>
      <c r="U25" t="inlineStr">
        <is>
          <t>No 2027 title market yet [v2 certainty adj: sd x2.0, mu shrink 40%, p shrink 30%]</t>
        </is>
      </c>
      <c r="Y25">
        <f>N25-IF(T25="C",Assumptions!$B$27,IF(T25="B",Assumptions!$B$26,0))</f>
        <v/>
      </c>
    </row>
    <row r="26">
      <c r="A26" t="inlineStr">
        <is>
          <t>Austin Cindric</t>
        </is>
      </c>
      <c r="B26" t="inlineStr">
        <is>
          <t>2026 Cup Series</t>
        </is>
      </c>
      <c r="C26" t="inlineStr">
        <is>
          <t>2026 title: Kalshi 0.5%</t>
        </is>
      </c>
      <c r="D26" t="n">
        <v>0.0173</v>
      </c>
      <c r="E26" t="n">
        <v>0.09710000000000001</v>
      </c>
      <c r="I26" t="n">
        <v>0.4351</v>
      </c>
      <c r="J26" t="n">
        <v>0.3</v>
      </c>
      <c r="K26" t="n">
        <v>6.002</v>
      </c>
      <c r="L26">
        <f>13*N(D26)+MAX(N(E26)-N(D26),0)*Assumptions!$B$24</f>
        <v/>
      </c>
      <c r="M26">
        <f>K26+MIN(L26,Assumptions!$H$10)</f>
        <v/>
      </c>
      <c r="N26">
        <f>M26-Assumptions!$I$10</f>
        <v/>
      </c>
      <c r="O26">
        <f>N26-Assumptions!$B$25*Q26</f>
        <v/>
      </c>
      <c r="P26" t="n">
        <v>4</v>
      </c>
      <c r="Q26" t="n">
        <v>3.596</v>
      </c>
      <c r="R26" t="inlineStr">
        <is>
          <t>User-supplied final Cup standings 2021-2026(proj.), recency-weighted (decay 0.65/yr, nascar_model.py) for drivers in the table; others = field prior blended with 2026 Kalshi title price (shrunk). No 2027 market exists.</t>
        </is>
      </c>
      <c r="S26" t="inlineStr">
        <is>
          <t>2026-10-08</t>
        </is>
      </c>
      <c r="T26" s="9" t="inlineStr">
        <is>
          <t>C</t>
        </is>
      </c>
      <c r="U26" t="inlineStr">
        <is>
          <t>No 2027 title market yet [v2 certainty adj: sd x2.0, mu shrink 40%, p shrink 30%]</t>
        </is>
      </c>
      <c r="Y26">
        <f>N26-IF(T26="C",Assumptions!$B$27,IF(T26="B",Assumptions!$B$26,0))</f>
        <v/>
      </c>
    </row>
    <row r="27">
      <c r="A27" t="inlineStr">
        <is>
          <t>Daniel Suarez</t>
        </is>
      </c>
      <c r="B27" t="inlineStr">
        <is>
          <t>2026 Cup Series</t>
        </is>
      </c>
      <c r="C27" t="inlineStr">
        <is>
          <t>2026 title: Kalshi 0.5%</t>
        </is>
      </c>
      <c r="D27" t="n">
        <v>0.0173</v>
      </c>
      <c r="E27" t="n">
        <v>0.09710000000000001</v>
      </c>
      <c r="I27" t="n">
        <v>0.4351</v>
      </c>
      <c r="J27" t="n">
        <v>0.3</v>
      </c>
      <c r="K27" t="n">
        <v>6.002</v>
      </c>
      <c r="L27">
        <f>13*N(D27)+MAX(N(E27)-N(D27),0)*Assumptions!$B$24</f>
        <v/>
      </c>
      <c r="M27">
        <f>K27+MIN(L27,Assumptions!$H$10)</f>
        <v/>
      </c>
      <c r="N27">
        <f>M27-Assumptions!$I$10</f>
        <v/>
      </c>
      <c r="O27">
        <f>N27-Assumptions!$B$25*Q27</f>
        <v/>
      </c>
      <c r="P27" t="n">
        <v>4</v>
      </c>
      <c r="Q27" t="n">
        <v>3.544</v>
      </c>
      <c r="R27" t="inlineStr">
        <is>
          <t>User-supplied final Cup standings 2021-2026(proj.), recency-weighted (decay 0.65/yr, nascar_model.py) for drivers in the table; others = field prior blended with 2026 Kalshi title price (shrunk). No 2027 market exists.</t>
        </is>
      </c>
      <c r="S27" t="inlineStr">
        <is>
          <t>2026-10-08</t>
        </is>
      </c>
      <c r="T27" s="9" t="inlineStr">
        <is>
          <t>C</t>
        </is>
      </c>
      <c r="U27" t="inlineStr">
        <is>
          <t>No 2027 title market yet [v2 certainty adj: sd x2.0, mu shrink 40%, p shrink 30%]</t>
        </is>
      </c>
      <c r="X27" s="16" t="inlineStr">
        <is>
          <t>Shep</t>
        </is>
      </c>
      <c r="Y27">
        <f>N27-IF(T27="C",Assumptions!$B$27,IF(T27="B",Assumptions!$B$26,0))</f>
        <v/>
      </c>
    </row>
    <row r="28">
      <c r="A28" t="inlineStr">
        <is>
          <t>Carson Hocevar</t>
        </is>
      </c>
      <c r="B28" t="inlineStr">
        <is>
          <t>2026 Cup Series</t>
        </is>
      </c>
      <c r="C28" t="inlineStr">
        <is>
          <t>2026 title: Kalshi 0.5%</t>
        </is>
      </c>
      <c r="D28" t="n">
        <v>0.0173</v>
      </c>
      <c r="E28" t="n">
        <v>0.09710000000000001</v>
      </c>
      <c r="I28" t="n">
        <v>0.4351</v>
      </c>
      <c r="J28" t="n">
        <v>0.3</v>
      </c>
      <c r="K28" t="n">
        <v>5.993</v>
      </c>
      <c r="L28">
        <f>13*N(D28)+MAX(N(E28)-N(D28),0)*Assumptions!$B$24</f>
        <v/>
      </c>
      <c r="M28">
        <f>K28+MIN(L28,Assumptions!$H$10)</f>
        <v/>
      </c>
      <c r="N28">
        <f>M28-Assumptions!$I$10</f>
        <v/>
      </c>
      <c r="O28">
        <f>N28-Assumptions!$B$25*Q28</f>
        <v/>
      </c>
      <c r="P28" t="n">
        <v>4</v>
      </c>
      <c r="Q28" t="n">
        <v>3.579</v>
      </c>
      <c r="R28" t="inlineStr">
        <is>
          <t>User-supplied final Cup standings 2021-2026(proj.), recency-weighted (decay 0.65/yr, nascar_model.py) for drivers in the table; others = field prior blended with 2026 Kalshi title price (shrunk). No 2027 market exists.</t>
        </is>
      </c>
      <c r="S28" t="inlineStr">
        <is>
          <t>2026-10-08</t>
        </is>
      </c>
      <c r="T28" s="9" t="inlineStr">
        <is>
          <t>C</t>
        </is>
      </c>
      <c r="U28" t="inlineStr">
        <is>
          <t>No 2027 title market yet [v2 certainty adj: sd x2.0, mu shrink 40%, p shrink 30%]</t>
        </is>
      </c>
      <c r="Y28">
        <f>N28-IF(T28="C",Assumptions!$B$27,IF(T28="B",Assumptions!$B$26,0))</f>
        <v/>
      </c>
    </row>
    <row r="30">
      <c r="A30" s="8" t="inlineStr">
        <is>
          <t>Replacement-level EV (Nth best)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Y3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36" customWidth="1" min="2" max="2"/>
    <col width="22" customWidth="1" min="3" max="3"/>
    <col width="11" customWidth="1" min="4" max="4"/>
    <col width="11" customWidth="1" min="5" max="5"/>
    <col width="11" customWidth="1" min="6" max="6"/>
    <col width="11" customWidth="1" min="7" max="7"/>
    <col width="11" customWidth="1" min="8" max="8"/>
    <col width="9" customWidth="1" min="9" max="9"/>
    <col width="9" customWidth="1" min="10" max="10"/>
    <col width="11" customWidth="1" min="11" max="11"/>
    <col width="10" customWidth="1" min="12" max="12"/>
    <col width="10" customWidth="1" min="13" max="13"/>
    <col width="9" customWidth="1" min="14" max="14"/>
    <col width="11" customWidth="1" min="15" max="15"/>
    <col width="6" customWidth="1" min="16" max="16"/>
    <col width="9" customWidth="1" min="17" max="17"/>
    <col width="38" customWidth="1" min="18" max="18"/>
    <col width="11" customWidth="1" min="19" max="19"/>
    <col width="6" customWidth="1" min="20" max="20"/>
    <col width="60" customWidth="1" min="21" max="21"/>
    <col width="12" customWidth="1" min="22" max="22"/>
    <col width="9" customWidth="1" min="23" max="23"/>
    <col width="11" customWidth="1" min="24" max="24"/>
    <col width="11" customWidth="1" min="25" max="25"/>
  </cols>
  <sheetData>
    <row r="1">
      <c r="A1" s="18" t="inlineStr">
        <is>
          <t>MLS — 2027 draft research (EV model; see README)</t>
        </is>
      </c>
    </row>
    <row r="2">
      <c r="A2" t="inlineStr">
        <is>
          <t>As of 2026-10-22. Sorted by E[total]. Yellow = inferred / low-confidence (C).</t>
        </is>
      </c>
    </row>
    <row r="4">
      <c r="A4" s="7" t="inlineStr">
        <is>
          <t>Candidate</t>
        </is>
      </c>
      <c r="B4" s="7" t="inlineStr">
        <is>
          <t>Detail</t>
        </is>
      </c>
      <c r="C4" s="7" t="inlineStr">
        <is>
          <t>Odds / price</t>
        </is>
      </c>
      <c r="D4" s="7" t="inlineStr">
        <is>
          <t>p(champ)</t>
        </is>
      </c>
      <c r="E4" s="7" t="inlineStr">
        <is>
          <t>p(final)</t>
        </is>
      </c>
      <c r="F4" s="7" t="inlineStr">
        <is>
          <t>p(semi)</t>
        </is>
      </c>
      <c r="G4" s="7" t="inlineStr">
        <is>
          <t>p(quarter)</t>
        </is>
      </c>
      <c r="H4" s="7" t="inlineStr">
        <is>
          <t>p(rd 1)</t>
        </is>
      </c>
      <c r="I4" s="7" t="inlineStr">
        <is>
          <t>mu</t>
        </is>
      </c>
      <c r="J4" s="7" t="inlineStr">
        <is>
          <t>sd</t>
        </is>
      </c>
      <c r="K4" s="7" t="inlineStr">
        <is>
          <t>E[rank pts] (MC)</t>
        </is>
      </c>
      <c r="L4" s="7" t="inlineStr">
        <is>
          <t>E[bonus]</t>
        </is>
      </c>
      <c r="M4" s="7" t="inlineStr">
        <is>
          <t>E[total]</t>
        </is>
      </c>
      <c r="N4" s="7" t="inlineStr">
        <is>
          <t>VOR</t>
        </is>
      </c>
      <c r="O4" s="7" t="inlineStr">
        <is>
          <t>Risk-adj VOR</t>
        </is>
      </c>
      <c r="P4" s="7" t="inlineStr">
        <is>
          <t>Tier</t>
        </is>
      </c>
      <c r="Q4" s="7" t="inlineStr">
        <is>
          <t>SD rank pts</t>
        </is>
      </c>
      <c r="R4" s="7" t="inlineStr">
        <is>
          <t>Source</t>
        </is>
      </c>
      <c r="S4" s="7" t="inlineStr">
        <is>
          <t>As of</t>
        </is>
      </c>
      <c r="T4" s="7" t="inlineStr">
        <is>
          <t>Conf</t>
        </is>
      </c>
      <c r="U4" s="7" t="inlineStr">
        <is>
          <t>Notes</t>
        </is>
      </c>
      <c r="V4" s="7" t="inlineStr">
        <is>
          <t>Field draft score</t>
        </is>
      </c>
      <c r="W4" s="7" t="inlineStr">
        <is>
          <t>Field rank</t>
        </is>
      </c>
      <c r="X4" s="7" t="inlineStr">
        <is>
          <t>Owner</t>
        </is>
      </c>
      <c r="Y4" s="7" t="inlineStr">
        <is>
          <t>Conf-adj VOR</t>
        </is>
      </c>
    </row>
    <row r="5">
      <c r="A5" s="9" t="inlineStr">
        <is>
          <t>Nashville SC</t>
        </is>
      </c>
      <c r="B5" t="inlineStr">
        <is>
          <t>2026: 60 pts (as of 10-08; season ends Nov 7)</t>
        </is>
      </c>
      <c r="C5" t="inlineStr">
        <is>
          <t>2026 Cup: Kalshi 18.0%</t>
        </is>
      </c>
      <c r="D5" t="n">
        <v>0.0688</v>
      </c>
      <c r="E5" t="n">
        <v>0.1376</v>
      </c>
      <c r="F5" t="n">
        <v>0.2752</v>
      </c>
      <c r="G5" t="n">
        <v>0.5504</v>
      </c>
      <c r="H5" t="n">
        <v>0.97</v>
      </c>
      <c r="I5" t="n">
        <v>1.5769</v>
      </c>
      <c r="J5" t="n">
        <v>0.6</v>
      </c>
      <c r="K5" t="n">
        <v>7.731</v>
      </c>
      <c r="L5">
        <f>Assumptions!$B$11*D5+Assumptions!$C$11*(E5-D5)+Assumptions!$D$11*(F5-E5)+Assumptions!$E$11*(G5-F5)+Assumptions!$F$11*(H5-G5)</f>
        <v/>
      </c>
      <c r="M5">
        <f>K5+MIN(L5,Assumptions!$H$11)</f>
        <v/>
      </c>
      <c r="N5">
        <f>M5-Assumptions!$I$11</f>
        <v/>
      </c>
      <c r="O5">
        <f>N5-Assumptions!$B$25*Q5</f>
        <v/>
      </c>
      <c r="P5" t="n">
        <v>1</v>
      </c>
      <c r="Q5" t="n">
        <v>3.716</v>
      </c>
      <c r="R5" t="inlineStr">
        <is>
          <t>2026 points (league standings, A) + Kalshi KXMLSCUP-26 price as strength proxy, shrunk 50% toward the field</t>
        </is>
      </c>
      <c r="S5" t="inlineStr">
        <is>
          <t>2026-10-08</t>
        </is>
      </c>
      <c r="T5" s="9" t="inlineStr">
        <is>
          <t>C</t>
        </is>
      </c>
      <c r="U5" t="inlineStr">
        <is>
          <t>No 2027 MLS Cup market yet [v2 certainty adj: sd x2.0, mu shrink 50%, p shrink 50%]</t>
        </is>
      </c>
      <c r="Y5">
        <f>N5-IF(T5="C",Assumptions!$B$27,IF(T5="B",Assumptions!$B$26,0))</f>
        <v/>
      </c>
    </row>
    <row r="6">
      <c r="A6" s="9" t="inlineStr">
        <is>
          <t>Vancouver Whitecaps FC</t>
        </is>
      </c>
      <c r="B6" t="inlineStr">
        <is>
          <t>2026: 50 pts (as of 10-08; season ends Nov 7)</t>
        </is>
      </c>
      <c r="C6" t="inlineStr">
        <is>
          <t>2026 Cup: Kalshi 23.5%</t>
        </is>
      </c>
      <c r="D6" t="n">
        <v>0.0822</v>
      </c>
      <c r="E6" t="n">
        <v>0.1644</v>
      </c>
      <c r="F6" t="n">
        <v>0.3288</v>
      </c>
      <c r="G6" t="n">
        <v>0.6576</v>
      </c>
      <c r="H6" t="n">
        <v>0.97</v>
      </c>
      <c r="I6" t="n">
        <v>1.4934</v>
      </c>
      <c r="J6" t="n">
        <v>0.6</v>
      </c>
      <c r="K6" t="n">
        <v>7.207</v>
      </c>
      <c r="L6">
        <f>Assumptions!$B$11*D6+Assumptions!$C$11*(E6-D6)+Assumptions!$D$11*(F6-E6)+Assumptions!$E$11*(G6-F6)+Assumptions!$F$11*(H6-G6)</f>
        <v/>
      </c>
      <c r="M6">
        <f>K6+MIN(L6,Assumptions!$H$11)</f>
        <v/>
      </c>
      <c r="N6">
        <f>M6-Assumptions!$I$11</f>
        <v/>
      </c>
      <c r="O6">
        <f>N6-Assumptions!$B$25*Q6</f>
        <v/>
      </c>
      <c r="P6" t="n">
        <v>1</v>
      </c>
      <c r="Q6" t="n">
        <v>3.758</v>
      </c>
      <c r="R6" t="inlineStr">
        <is>
          <t>2026 points (league standings, A) + Kalshi KXMLSCUP-26 price as strength proxy, shrunk 50% toward the field</t>
        </is>
      </c>
      <c r="S6" t="inlineStr">
        <is>
          <t>2026-10-08</t>
        </is>
      </c>
      <c r="T6" s="9" t="inlineStr">
        <is>
          <t>C</t>
        </is>
      </c>
      <c r="U6" t="inlineStr">
        <is>
          <t>No 2027 MLS Cup market yet [v2 certainty adj: sd x2.0, mu shrink 50%, p shrink 50%]</t>
        </is>
      </c>
      <c r="X6" s="16" t="inlineStr">
        <is>
          <t>Feder</t>
        </is>
      </c>
      <c r="Y6">
        <f>N6-IF(T6="C",Assumptions!$B$27,IF(T6="B",Assumptions!$B$26,0))</f>
        <v/>
      </c>
    </row>
    <row r="7">
      <c r="A7" s="9" t="inlineStr">
        <is>
          <t>Inter Miami CF</t>
        </is>
      </c>
      <c r="B7" t="inlineStr">
        <is>
          <t>2026: 46 pts (as of 10-08; season ends Nov 7)</t>
        </is>
      </c>
      <c r="C7" t="inlineStr">
        <is>
          <t>2026 Cup: Kalshi 16.5%</t>
        </is>
      </c>
      <c r="D7" t="n">
        <v>0.06510000000000001</v>
      </c>
      <c r="E7" t="n">
        <v>0.1302</v>
      </c>
      <c r="F7" t="n">
        <v>0.2604</v>
      </c>
      <c r="G7" t="n">
        <v>0.5208</v>
      </c>
      <c r="H7" t="n">
        <v>0.97</v>
      </c>
      <c r="I7" t="n">
        <v>1.4604</v>
      </c>
      <c r="J7" t="n">
        <v>0.6</v>
      </c>
      <c r="K7" t="n">
        <v>6.997</v>
      </c>
      <c r="L7">
        <f>Assumptions!$B$11*D7+Assumptions!$C$11*(E7-D7)+Assumptions!$D$11*(F7-E7)+Assumptions!$E$11*(G7-F7)+Assumptions!$F$11*(H7-G7)</f>
        <v/>
      </c>
      <c r="M7">
        <f>K7+MIN(L7,Assumptions!$H$11)</f>
        <v/>
      </c>
      <c r="N7">
        <f>M7-Assumptions!$I$11</f>
        <v/>
      </c>
      <c r="O7">
        <f>N7-Assumptions!$B$25*Q7</f>
        <v/>
      </c>
      <c r="P7" t="n">
        <v>1</v>
      </c>
      <c r="Q7" t="n">
        <v>3.706</v>
      </c>
      <c r="R7" t="inlineStr">
        <is>
          <t>2026 points (league standings, A) + Kalshi KXMLSCUP-26 price as strength proxy, shrunk 50% toward the field</t>
        </is>
      </c>
      <c r="S7" t="inlineStr">
        <is>
          <t>2026-10-08</t>
        </is>
      </c>
      <c r="T7" s="9" t="inlineStr">
        <is>
          <t>C</t>
        </is>
      </c>
      <c r="U7" t="inlineStr">
        <is>
          <t>No 2027 MLS Cup market yet [v2 certainty adj: sd x2.0, mu shrink 50%, p shrink 50%]</t>
        </is>
      </c>
      <c r="X7" s="16" t="inlineStr">
        <is>
          <t>Theo</t>
        </is>
      </c>
      <c r="Y7">
        <f>N7-IF(T7="C",Assumptions!$B$27,IF(T7="B",Assumptions!$B$26,0))</f>
        <v/>
      </c>
    </row>
    <row r="8">
      <c r="A8" s="17" t="inlineStr">
        <is>
          <t>St. Louis City SC</t>
        </is>
      </c>
      <c r="B8" t="inlineStr">
        <is>
          <t>2026: 47 pts (as of 10-08; season ends Nov 7)</t>
        </is>
      </c>
      <c r="C8" t="inlineStr">
        <is>
          <t>2026 Cup: Kalshi 5.5%</t>
        </is>
      </c>
      <c r="D8" t="n">
        <v>0.0383</v>
      </c>
      <c r="E8" t="n">
        <v>0.0766</v>
      </c>
      <c r="F8" t="n">
        <v>0.1532</v>
      </c>
      <c r="G8" t="n">
        <v>0.3064</v>
      </c>
      <c r="H8" t="n">
        <v>0.6128</v>
      </c>
      <c r="I8" t="n">
        <v>1.4684</v>
      </c>
      <c r="J8" t="n">
        <v>0.6</v>
      </c>
      <c r="K8" t="n">
        <v>7.063</v>
      </c>
      <c r="L8">
        <f>Assumptions!$B$11*D8+Assumptions!$C$11*(E8-D8)+Assumptions!$D$11*(F8-E8)+Assumptions!$E$11*(G8-F8)+Assumptions!$F$11*(H8-G8)</f>
        <v/>
      </c>
      <c r="M8">
        <f>K8+MIN(L8,Assumptions!$H$11)</f>
        <v/>
      </c>
      <c r="N8">
        <f>M8-Assumptions!$I$11</f>
        <v/>
      </c>
      <c r="O8">
        <f>N8-Assumptions!$B$25*Q8</f>
        <v/>
      </c>
      <c r="P8" t="n">
        <v>2</v>
      </c>
      <c r="Q8" t="n">
        <v>3.757</v>
      </c>
      <c r="R8" t="inlineStr">
        <is>
          <t>2026 points (league standings, A) + Kalshi KXMLSCUP-26 price as strength proxy, shrunk 50% toward the field</t>
        </is>
      </c>
      <c r="S8" t="inlineStr">
        <is>
          <t>2026-10-08</t>
        </is>
      </c>
      <c r="T8" s="9" t="inlineStr">
        <is>
          <t>C</t>
        </is>
      </c>
      <c r="U8" t="inlineStr">
        <is>
          <t>No 2027 MLS Cup market yet [v2 certainty adj: sd x2.0, mu shrink 50%, p shrink 50%]</t>
        </is>
      </c>
      <c r="Y8">
        <f>N8-IF(T8="C",Assumptions!$B$27,IF(T8="B",Assumptions!$B$26,0))</f>
        <v/>
      </c>
    </row>
    <row r="9">
      <c r="A9" s="17" t="inlineStr">
        <is>
          <t>FC Dallas</t>
        </is>
      </c>
      <c r="B9" t="inlineStr">
        <is>
          <t>2026: 47 pts (as of 10-08; season ends Nov 7)</t>
        </is>
      </c>
      <c r="C9" t="inlineStr">
        <is>
          <t>2026 Cup: Kalshi 4.5%</t>
        </is>
      </c>
      <c r="D9" t="n">
        <v>0.0358</v>
      </c>
      <c r="E9" t="n">
        <v>0.0716</v>
      </c>
      <c r="F9" t="n">
        <v>0.1432</v>
      </c>
      <c r="G9" t="n">
        <v>0.2864</v>
      </c>
      <c r="H9" t="n">
        <v>0.5728</v>
      </c>
      <c r="I9" t="n">
        <v>1.4684</v>
      </c>
      <c r="J9" t="n">
        <v>0.6</v>
      </c>
      <c r="K9" t="n">
        <v>7.115</v>
      </c>
      <c r="L9">
        <f>Assumptions!$B$11*D9+Assumptions!$C$11*(E9-D9)+Assumptions!$D$11*(F9-E9)+Assumptions!$E$11*(G9-F9)+Assumptions!$F$11*(H9-G9)</f>
        <v/>
      </c>
      <c r="M9">
        <f>K9+MIN(L9,Assumptions!$H$11)</f>
        <v/>
      </c>
      <c r="N9">
        <f>M9-Assumptions!$I$11</f>
        <v/>
      </c>
      <c r="O9">
        <f>N9-Assumptions!$B$25*Q9</f>
        <v/>
      </c>
      <c r="P9" t="n">
        <v>2</v>
      </c>
      <c r="Q9" t="n">
        <v>3.741</v>
      </c>
      <c r="R9" t="inlineStr">
        <is>
          <t>2026 points (league standings, A) + Kalshi KXMLSCUP-26 price as strength proxy, shrunk 50% toward the field</t>
        </is>
      </c>
      <c r="S9" t="inlineStr">
        <is>
          <t>2026-10-08</t>
        </is>
      </c>
      <c r="T9" s="9" t="inlineStr">
        <is>
          <t>C</t>
        </is>
      </c>
      <c r="U9" t="inlineStr">
        <is>
          <t>No 2027 MLS Cup market yet [v2 certainty adj: sd x2.0, mu shrink 50%, p shrink 50%]</t>
        </is>
      </c>
      <c r="Y9">
        <f>N9-IF(T9="C",Assumptions!$B$27,IF(T9="B",Assumptions!$B$26,0))</f>
        <v/>
      </c>
    </row>
    <row r="10">
      <c r="A10" s="17" t="inlineStr">
        <is>
          <t>New England Revolution</t>
        </is>
      </c>
      <c r="B10" t="inlineStr">
        <is>
          <t>2026: 46 pts (as of 10-08; season ends Nov 7)</t>
        </is>
      </c>
      <c r="C10" t="inlineStr">
        <is>
          <t>2026 Cup: Kalshi 3.5%</t>
        </is>
      </c>
      <c r="D10" t="n">
        <v>0.0334</v>
      </c>
      <c r="E10" t="n">
        <v>0.0668</v>
      </c>
      <c r="F10" t="n">
        <v>0.1336</v>
      </c>
      <c r="G10" t="n">
        <v>0.2672</v>
      </c>
      <c r="H10" t="n">
        <v>0.5344</v>
      </c>
      <c r="I10" t="n">
        <v>1.4604</v>
      </c>
      <c r="J10" t="n">
        <v>0.6</v>
      </c>
      <c r="K10" t="n">
        <v>7.112</v>
      </c>
      <c r="L10">
        <f>Assumptions!$B$11*D10+Assumptions!$C$11*(E10-D10)+Assumptions!$D$11*(F10-E10)+Assumptions!$E$11*(G10-F10)+Assumptions!$F$11*(H10-G10)</f>
        <v/>
      </c>
      <c r="M10">
        <f>K10+MIN(L10,Assumptions!$H$11)</f>
        <v/>
      </c>
      <c r="N10">
        <f>M10-Assumptions!$I$11</f>
        <v/>
      </c>
      <c r="O10">
        <f>N10-Assumptions!$B$25*Q10</f>
        <v/>
      </c>
      <c r="P10" t="n">
        <v>2</v>
      </c>
      <c r="Q10" t="n">
        <v>3.707</v>
      </c>
      <c r="R10" t="inlineStr">
        <is>
          <t>2026 points (league standings, A) + Kalshi KXMLSCUP-26 price as strength proxy, shrunk 50% toward the field</t>
        </is>
      </c>
      <c r="S10" t="inlineStr">
        <is>
          <t>2026-10-08</t>
        </is>
      </c>
      <c r="T10" s="9" t="inlineStr">
        <is>
          <t>C</t>
        </is>
      </c>
      <c r="U10" t="inlineStr">
        <is>
          <t>No 2027 MLS Cup market yet [v2 certainty adj: sd x2.0, mu shrink 50%, p shrink 50%]</t>
        </is>
      </c>
      <c r="Y10">
        <f>N10-IF(T10="C",Assumptions!$B$27,IF(T10="B",Assumptions!$B$26,0))</f>
        <v/>
      </c>
    </row>
    <row r="11">
      <c r="A11" s="17" t="inlineStr">
        <is>
          <t>Chicago Fire FC</t>
        </is>
      </c>
      <c r="B11" t="inlineStr">
        <is>
          <t>2026: 42 pts (as of 10-08; season ends Nov 7)</t>
        </is>
      </c>
      <c r="C11" t="inlineStr">
        <is>
          <t>2026 Cup: Kalshi 4.5%</t>
        </is>
      </c>
      <c r="D11" t="n">
        <v>0.0358</v>
      </c>
      <c r="E11" t="n">
        <v>0.0716</v>
      </c>
      <c r="F11" t="n">
        <v>0.1432</v>
      </c>
      <c r="G11" t="n">
        <v>0.2864</v>
      </c>
      <c r="H11" t="n">
        <v>0.5728</v>
      </c>
      <c r="I11" t="n">
        <v>1.4269</v>
      </c>
      <c r="J11" t="n">
        <v>0.6</v>
      </c>
      <c r="K11" t="n">
        <v>6.881</v>
      </c>
      <c r="L11">
        <f>Assumptions!$B$11*D11+Assumptions!$C$11*(E11-D11)+Assumptions!$D$11*(F11-E11)+Assumptions!$E$11*(G11-F11)+Assumptions!$F$11*(H11-G11)</f>
        <v/>
      </c>
      <c r="M11">
        <f>K11+MIN(L11,Assumptions!$H$11)</f>
        <v/>
      </c>
      <c r="N11">
        <f>M11-Assumptions!$I$11</f>
        <v/>
      </c>
      <c r="O11">
        <f>N11-Assumptions!$B$25*Q11</f>
        <v/>
      </c>
      <c r="P11" t="n">
        <v>2</v>
      </c>
      <c r="Q11" t="n">
        <v>3.759</v>
      </c>
      <c r="R11" t="inlineStr">
        <is>
          <t>2026 points (league standings, A) + Kalshi KXMLSCUP-26 price as strength proxy, shrunk 50% toward the field</t>
        </is>
      </c>
      <c r="S11" t="inlineStr">
        <is>
          <t>2026-10-08</t>
        </is>
      </c>
      <c r="T11" s="9" t="inlineStr">
        <is>
          <t>C</t>
        </is>
      </c>
      <c r="U11" t="inlineStr">
        <is>
          <t>No 2027 MLS Cup market yet [v2 certainty adj: sd x2.0, mu shrink 50%, p shrink 50%]</t>
        </is>
      </c>
      <c r="Y11">
        <f>N11-IF(T11="C",Assumptions!$B$27,IF(T11="B",Assumptions!$B$26,0))</f>
        <v/>
      </c>
    </row>
    <row r="12">
      <c r="A12" s="19" t="inlineStr">
        <is>
          <t>Los Angeles FC</t>
        </is>
      </c>
      <c r="B12" t="inlineStr">
        <is>
          <t>2026: 41 pts (as of 10-08; season ends Nov 7)</t>
        </is>
      </c>
      <c r="C12" t="inlineStr">
        <is>
          <t>2026 Cup: Kalshi 5.5%</t>
        </is>
      </c>
      <c r="D12" t="n">
        <v>0.0383</v>
      </c>
      <c r="E12" t="n">
        <v>0.0766</v>
      </c>
      <c r="F12" t="n">
        <v>0.1532</v>
      </c>
      <c r="G12" t="n">
        <v>0.3064</v>
      </c>
      <c r="H12" t="n">
        <v>0.6128</v>
      </c>
      <c r="I12" t="n">
        <v>1.4184</v>
      </c>
      <c r="J12" t="n">
        <v>0.6</v>
      </c>
      <c r="K12" t="n">
        <v>6.773</v>
      </c>
      <c r="L12">
        <f>Assumptions!$B$11*D12+Assumptions!$C$11*(E12-D12)+Assumptions!$D$11*(F12-E12)+Assumptions!$E$11*(G12-F12)+Assumptions!$F$11*(H12-G12)</f>
        <v/>
      </c>
      <c r="M12">
        <f>K12+MIN(L12,Assumptions!$H$11)</f>
        <v/>
      </c>
      <c r="N12">
        <f>M12-Assumptions!$I$11</f>
        <v/>
      </c>
      <c r="O12">
        <f>N12-Assumptions!$B$25*Q12</f>
        <v/>
      </c>
      <c r="P12" t="n">
        <v>3</v>
      </c>
      <c r="Q12" t="n">
        <v>3.73</v>
      </c>
      <c r="R12" t="inlineStr">
        <is>
          <t>2026 points (league standings, A) + Kalshi KXMLSCUP-26 price as strength proxy, shrunk 50% toward the field</t>
        </is>
      </c>
      <c r="S12" t="inlineStr">
        <is>
          <t>2026-10-08</t>
        </is>
      </c>
      <c r="T12" s="9" t="inlineStr">
        <is>
          <t>C</t>
        </is>
      </c>
      <c r="U12" t="inlineStr">
        <is>
          <t>No 2027 MLS Cup market yet [v2 certainty adj: sd x2.0, mu shrink 50%, p shrink 50%]</t>
        </is>
      </c>
      <c r="X12" s="16" t="inlineStr">
        <is>
          <t>Buckley</t>
        </is>
      </c>
      <c r="Y12">
        <f>N12-IF(T12="C",Assumptions!$B$27,IF(T12="B",Assumptions!$B$26,0))</f>
        <v/>
      </c>
    </row>
    <row r="13">
      <c r="A13" s="19" t="inlineStr">
        <is>
          <t>Houston Dynamo FC</t>
        </is>
      </c>
      <c r="B13" t="inlineStr">
        <is>
          <t>2026: 44 pts (as of 10-08; season ends Nov 7)</t>
        </is>
      </c>
      <c r="C13" t="inlineStr">
        <is>
          <t>2026 Cup: Kalshi 3.5%</t>
        </is>
      </c>
      <c r="D13" t="n">
        <v>0.0334</v>
      </c>
      <c r="E13" t="n">
        <v>0.0668</v>
      </c>
      <c r="F13" t="n">
        <v>0.1336</v>
      </c>
      <c r="G13" t="n">
        <v>0.2672</v>
      </c>
      <c r="H13" t="n">
        <v>0.5344</v>
      </c>
      <c r="I13" t="n">
        <v>1.4434</v>
      </c>
      <c r="J13" t="n">
        <v>0.6</v>
      </c>
      <c r="K13" t="n">
        <v>6.928</v>
      </c>
      <c r="L13">
        <f>Assumptions!$B$11*D13+Assumptions!$C$11*(E13-D13)+Assumptions!$D$11*(F13-E13)+Assumptions!$E$11*(G13-F13)+Assumptions!$F$11*(H13-G13)</f>
        <v/>
      </c>
      <c r="M13">
        <f>K13+MIN(L13,Assumptions!$H$11)</f>
        <v/>
      </c>
      <c r="N13">
        <f>M13-Assumptions!$I$11</f>
        <v/>
      </c>
      <c r="O13">
        <f>N13-Assumptions!$B$25*Q13</f>
        <v/>
      </c>
      <c r="P13" t="n">
        <v>3</v>
      </c>
      <c r="Q13" t="n">
        <v>3.731</v>
      </c>
      <c r="R13" t="inlineStr">
        <is>
          <t>2026 points (league standings, A) + Kalshi KXMLSCUP-26 price as strength proxy, shrunk 50% toward the field</t>
        </is>
      </c>
      <c r="S13" t="inlineStr">
        <is>
          <t>2026-10-08</t>
        </is>
      </c>
      <c r="T13" s="9" t="inlineStr">
        <is>
          <t>C</t>
        </is>
      </c>
      <c r="U13" t="inlineStr">
        <is>
          <t>No 2027 MLS Cup market yet [v2 certainty adj: sd x2.0, mu shrink 50%, p shrink 50%]</t>
        </is>
      </c>
      <c r="Y13">
        <f>N13-IF(T13="C",Assumptions!$B$27,IF(T13="B",Assumptions!$B$26,0))</f>
        <v/>
      </c>
    </row>
    <row r="14">
      <c r="A14" s="19" t="inlineStr">
        <is>
          <t>San Jose Earthquakes</t>
        </is>
      </c>
      <c r="B14" t="inlineStr">
        <is>
          <t>2026: 45 pts (as of 10-08; season ends Nov 7)</t>
        </is>
      </c>
      <c r="C14" t="inlineStr">
        <is>
          <t>2026 Cup: Kalshi 2.5%</t>
        </is>
      </c>
      <c r="D14" t="n">
        <v>0.0309</v>
      </c>
      <c r="E14" t="n">
        <v>0.0618</v>
      </c>
      <c r="F14" t="n">
        <v>0.1236</v>
      </c>
      <c r="G14" t="n">
        <v>0.2472</v>
      </c>
      <c r="H14" t="n">
        <v>0.4944</v>
      </c>
      <c r="I14" t="n">
        <v>1.4519</v>
      </c>
      <c r="J14" t="n">
        <v>0.6</v>
      </c>
      <c r="K14" t="n">
        <v>6.979</v>
      </c>
      <c r="L14">
        <f>Assumptions!$B$11*D14+Assumptions!$C$11*(E14-D14)+Assumptions!$D$11*(F14-E14)+Assumptions!$E$11*(G14-F14)+Assumptions!$F$11*(H14-G14)</f>
        <v/>
      </c>
      <c r="M14">
        <f>K14+MIN(L14,Assumptions!$H$11)</f>
        <v/>
      </c>
      <c r="N14">
        <f>M14-Assumptions!$I$11</f>
        <v/>
      </c>
      <c r="O14">
        <f>N14-Assumptions!$B$25*Q14</f>
        <v/>
      </c>
      <c r="P14" t="n">
        <v>3</v>
      </c>
      <c r="Q14" t="n">
        <v>3.713</v>
      </c>
      <c r="R14" t="inlineStr">
        <is>
          <t>2026 points (league standings, A) + Kalshi KXMLSCUP-26 price as strength proxy, shrunk 50% toward the field</t>
        </is>
      </c>
      <c r="S14" t="inlineStr">
        <is>
          <t>2026-10-08</t>
        </is>
      </c>
      <c r="T14" s="9" t="inlineStr">
        <is>
          <t>C</t>
        </is>
      </c>
      <c r="U14" t="inlineStr">
        <is>
          <t>No 2027 MLS Cup market yet [v2 certainty adj: sd x2.0, mu shrink 50%, p shrink 50%]</t>
        </is>
      </c>
      <c r="Y14">
        <f>N14-IF(T14="C",Assumptions!$B$27,IF(T14="B",Assumptions!$B$26,0))</f>
        <v/>
      </c>
    </row>
    <row r="15">
      <c r="A15" s="19" t="inlineStr">
        <is>
          <t>Charlotte FC</t>
        </is>
      </c>
      <c r="B15" t="inlineStr">
        <is>
          <t>2026: 43 pts (as of 10-08; season ends Nov 7)</t>
        </is>
      </c>
      <c r="C15" t="inlineStr">
        <is>
          <t>2026 Cup: Kalshi 2.5%</t>
        </is>
      </c>
      <c r="D15" t="n">
        <v>0.0309</v>
      </c>
      <c r="E15" t="n">
        <v>0.0618</v>
      </c>
      <c r="F15" t="n">
        <v>0.1236</v>
      </c>
      <c r="G15" t="n">
        <v>0.2472</v>
      </c>
      <c r="H15" t="n">
        <v>0.4944</v>
      </c>
      <c r="I15" t="n">
        <v>1.4354</v>
      </c>
      <c r="J15" t="n">
        <v>0.6</v>
      </c>
      <c r="K15" t="n">
        <v>6.82</v>
      </c>
      <c r="L15">
        <f>Assumptions!$B$11*D15+Assumptions!$C$11*(E15-D15)+Assumptions!$D$11*(F15-E15)+Assumptions!$E$11*(G15-F15)+Assumptions!$F$11*(H15-G15)</f>
        <v/>
      </c>
      <c r="M15">
        <f>K15+MIN(L15,Assumptions!$H$11)</f>
        <v/>
      </c>
      <c r="N15">
        <f>M15-Assumptions!$I$11</f>
        <v/>
      </c>
      <c r="O15">
        <f>N15-Assumptions!$B$25*Q15</f>
        <v/>
      </c>
      <c r="P15" t="n">
        <v>3</v>
      </c>
      <c r="Q15" t="n">
        <v>3.734</v>
      </c>
      <c r="R15" t="inlineStr">
        <is>
          <t>2026 points (league standings, A) + Kalshi KXMLSCUP-26 price as strength proxy, shrunk 50% toward the field</t>
        </is>
      </c>
      <c r="S15" t="inlineStr">
        <is>
          <t>2026-10-08</t>
        </is>
      </c>
      <c r="T15" s="9" t="inlineStr">
        <is>
          <t>C</t>
        </is>
      </c>
      <c r="U15" t="inlineStr">
        <is>
          <t>No 2027 MLS Cup market yet [v2 certainty adj: sd x2.0, mu shrink 50%, p shrink 50%]</t>
        </is>
      </c>
      <c r="X15" s="16" t="inlineStr">
        <is>
          <t>Tim</t>
        </is>
      </c>
      <c r="Y15">
        <f>N15-IF(T15="C",Assumptions!$B$27,IF(T15="B",Assumptions!$B$26,0))</f>
        <v/>
      </c>
    </row>
    <row r="16">
      <c r="A16" s="19" t="inlineStr">
        <is>
          <t>Philadelphia Union</t>
        </is>
      </c>
      <c r="B16" t="inlineStr">
        <is>
          <t>2026: 39 pts (as of 10-08; season ends Nov 7)</t>
        </is>
      </c>
      <c r="C16" t="inlineStr">
        <is>
          <t>2026 Cup: Kalshi 3.5%</t>
        </is>
      </c>
      <c r="D16" t="n">
        <v>0.0334</v>
      </c>
      <c r="E16" t="n">
        <v>0.0668</v>
      </c>
      <c r="F16" t="n">
        <v>0.1336</v>
      </c>
      <c r="G16" t="n">
        <v>0.2672</v>
      </c>
      <c r="H16" t="n">
        <v>0.5344</v>
      </c>
      <c r="I16" t="n">
        <v>1.4019</v>
      </c>
      <c r="J16" t="n">
        <v>0.6</v>
      </c>
      <c r="K16" t="n">
        <v>6.647</v>
      </c>
      <c r="L16">
        <f>Assumptions!$B$11*D16+Assumptions!$C$11*(E16-D16)+Assumptions!$D$11*(F16-E16)+Assumptions!$E$11*(G16-F16)+Assumptions!$F$11*(H16-G16)</f>
        <v/>
      </c>
      <c r="M16">
        <f>K16+MIN(L16,Assumptions!$H$11)</f>
        <v/>
      </c>
      <c r="N16">
        <f>M16-Assumptions!$I$11</f>
        <v/>
      </c>
      <c r="O16">
        <f>N16-Assumptions!$B$25*Q16</f>
        <v/>
      </c>
      <c r="P16" t="n">
        <v>3</v>
      </c>
      <c r="Q16" t="n">
        <v>3.737</v>
      </c>
      <c r="R16" t="inlineStr">
        <is>
          <t>2026 points (league standings, A) + Kalshi KXMLSCUP-26 price as strength proxy, shrunk 50% toward the field</t>
        </is>
      </c>
      <c r="S16" t="inlineStr">
        <is>
          <t>2026-10-08</t>
        </is>
      </c>
      <c r="T16" s="9" t="inlineStr">
        <is>
          <t>C</t>
        </is>
      </c>
      <c r="U16" t="inlineStr">
        <is>
          <t>No 2027 MLS Cup market yet [v2 certainty adj: sd x2.0, mu shrink 50%, p shrink 50%]</t>
        </is>
      </c>
      <c r="X16" s="16" t="inlineStr">
        <is>
          <t>Mitchell</t>
        </is>
      </c>
      <c r="Y16">
        <f>N16-IF(T16="C",Assumptions!$B$27,IF(T16="B",Assumptions!$B$26,0))</f>
        <v/>
      </c>
    </row>
    <row r="17">
      <c r="A17" s="19" t="inlineStr">
        <is>
          <t>Seattle Sounders FC</t>
        </is>
      </c>
      <c r="B17" t="inlineStr">
        <is>
          <t>2026: 38 pts (as of 10-08; season ends Nov 7)</t>
        </is>
      </c>
      <c r="C17" t="inlineStr">
        <is>
          <t>2026 Cup: Kalshi 1.5%</t>
        </is>
      </c>
      <c r="D17" t="n">
        <v>0.0285</v>
      </c>
      <c r="E17" t="n">
        <v>0.057</v>
      </c>
      <c r="F17" t="n">
        <v>0.114</v>
      </c>
      <c r="G17" t="n">
        <v>0.228</v>
      </c>
      <c r="H17" t="n">
        <v>0.456</v>
      </c>
      <c r="I17" t="n">
        <v>1.3934</v>
      </c>
      <c r="J17" t="n">
        <v>0.6</v>
      </c>
      <c r="K17" t="n">
        <v>6.625</v>
      </c>
      <c r="L17">
        <f>Assumptions!$B$11*D17+Assumptions!$C$11*(E17-D17)+Assumptions!$D$11*(F17-E17)+Assumptions!$E$11*(G17-F17)+Assumptions!$F$11*(H17-G17)</f>
        <v/>
      </c>
      <c r="M17">
        <f>K17+MIN(L17,Assumptions!$H$11)</f>
        <v/>
      </c>
      <c r="N17">
        <f>M17-Assumptions!$I$11</f>
        <v/>
      </c>
      <c r="O17">
        <f>N17-Assumptions!$B$25*Q17</f>
        <v/>
      </c>
      <c r="P17" t="n">
        <v>3</v>
      </c>
      <c r="Q17" t="n">
        <v>3.727</v>
      </c>
      <c r="R17" t="inlineStr">
        <is>
          <t>2026 points (league standings, A) + Kalshi KXMLSCUP-26 price as strength proxy, shrunk 50% toward the field</t>
        </is>
      </c>
      <c r="S17" t="inlineStr">
        <is>
          <t>2026-10-08</t>
        </is>
      </c>
      <c r="T17" s="9" t="inlineStr">
        <is>
          <t>C</t>
        </is>
      </c>
      <c r="U17" t="inlineStr">
        <is>
          <t>No 2027 MLS Cup market yet [v2 certainty adj: sd x2.0, mu shrink 50%, p shrink 50%]</t>
        </is>
      </c>
      <c r="X17" s="16" t="inlineStr">
        <is>
          <t>Jamzee</t>
        </is>
      </c>
      <c r="Y17">
        <f>N17-IF(T17="C",Assumptions!$B$27,IF(T17="B",Assumptions!$B$26,0))</f>
        <v/>
      </c>
    </row>
    <row r="18">
      <c r="A18" t="inlineStr">
        <is>
          <t>LA Galaxy</t>
        </is>
      </c>
      <c r="B18" t="inlineStr">
        <is>
          <t>2026: 36 pts (as of 10-08; season ends Nov 7)</t>
        </is>
      </c>
      <c r="C18" t="inlineStr">
        <is>
          <t>2026 Cup: Kalshi 1.5%</t>
        </is>
      </c>
      <c r="D18" t="n">
        <v>0.0285</v>
      </c>
      <c r="E18" t="n">
        <v>0.057</v>
      </c>
      <c r="F18" t="n">
        <v>0.114</v>
      </c>
      <c r="G18" t="n">
        <v>0.228</v>
      </c>
      <c r="H18" t="n">
        <v>0.456</v>
      </c>
      <c r="I18" t="n">
        <v>1.3769</v>
      </c>
      <c r="J18" t="n">
        <v>0.6</v>
      </c>
      <c r="K18" t="n">
        <v>6.517</v>
      </c>
      <c r="L18">
        <f>Assumptions!$B$11*D18+Assumptions!$C$11*(E18-D18)+Assumptions!$D$11*(F18-E18)+Assumptions!$E$11*(G18-F18)+Assumptions!$F$11*(H18-G18)</f>
        <v/>
      </c>
      <c r="M18">
        <f>K18+MIN(L18,Assumptions!$H$11)</f>
        <v/>
      </c>
      <c r="N18">
        <f>M18-Assumptions!$I$11</f>
        <v/>
      </c>
      <c r="O18">
        <f>N18-Assumptions!$B$25*Q18</f>
        <v/>
      </c>
      <c r="P18" t="n">
        <v>4</v>
      </c>
      <c r="Q18" t="n">
        <v>3.721</v>
      </c>
      <c r="R18" t="inlineStr">
        <is>
          <t>2026 points (league standings, A) + Kalshi KXMLSCUP-26 price as strength proxy, shrunk 50% toward the field</t>
        </is>
      </c>
      <c r="S18" t="inlineStr">
        <is>
          <t>2026-10-08</t>
        </is>
      </c>
      <c r="T18" s="9" t="inlineStr">
        <is>
          <t>C</t>
        </is>
      </c>
      <c r="U18" t="inlineStr">
        <is>
          <t>No 2027 MLS Cup market yet [v2 certainty adj: sd x2.0, mu shrink 50%, p shrink 50%]</t>
        </is>
      </c>
      <c r="X18" s="16" t="inlineStr">
        <is>
          <t>Molmen</t>
        </is>
      </c>
      <c r="Y18">
        <f>N18-IF(T18="C",Assumptions!$B$27,IF(T18="B",Assumptions!$B$26,0))</f>
        <v/>
      </c>
    </row>
    <row r="19">
      <c r="A19" t="inlineStr">
        <is>
          <t>Orlando City SC</t>
        </is>
      </c>
      <c r="B19" t="inlineStr">
        <is>
          <t>2026: 34 pts (as of 10-08; season ends Nov 7)</t>
        </is>
      </c>
      <c r="C19" t="inlineStr">
        <is>
          <t>2026 Cup: Kalshi 0.5%</t>
        </is>
      </c>
      <c r="D19" t="n">
        <v>0.0261</v>
      </c>
      <c r="E19" t="n">
        <v>0.0522</v>
      </c>
      <c r="F19" t="n">
        <v>0.1044</v>
      </c>
      <c r="G19" t="n">
        <v>0.2088</v>
      </c>
      <c r="H19" t="n">
        <v>0.4176</v>
      </c>
      <c r="I19" t="n">
        <v>1.3604</v>
      </c>
      <c r="J19" t="n">
        <v>0.6</v>
      </c>
      <c r="K19" t="n">
        <v>6.519</v>
      </c>
      <c r="L19">
        <f>Assumptions!$B$11*D19+Assumptions!$C$11*(E19-D19)+Assumptions!$D$11*(F19-E19)+Assumptions!$E$11*(G19-F19)+Assumptions!$F$11*(H19-G19)</f>
        <v/>
      </c>
      <c r="M19">
        <f>K19+MIN(L19,Assumptions!$H$11)</f>
        <v/>
      </c>
      <c r="N19">
        <f>M19-Assumptions!$I$11</f>
        <v/>
      </c>
      <c r="O19">
        <f>N19-Assumptions!$B$25*Q19</f>
        <v/>
      </c>
      <c r="P19" t="n">
        <v>4</v>
      </c>
      <c r="Q19" t="n">
        <v>3.713</v>
      </c>
      <c r="R19" t="inlineStr">
        <is>
          <t>2026 points (league standings, A) + Kalshi KXMLSCUP-26 price as strength proxy, shrunk 50% toward the field</t>
        </is>
      </c>
      <c r="S19" t="inlineStr">
        <is>
          <t>2026-10-08</t>
        </is>
      </c>
      <c r="T19" s="9" t="inlineStr">
        <is>
          <t>C</t>
        </is>
      </c>
      <c r="U19" t="inlineStr">
        <is>
          <t>No 2027 MLS Cup market yet [v2 certainty adj: sd x2.0, mu shrink 50%, p shrink 50%]</t>
        </is>
      </c>
      <c r="X19" s="16" t="inlineStr">
        <is>
          <t>Shep</t>
        </is>
      </c>
      <c r="Y19">
        <f>N19-IF(T19="C",Assumptions!$B$27,IF(T19="B",Assumptions!$B$26,0))</f>
        <v/>
      </c>
    </row>
    <row r="20">
      <c r="A20" t="inlineStr">
        <is>
          <t>Colorado Rapids</t>
        </is>
      </c>
      <c r="B20" t="inlineStr">
        <is>
          <t>2026: 36 pts (as of 10-08; season ends Nov 7)</t>
        </is>
      </c>
      <c r="C20" t="inlineStr">
        <is>
          <t>2026 Cup: Kalshi 0.5%</t>
        </is>
      </c>
      <c r="D20" t="n">
        <v>0.0261</v>
      </c>
      <c r="E20" t="n">
        <v>0.0522</v>
      </c>
      <c r="F20" t="n">
        <v>0.1044</v>
      </c>
      <c r="G20" t="n">
        <v>0.2088</v>
      </c>
      <c r="H20" t="n">
        <v>0.4176</v>
      </c>
      <c r="I20" t="n">
        <v>1.3769</v>
      </c>
      <c r="J20" t="n">
        <v>0.6</v>
      </c>
      <c r="K20" t="n">
        <v>6.513</v>
      </c>
      <c r="L20">
        <f>Assumptions!$B$11*D20+Assumptions!$C$11*(E20-D20)+Assumptions!$D$11*(F20-E20)+Assumptions!$E$11*(G20-F20)+Assumptions!$F$11*(H20-G20)</f>
        <v/>
      </c>
      <c r="M20">
        <f>K20+MIN(L20,Assumptions!$H$11)</f>
        <v/>
      </c>
      <c r="N20">
        <f>M20-Assumptions!$I$11</f>
        <v/>
      </c>
      <c r="O20">
        <f>N20-Assumptions!$B$25*Q20</f>
        <v/>
      </c>
      <c r="P20" t="n">
        <v>4</v>
      </c>
      <c r="Q20" t="n">
        <v>3.707</v>
      </c>
      <c r="R20" t="inlineStr">
        <is>
          <t>2026 points (league standings, A) + Kalshi KXMLSCUP-26 price as strength proxy, shrunk 50% toward the field</t>
        </is>
      </c>
      <c r="S20" t="inlineStr">
        <is>
          <t>2026-10-08</t>
        </is>
      </c>
      <c r="T20" s="9" t="inlineStr">
        <is>
          <t>C</t>
        </is>
      </c>
      <c r="U20" t="inlineStr">
        <is>
          <t>No 2027 MLS Cup market yet [v2 certainty adj: sd x2.0, mu shrink 50%, p shrink 50%]</t>
        </is>
      </c>
      <c r="Y20">
        <f>N20-IF(T20="C",Assumptions!$B$27,IF(T20="B",Assumptions!$B$26,0))</f>
        <v/>
      </c>
    </row>
    <row r="21">
      <c r="A21" t="inlineStr">
        <is>
          <t>New York Red Bulls</t>
        </is>
      </c>
      <c r="B21" t="inlineStr">
        <is>
          <t>2026: 33 pts (as of 10-08; season ends Nov 7)</t>
        </is>
      </c>
      <c r="C21" t="inlineStr">
        <is>
          <t>2026 Cup: Kalshi 0.5%</t>
        </is>
      </c>
      <c r="D21" t="n">
        <v>0.0261</v>
      </c>
      <c r="E21" t="n">
        <v>0.0522</v>
      </c>
      <c r="F21" t="n">
        <v>0.1044</v>
      </c>
      <c r="G21" t="n">
        <v>0.2088</v>
      </c>
      <c r="H21" t="n">
        <v>0.4176</v>
      </c>
      <c r="I21" t="n">
        <v>1.3519</v>
      </c>
      <c r="J21" t="n">
        <v>0.6</v>
      </c>
      <c r="K21" t="n">
        <v>6.465</v>
      </c>
      <c r="L21">
        <f>Assumptions!$B$11*D21+Assumptions!$C$11*(E21-D21)+Assumptions!$D$11*(F21-E21)+Assumptions!$E$11*(G21-F21)+Assumptions!$F$11*(H21-G21)</f>
        <v/>
      </c>
      <c r="M21">
        <f>K21+MIN(L21,Assumptions!$H$11)</f>
        <v/>
      </c>
      <c r="N21">
        <f>M21-Assumptions!$I$11</f>
        <v/>
      </c>
      <c r="O21">
        <f>N21-Assumptions!$B$25*Q21</f>
        <v/>
      </c>
      <c r="P21" t="n">
        <v>4</v>
      </c>
      <c r="Q21" t="n">
        <v>3.747</v>
      </c>
      <c r="R21" t="inlineStr">
        <is>
          <t>2026 points (league standings, A) + Kalshi KXMLSCUP-26 price as strength proxy, shrunk 50% toward the field</t>
        </is>
      </c>
      <c r="S21" t="inlineStr">
        <is>
          <t>2026-10-08</t>
        </is>
      </c>
      <c r="T21" s="9" t="inlineStr">
        <is>
          <t>C</t>
        </is>
      </c>
      <c r="U21" t="inlineStr">
        <is>
          <t>No 2027 MLS Cup market yet [v2 certainty adj: sd x2.0, mu shrink 50%, p shrink 50%]</t>
        </is>
      </c>
      <c r="X21" s="16" t="inlineStr">
        <is>
          <t>Todd</t>
        </is>
      </c>
      <c r="Y21">
        <f>N21-IF(T21="C",Assumptions!$B$27,IF(T21="B",Assumptions!$B$26,0))</f>
        <v/>
      </c>
    </row>
    <row r="22">
      <c r="A22" t="inlineStr">
        <is>
          <t>New York City FC</t>
        </is>
      </c>
      <c r="B22" t="inlineStr">
        <is>
          <t>2026: 33 pts (as of 10-08; season ends Nov 7)</t>
        </is>
      </c>
      <c r="C22" t="inlineStr">
        <is>
          <t>2026 Cup: Kalshi 0.5%</t>
        </is>
      </c>
      <c r="D22" t="n">
        <v>0.0261</v>
      </c>
      <c r="E22" t="n">
        <v>0.0522</v>
      </c>
      <c r="F22" t="n">
        <v>0.1044</v>
      </c>
      <c r="G22" t="n">
        <v>0.2088</v>
      </c>
      <c r="H22" t="n">
        <v>0.4176</v>
      </c>
      <c r="I22" t="n">
        <v>1.3519</v>
      </c>
      <c r="J22" t="n">
        <v>0.6</v>
      </c>
      <c r="K22" t="n">
        <v>6.419</v>
      </c>
      <c r="L22">
        <f>Assumptions!$B$11*D22+Assumptions!$C$11*(E22-D22)+Assumptions!$D$11*(F22-E22)+Assumptions!$E$11*(G22-F22)+Assumptions!$F$11*(H22-G22)</f>
        <v/>
      </c>
      <c r="M22">
        <f>K22+MIN(L22,Assumptions!$H$11)</f>
        <v/>
      </c>
      <c r="N22">
        <f>M22-Assumptions!$I$11</f>
        <v/>
      </c>
      <c r="O22">
        <f>N22-Assumptions!$B$25*Q22</f>
        <v/>
      </c>
      <c r="P22" t="n">
        <v>4</v>
      </c>
      <c r="Q22" t="n">
        <v>3.735</v>
      </c>
      <c r="R22" t="inlineStr">
        <is>
          <t>2026 points (league standings, A) + Kalshi KXMLSCUP-26 price as strength proxy, shrunk 50% toward the field</t>
        </is>
      </c>
      <c r="S22" t="inlineStr">
        <is>
          <t>2026-10-08</t>
        </is>
      </c>
      <c r="T22" s="9" t="inlineStr">
        <is>
          <t>C</t>
        </is>
      </c>
      <c r="U22" t="inlineStr">
        <is>
          <t>No 2027 MLS Cup market yet [v2 certainty adj: sd x2.0, mu shrink 50%, p shrink 50%]</t>
        </is>
      </c>
      <c r="Y22">
        <f>N22-IF(T22="C",Assumptions!$B$27,IF(T22="B",Assumptions!$B$26,0))</f>
        <v/>
      </c>
    </row>
    <row r="23">
      <c r="A23" t="inlineStr">
        <is>
          <t>FC Cincinnati</t>
        </is>
      </c>
      <c r="B23" t="inlineStr">
        <is>
          <t>2026: 33 pts (as of 10-08; season ends Nov 7)</t>
        </is>
      </c>
      <c r="C23" t="inlineStr">
        <is>
          <t>2026 Cup: Kalshi 0.5%</t>
        </is>
      </c>
      <c r="D23" t="n">
        <v>0.0261</v>
      </c>
      <c r="E23" t="n">
        <v>0.0522</v>
      </c>
      <c r="F23" t="n">
        <v>0.1044</v>
      </c>
      <c r="G23" t="n">
        <v>0.2088</v>
      </c>
      <c r="H23" t="n">
        <v>0.4176</v>
      </c>
      <c r="I23" t="n">
        <v>1.3519</v>
      </c>
      <c r="J23" t="n">
        <v>0.6</v>
      </c>
      <c r="K23" t="n">
        <v>6.402</v>
      </c>
      <c r="L23">
        <f>Assumptions!$B$11*D23+Assumptions!$C$11*(E23-D23)+Assumptions!$D$11*(F23-E23)+Assumptions!$E$11*(G23-F23)+Assumptions!$F$11*(H23-G23)</f>
        <v/>
      </c>
      <c r="M23">
        <f>K23+MIN(L23,Assumptions!$H$11)</f>
        <v/>
      </c>
      <c r="N23">
        <f>M23-Assumptions!$I$11</f>
        <v/>
      </c>
      <c r="O23">
        <f>N23-Assumptions!$B$25*Q23</f>
        <v/>
      </c>
      <c r="P23" t="n">
        <v>4</v>
      </c>
      <c r="Q23" t="n">
        <v>3.708</v>
      </c>
      <c r="R23" t="inlineStr">
        <is>
          <t>2026 points (league standings, A) + Kalshi KXMLSCUP-26 price as strength proxy, shrunk 50% toward the field</t>
        </is>
      </c>
      <c r="S23" t="inlineStr">
        <is>
          <t>2026-10-08</t>
        </is>
      </c>
      <c r="T23" s="9" t="inlineStr">
        <is>
          <t>C</t>
        </is>
      </c>
      <c r="U23" t="inlineStr">
        <is>
          <t>No 2027 MLS Cup market yet [v2 certainty adj: sd x2.0, mu shrink 50%, p shrink 50%]</t>
        </is>
      </c>
      <c r="X23" s="16" t="inlineStr">
        <is>
          <t>Korch</t>
        </is>
      </c>
      <c r="Y23">
        <f>N23-IF(T23="C",Assumptions!$B$27,IF(T23="B",Assumptions!$B$26,0))</f>
        <v/>
      </c>
    </row>
    <row r="24">
      <c r="A24" t="inlineStr">
        <is>
          <t>San Diego FC</t>
        </is>
      </c>
      <c r="B24" t="inlineStr">
        <is>
          <t>2026: 32 pts (as of 10-08; season ends Nov 7)</t>
        </is>
      </c>
      <c r="C24" t="inlineStr">
        <is>
          <t>2026 Cup: Kalshi 0.5%</t>
        </is>
      </c>
      <c r="D24" t="n">
        <v>0.0261</v>
      </c>
      <c r="E24" t="n">
        <v>0.0522</v>
      </c>
      <c r="F24" t="n">
        <v>0.1044</v>
      </c>
      <c r="G24" t="n">
        <v>0.2088</v>
      </c>
      <c r="H24" t="n">
        <v>0.4176</v>
      </c>
      <c r="I24" t="n">
        <v>1.3434</v>
      </c>
      <c r="J24" t="n">
        <v>0.6</v>
      </c>
      <c r="K24" t="n">
        <v>6.396</v>
      </c>
      <c r="L24">
        <f>Assumptions!$B$11*D24+Assumptions!$C$11*(E24-D24)+Assumptions!$D$11*(F24-E24)+Assumptions!$E$11*(G24-F24)+Assumptions!$F$11*(H24-G24)</f>
        <v/>
      </c>
      <c r="M24">
        <f>K24+MIN(L24,Assumptions!$H$11)</f>
        <v/>
      </c>
      <c r="N24">
        <f>M24-Assumptions!$I$11</f>
        <v/>
      </c>
      <c r="O24">
        <f>N24-Assumptions!$B$25*Q24</f>
        <v/>
      </c>
      <c r="P24" t="n">
        <v>4</v>
      </c>
      <c r="Q24" t="n">
        <v>3.72</v>
      </c>
      <c r="R24" t="inlineStr">
        <is>
          <t>2026 points (league standings, A) + Kalshi KXMLSCUP-26 price as strength proxy, shrunk 50% toward the field</t>
        </is>
      </c>
      <c r="S24" t="inlineStr">
        <is>
          <t>2026-10-08</t>
        </is>
      </c>
      <c r="T24" s="9" t="inlineStr">
        <is>
          <t>C</t>
        </is>
      </c>
      <c r="U24" t="inlineStr">
        <is>
          <t>No 2027 MLS Cup market yet [v2 certainty adj: sd x2.0, mu shrink 50%, p shrink 50%]</t>
        </is>
      </c>
      <c r="X24" s="16" t="inlineStr">
        <is>
          <t>Jens</t>
        </is>
      </c>
      <c r="Y24">
        <f>N24-IF(T24="C",Assumptions!$B$27,IF(T24="B",Assumptions!$B$26,0))</f>
        <v/>
      </c>
    </row>
    <row r="25">
      <c r="A25" t="inlineStr">
        <is>
          <t>Portland Timbers</t>
        </is>
      </c>
      <c r="B25" t="inlineStr">
        <is>
          <t>2026: 32 pts (as of 10-08; season ends Nov 7)</t>
        </is>
      </c>
      <c r="C25" t="inlineStr">
        <is>
          <t>2026 Cup: Kalshi 0.5%</t>
        </is>
      </c>
      <c r="D25" t="n">
        <v>0.0261</v>
      </c>
      <c r="E25" t="n">
        <v>0.0522</v>
      </c>
      <c r="F25" t="n">
        <v>0.1044</v>
      </c>
      <c r="G25" t="n">
        <v>0.2088</v>
      </c>
      <c r="H25" t="n">
        <v>0.4176</v>
      </c>
      <c r="I25" t="n">
        <v>1.3434</v>
      </c>
      <c r="J25" t="n">
        <v>0.6</v>
      </c>
      <c r="K25" t="n">
        <v>6.39</v>
      </c>
      <c r="L25">
        <f>Assumptions!$B$11*D25+Assumptions!$C$11*(E25-D25)+Assumptions!$D$11*(F25-E25)+Assumptions!$E$11*(G25-F25)+Assumptions!$F$11*(H25-G25)</f>
        <v/>
      </c>
      <c r="M25">
        <f>K25+MIN(L25,Assumptions!$H$11)</f>
        <v/>
      </c>
      <c r="N25">
        <f>M25-Assumptions!$I$11</f>
        <v/>
      </c>
      <c r="O25">
        <f>N25-Assumptions!$B$25*Q25</f>
        <v/>
      </c>
      <c r="P25" t="n">
        <v>4</v>
      </c>
      <c r="Q25" t="n">
        <v>3.705</v>
      </c>
      <c r="R25" t="inlineStr">
        <is>
          <t>2026 points (league standings, A) + Kalshi KXMLSCUP-26 price as strength proxy, shrunk 50% toward the field</t>
        </is>
      </c>
      <c r="S25" t="inlineStr">
        <is>
          <t>2026-10-08</t>
        </is>
      </c>
      <c r="T25" s="9" t="inlineStr">
        <is>
          <t>C</t>
        </is>
      </c>
      <c r="U25" t="inlineStr">
        <is>
          <t>No 2027 MLS Cup market yet [v2 certainty adj: sd x2.0, mu shrink 50%, p shrink 50%]</t>
        </is>
      </c>
      <c r="Y25">
        <f>N25-IF(T25="C",Assumptions!$B$27,IF(T25="B",Assumptions!$B$26,0))</f>
        <v/>
      </c>
    </row>
    <row r="26">
      <c r="A26" t="inlineStr">
        <is>
          <t>Minnesota United FC</t>
        </is>
      </c>
      <c r="B26" t="inlineStr">
        <is>
          <t>2026: 29 pts (as of 10-08; season ends Nov 7)</t>
        </is>
      </c>
      <c r="C26" t="inlineStr">
        <is>
          <t>2026 Cup: Kalshi 0.5%</t>
        </is>
      </c>
      <c r="D26" t="n">
        <v>0.0261</v>
      </c>
      <c r="E26" t="n">
        <v>0.0522</v>
      </c>
      <c r="F26" t="n">
        <v>0.1044</v>
      </c>
      <c r="G26" t="n">
        <v>0.2088</v>
      </c>
      <c r="H26" t="n">
        <v>0.4176</v>
      </c>
      <c r="I26" t="n">
        <v>1.3184</v>
      </c>
      <c r="J26" t="n">
        <v>0.6</v>
      </c>
      <c r="K26" t="n">
        <v>6.295</v>
      </c>
      <c r="L26">
        <f>Assumptions!$B$11*D26+Assumptions!$C$11*(E26-D26)+Assumptions!$D$11*(F26-E26)+Assumptions!$E$11*(G26-F26)+Assumptions!$F$11*(H26-G26)</f>
        <v/>
      </c>
      <c r="M26">
        <f>K26+MIN(L26,Assumptions!$H$11)</f>
        <v/>
      </c>
      <c r="N26">
        <f>M26-Assumptions!$I$11</f>
        <v/>
      </c>
      <c r="O26">
        <f>N26-Assumptions!$B$25*Q26</f>
        <v/>
      </c>
      <c r="P26" t="n">
        <v>4</v>
      </c>
      <c r="Q26" t="n">
        <v>3.665</v>
      </c>
      <c r="R26" t="inlineStr">
        <is>
          <t>2026 points (league standings, A) + Kalshi KXMLSCUP-26 price as strength proxy, shrunk 50% toward the field</t>
        </is>
      </c>
      <c r="S26" t="inlineStr">
        <is>
          <t>2026-10-08</t>
        </is>
      </c>
      <c r="T26" s="9" t="inlineStr">
        <is>
          <t>C</t>
        </is>
      </c>
      <c r="U26" t="inlineStr">
        <is>
          <t>No 2027 MLS Cup market yet [v2 certainty adj: sd x2.0, mu shrink 50%, p shrink 50%]</t>
        </is>
      </c>
      <c r="X26" s="16" t="inlineStr">
        <is>
          <t>Wu</t>
        </is>
      </c>
      <c r="Y26">
        <f>N26-IF(T26="C",Assumptions!$B$27,IF(T26="B",Assumptions!$B$26,0))</f>
        <v/>
      </c>
    </row>
    <row r="27">
      <c r="A27" t="inlineStr">
        <is>
          <t>Real Salt Lake</t>
        </is>
      </c>
      <c r="B27" t="inlineStr">
        <is>
          <t>2026: 32 pts (as of 10-08; season ends Nov 7)</t>
        </is>
      </c>
      <c r="C27" t="inlineStr">
        <is>
          <t>2026 Cup: Kalshi 0.5%</t>
        </is>
      </c>
      <c r="D27" t="n">
        <v>0.0261</v>
      </c>
      <c r="E27" t="n">
        <v>0.0522</v>
      </c>
      <c r="F27" t="n">
        <v>0.1044</v>
      </c>
      <c r="G27" t="n">
        <v>0.2088</v>
      </c>
      <c r="H27" t="n">
        <v>0.4176</v>
      </c>
      <c r="I27" t="n">
        <v>1.3434</v>
      </c>
      <c r="J27" t="n">
        <v>0.6</v>
      </c>
      <c r="K27" t="n">
        <v>6.283</v>
      </c>
      <c r="L27">
        <f>Assumptions!$B$11*D27+Assumptions!$C$11*(E27-D27)+Assumptions!$D$11*(F27-E27)+Assumptions!$E$11*(G27-F27)+Assumptions!$F$11*(H27-G27)</f>
        <v/>
      </c>
      <c r="M27">
        <f>K27+MIN(L27,Assumptions!$H$11)</f>
        <v/>
      </c>
      <c r="N27">
        <f>M27-Assumptions!$I$11</f>
        <v/>
      </c>
      <c r="O27">
        <f>N27-Assumptions!$B$25*Q27</f>
        <v/>
      </c>
      <c r="P27" t="n">
        <v>4</v>
      </c>
      <c r="Q27" t="n">
        <v>3.696</v>
      </c>
      <c r="R27" t="inlineStr">
        <is>
          <t>2026 points (league standings, A) + Kalshi KXMLSCUP-26 price as strength proxy, shrunk 50% toward the field</t>
        </is>
      </c>
      <c r="S27" t="inlineStr">
        <is>
          <t>2026-10-08</t>
        </is>
      </c>
      <c r="T27" s="9" t="inlineStr">
        <is>
          <t>C</t>
        </is>
      </c>
      <c r="U27" t="inlineStr">
        <is>
          <t>No 2027 MLS Cup market yet [v2 certainty adj: sd x2.0, mu shrink 50%, p shrink 50%]</t>
        </is>
      </c>
      <c r="Y27">
        <f>N27-IF(T27="C",Assumptions!$B$27,IF(T27="B",Assumptions!$B$26,0))</f>
        <v/>
      </c>
    </row>
    <row r="28">
      <c r="A28" t="inlineStr">
        <is>
          <t>Austin FC</t>
        </is>
      </c>
      <c r="B28" t="inlineStr">
        <is>
          <t>2026: 31 pts (as of 10-08; season ends Nov 7)</t>
        </is>
      </c>
      <c r="C28" t="inlineStr">
        <is>
          <t>2026 Cup: Kalshi 0.5%</t>
        </is>
      </c>
      <c r="D28" t="n">
        <v>0.0261</v>
      </c>
      <c r="E28" t="n">
        <v>0.0522</v>
      </c>
      <c r="F28" t="n">
        <v>0.1044</v>
      </c>
      <c r="G28" t="n">
        <v>0.2088</v>
      </c>
      <c r="H28" t="n">
        <v>0.4176</v>
      </c>
      <c r="I28" t="n">
        <v>1.3354</v>
      </c>
      <c r="J28" t="n">
        <v>0.6</v>
      </c>
      <c r="K28" t="n">
        <v>6.275</v>
      </c>
      <c r="L28">
        <f>Assumptions!$B$11*D28+Assumptions!$C$11*(E28-D28)+Assumptions!$D$11*(F28-E28)+Assumptions!$E$11*(G28-F28)+Assumptions!$F$11*(H28-G28)</f>
        <v/>
      </c>
      <c r="M28">
        <f>K28+MIN(L28,Assumptions!$H$11)</f>
        <v/>
      </c>
      <c r="N28">
        <f>M28-Assumptions!$I$11</f>
        <v/>
      </c>
      <c r="O28">
        <f>N28-Assumptions!$B$25*Q28</f>
        <v/>
      </c>
      <c r="P28" t="n">
        <v>4</v>
      </c>
      <c r="Q28" t="n">
        <v>3.728</v>
      </c>
      <c r="R28" t="inlineStr">
        <is>
          <t>2026 points (league standings, A) + Kalshi KXMLSCUP-26 price as strength proxy, shrunk 50% toward the field</t>
        </is>
      </c>
      <c r="S28" t="inlineStr">
        <is>
          <t>2026-10-08</t>
        </is>
      </c>
      <c r="T28" s="9" t="inlineStr">
        <is>
          <t>C</t>
        </is>
      </c>
      <c r="U28" t="inlineStr">
        <is>
          <t>No 2027 MLS Cup market yet [v2 certainty adj: sd x2.0, mu shrink 50%, p shrink 50%]</t>
        </is>
      </c>
      <c r="Y28">
        <f>N28-IF(T28="C",Assumptions!$B$27,IF(T28="B",Assumptions!$B$26,0))</f>
        <v/>
      </c>
    </row>
    <row r="29">
      <c r="A29" t="inlineStr">
        <is>
          <t>D.C. United</t>
        </is>
      </c>
      <c r="B29" t="inlineStr">
        <is>
          <t>2026: 30 pts (as of 10-08; season ends Nov 7)</t>
        </is>
      </c>
      <c r="C29" t="inlineStr">
        <is>
          <t>2026 Cup: Kalshi 0.5%</t>
        </is>
      </c>
      <c r="D29" t="n">
        <v>0.0261</v>
      </c>
      <c r="E29" t="n">
        <v>0.0522</v>
      </c>
      <c r="F29" t="n">
        <v>0.1044</v>
      </c>
      <c r="G29" t="n">
        <v>0.2088</v>
      </c>
      <c r="H29" t="n">
        <v>0.4176</v>
      </c>
      <c r="I29" t="n">
        <v>1.3269</v>
      </c>
      <c r="J29" t="n">
        <v>0.6</v>
      </c>
      <c r="K29" t="n">
        <v>6.263</v>
      </c>
      <c r="L29">
        <f>Assumptions!$B$11*D29+Assumptions!$C$11*(E29-D29)+Assumptions!$D$11*(F29-E29)+Assumptions!$E$11*(G29-F29)+Assumptions!$F$11*(H29-G29)</f>
        <v/>
      </c>
      <c r="M29">
        <f>K29+MIN(L29,Assumptions!$H$11)</f>
        <v/>
      </c>
      <c r="N29">
        <f>M29-Assumptions!$I$11</f>
        <v/>
      </c>
      <c r="O29">
        <f>N29-Assumptions!$B$25*Q29</f>
        <v/>
      </c>
      <c r="P29" t="n">
        <v>4</v>
      </c>
      <c r="Q29" t="n">
        <v>3.701</v>
      </c>
      <c r="R29" t="inlineStr">
        <is>
          <t>2026 points (league standings, A) + Kalshi KXMLSCUP-26 price as strength proxy, shrunk 50% toward the field</t>
        </is>
      </c>
      <c r="S29" t="inlineStr">
        <is>
          <t>2026-10-08</t>
        </is>
      </c>
      <c r="T29" s="9" t="inlineStr">
        <is>
          <t>C</t>
        </is>
      </c>
      <c r="U29" t="inlineStr">
        <is>
          <t>No 2027 MLS Cup market yet [v2 certainty adj: sd x2.0, mu shrink 50%, p shrink 50%]</t>
        </is>
      </c>
      <c r="Y29">
        <f>N29-IF(T29="C",Assumptions!$B$27,IF(T29="B",Assumptions!$B$26,0))</f>
        <v/>
      </c>
    </row>
    <row r="30">
      <c r="A30" t="inlineStr">
        <is>
          <t>Columbus Crew</t>
        </is>
      </c>
      <c r="B30" t="inlineStr">
        <is>
          <t>2026: 29 pts (as of 10-08; season ends Nov 7)</t>
        </is>
      </c>
      <c r="C30" t="inlineStr">
        <is>
          <t>2026 Cup: Kalshi 0.5%</t>
        </is>
      </c>
      <c r="D30" t="n">
        <v>0.0261</v>
      </c>
      <c r="E30" t="n">
        <v>0.0522</v>
      </c>
      <c r="F30" t="n">
        <v>0.1044</v>
      </c>
      <c r="G30" t="n">
        <v>0.2088</v>
      </c>
      <c r="H30" t="n">
        <v>0.4176</v>
      </c>
      <c r="I30" t="n">
        <v>1.3184</v>
      </c>
      <c r="J30" t="n">
        <v>0.6</v>
      </c>
      <c r="K30" t="n">
        <v>6.218</v>
      </c>
      <c r="L30">
        <f>Assumptions!$B$11*D30+Assumptions!$C$11*(E30-D30)+Assumptions!$D$11*(F30-E30)+Assumptions!$E$11*(G30-F30)+Assumptions!$F$11*(H30-G30)</f>
        <v/>
      </c>
      <c r="M30">
        <f>K30+MIN(L30,Assumptions!$H$11)</f>
        <v/>
      </c>
      <c r="N30">
        <f>M30-Assumptions!$I$11</f>
        <v/>
      </c>
      <c r="O30">
        <f>N30-Assumptions!$B$25*Q30</f>
        <v/>
      </c>
      <c r="P30" t="n">
        <v>4</v>
      </c>
      <c r="Q30" t="n">
        <v>3.71</v>
      </c>
      <c r="R30" t="inlineStr">
        <is>
          <t>2026 points (league standings, A) + Kalshi KXMLSCUP-26 price as strength proxy, shrunk 50% toward the field</t>
        </is>
      </c>
      <c r="S30" t="inlineStr">
        <is>
          <t>2026-10-08</t>
        </is>
      </c>
      <c r="T30" s="9" t="inlineStr">
        <is>
          <t>C</t>
        </is>
      </c>
      <c r="U30" t="inlineStr">
        <is>
          <t>No 2027 MLS Cup market yet [v2 certainty adj: sd x2.0, mu shrink 50%, p shrink 50%]</t>
        </is>
      </c>
      <c r="X30" s="16" t="inlineStr">
        <is>
          <t>Fryar</t>
        </is>
      </c>
      <c r="Y30">
        <f>N30-IF(T30="C",Assumptions!$B$27,IF(T30="B",Assumptions!$B$26,0))</f>
        <v/>
      </c>
    </row>
    <row r="31">
      <c r="A31" t="inlineStr">
        <is>
          <t>Toronto FC</t>
        </is>
      </c>
      <c r="B31" t="inlineStr">
        <is>
          <t>2026: 29 pts (as of 10-08; season ends Nov 7)</t>
        </is>
      </c>
      <c r="C31" t="inlineStr">
        <is>
          <t>2026 Cup: Kalshi 0.5%</t>
        </is>
      </c>
      <c r="D31" t="n">
        <v>0.0261</v>
      </c>
      <c r="E31" t="n">
        <v>0.0522</v>
      </c>
      <c r="F31" t="n">
        <v>0.1044</v>
      </c>
      <c r="G31" t="n">
        <v>0.2088</v>
      </c>
      <c r="H31" t="n">
        <v>0.4176</v>
      </c>
      <c r="I31" t="n">
        <v>1.3184</v>
      </c>
      <c r="J31" t="n">
        <v>0.6</v>
      </c>
      <c r="K31" t="n">
        <v>6.198</v>
      </c>
      <c r="L31">
        <f>Assumptions!$B$11*D31+Assumptions!$C$11*(E31-D31)+Assumptions!$D$11*(F31-E31)+Assumptions!$E$11*(G31-F31)+Assumptions!$F$11*(H31-G31)</f>
        <v/>
      </c>
      <c r="M31">
        <f>K31+MIN(L31,Assumptions!$H$11)</f>
        <v/>
      </c>
      <c r="N31">
        <f>M31-Assumptions!$I$11</f>
        <v/>
      </c>
      <c r="O31">
        <f>N31-Assumptions!$B$25*Q31</f>
        <v/>
      </c>
      <c r="P31" t="n">
        <v>4</v>
      </c>
      <c r="Q31" t="n">
        <v>3.676</v>
      </c>
      <c r="R31" t="inlineStr">
        <is>
          <t>2026 points (league standings, A) + Kalshi KXMLSCUP-26 price as strength proxy, shrunk 50% toward the field</t>
        </is>
      </c>
      <c r="S31" t="inlineStr">
        <is>
          <t>2026-10-08</t>
        </is>
      </c>
      <c r="T31" s="9" t="inlineStr">
        <is>
          <t>C</t>
        </is>
      </c>
      <c r="U31" t="inlineStr">
        <is>
          <t>No 2027 MLS Cup market yet [v2 certainty adj: sd x2.0, mu shrink 50%, p shrink 50%]</t>
        </is>
      </c>
      <c r="Y31">
        <f>N31-IF(T31="C",Assumptions!$B$27,IF(T31="B",Assumptions!$B$26,0))</f>
        <v/>
      </c>
    </row>
    <row r="32">
      <c r="A32" t="inlineStr">
        <is>
          <t>Atlanta United FC</t>
        </is>
      </c>
      <c r="B32" t="inlineStr">
        <is>
          <t>2026: 27 pts (as of 10-08; season ends Nov 7)</t>
        </is>
      </c>
      <c r="C32" t="inlineStr">
        <is>
          <t>2026 Cup: Kalshi 0.5%</t>
        </is>
      </c>
      <c r="D32" t="n">
        <v>0.0261</v>
      </c>
      <c r="E32" t="n">
        <v>0.0522</v>
      </c>
      <c r="F32" t="n">
        <v>0.1044</v>
      </c>
      <c r="G32" t="n">
        <v>0.2088</v>
      </c>
      <c r="H32" t="n">
        <v>0.4176</v>
      </c>
      <c r="I32" t="n">
        <v>1.3019</v>
      </c>
      <c r="J32" t="n">
        <v>0.6</v>
      </c>
      <c r="K32" t="n">
        <v>6.098</v>
      </c>
      <c r="L32">
        <f>Assumptions!$B$11*D32+Assumptions!$C$11*(E32-D32)+Assumptions!$D$11*(F32-E32)+Assumptions!$E$11*(G32-F32)+Assumptions!$F$11*(H32-G32)</f>
        <v/>
      </c>
      <c r="M32">
        <f>K32+MIN(L32,Assumptions!$H$11)</f>
        <v/>
      </c>
      <c r="N32">
        <f>M32-Assumptions!$I$11</f>
        <v/>
      </c>
      <c r="O32">
        <f>N32-Assumptions!$B$25*Q32</f>
        <v/>
      </c>
      <c r="P32" t="n">
        <v>4</v>
      </c>
      <c r="Q32" t="n">
        <v>3.665</v>
      </c>
      <c r="R32" t="inlineStr">
        <is>
          <t>2026 points (league standings, A) + Kalshi KXMLSCUP-26 price as strength proxy, shrunk 50% toward the field</t>
        </is>
      </c>
      <c r="S32" t="inlineStr">
        <is>
          <t>2026-10-08</t>
        </is>
      </c>
      <c r="T32" s="9" t="inlineStr">
        <is>
          <t>C</t>
        </is>
      </c>
      <c r="U32" t="inlineStr">
        <is>
          <t>No 2027 MLS Cup market yet [v2 certainty adj: sd x2.0, mu shrink 50%, p shrink 50%]</t>
        </is>
      </c>
      <c r="Y32">
        <f>N32-IF(T32="C",Assumptions!$B$27,IF(T32="B",Assumptions!$B$26,0))</f>
        <v/>
      </c>
    </row>
    <row r="33">
      <c r="A33" t="inlineStr">
        <is>
          <t>CF Montréal</t>
        </is>
      </c>
      <c r="B33" t="inlineStr">
        <is>
          <t>2026: 24 pts (as of 10-08; season ends Nov 7)</t>
        </is>
      </c>
      <c r="C33" t="inlineStr">
        <is>
          <t>2026 Cup: Kalshi 0.5%</t>
        </is>
      </c>
      <c r="D33" t="n">
        <v>0.0261</v>
      </c>
      <c r="E33" t="n">
        <v>0.0522</v>
      </c>
      <c r="F33" t="n">
        <v>0.1044</v>
      </c>
      <c r="G33" t="n">
        <v>0.2088</v>
      </c>
      <c r="H33" t="n">
        <v>0.4176</v>
      </c>
      <c r="I33" t="n">
        <v>1.2769</v>
      </c>
      <c r="J33" t="n">
        <v>0.6</v>
      </c>
      <c r="K33" t="n">
        <v>5.981</v>
      </c>
      <c r="L33">
        <f>Assumptions!$B$11*D33+Assumptions!$C$11*(E33-D33)+Assumptions!$D$11*(F33-E33)+Assumptions!$E$11*(G33-F33)+Assumptions!$F$11*(H33-G33)</f>
        <v/>
      </c>
      <c r="M33">
        <f>K33+MIN(L33,Assumptions!$H$11)</f>
        <v/>
      </c>
      <c r="N33">
        <f>M33-Assumptions!$I$11</f>
        <v/>
      </c>
      <c r="O33">
        <f>N33-Assumptions!$B$25*Q33</f>
        <v/>
      </c>
      <c r="P33" t="n">
        <v>4</v>
      </c>
      <c r="Q33" t="n">
        <v>3.69</v>
      </c>
      <c r="R33" t="inlineStr">
        <is>
          <t>2026 points (league standings, A) + Kalshi KXMLSCUP-26 price as strength proxy, shrunk 50% toward the field</t>
        </is>
      </c>
      <c r="S33" t="inlineStr">
        <is>
          <t>2026-10-08</t>
        </is>
      </c>
      <c r="T33" s="9" t="inlineStr">
        <is>
          <t>C</t>
        </is>
      </c>
      <c r="U33" t="inlineStr">
        <is>
          <t>No 2027 MLS Cup market yet [v2 certainty adj: sd x2.0, mu shrink 50%, p shrink 50%]</t>
        </is>
      </c>
      <c r="Y33">
        <f>N33-IF(T33="C",Assumptions!$B$27,IF(T33="B",Assumptions!$B$26,0))</f>
        <v/>
      </c>
    </row>
    <row r="34">
      <c r="A34" t="inlineStr">
        <is>
          <t>Sporting Kansas City</t>
        </is>
      </c>
      <c r="B34" t="inlineStr">
        <is>
          <t>2026: 21 pts (as of 10-08; season ends Nov 7)</t>
        </is>
      </c>
      <c r="C34" t="inlineStr">
        <is>
          <t>2026 Cup: Kalshi 0.5%</t>
        </is>
      </c>
      <c r="D34" t="n">
        <v>0.0261</v>
      </c>
      <c r="E34" t="n">
        <v>0.0522</v>
      </c>
      <c r="F34" t="n">
        <v>0.1044</v>
      </c>
      <c r="G34" t="n">
        <v>0.2088</v>
      </c>
      <c r="H34" t="n">
        <v>0.4176</v>
      </c>
      <c r="I34" t="n">
        <v>1.2519</v>
      </c>
      <c r="J34" t="n">
        <v>0.6</v>
      </c>
      <c r="K34" t="n">
        <v>5.874</v>
      </c>
      <c r="L34">
        <f>Assumptions!$B$11*D34+Assumptions!$C$11*(E34-D34)+Assumptions!$D$11*(F34-E34)+Assumptions!$E$11*(G34-F34)+Assumptions!$F$11*(H34-G34)</f>
        <v/>
      </c>
      <c r="M34">
        <f>K34+MIN(L34,Assumptions!$H$11)</f>
        <v/>
      </c>
      <c r="N34">
        <f>M34-Assumptions!$I$11</f>
        <v/>
      </c>
      <c r="O34">
        <f>N34-Assumptions!$B$25*Q34</f>
        <v/>
      </c>
      <c r="P34" t="n">
        <v>4</v>
      </c>
      <c r="Q34" t="n">
        <v>3.68</v>
      </c>
      <c r="R34" t="inlineStr">
        <is>
          <t>2026 points (league standings, A) + Kalshi KXMLSCUP-26 price as strength proxy, shrunk 50% toward the field</t>
        </is>
      </c>
      <c r="S34" t="inlineStr">
        <is>
          <t>2026-10-08</t>
        </is>
      </c>
      <c r="T34" s="9" t="inlineStr">
        <is>
          <t>C</t>
        </is>
      </c>
      <c r="U34" t="inlineStr">
        <is>
          <t>No 2027 MLS Cup market yet [v2 certainty adj: sd x2.0, mu shrink 50%, p shrink 50%]</t>
        </is>
      </c>
      <c r="Y34">
        <f>N34-IF(T34="C",Assumptions!$B$27,IF(T34="B",Assumptions!$B$26,0))</f>
        <v/>
      </c>
    </row>
    <row r="36">
      <c r="A36" s="8" t="inlineStr">
        <is>
          <t>Replacement-level EV (Nth best)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Y10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36" customWidth="1" min="2" max="2"/>
    <col width="22" customWidth="1" min="3" max="3"/>
    <col width="11" customWidth="1" min="4" max="4"/>
    <col width="11" customWidth="1" min="5" max="5"/>
    <col width="11" customWidth="1" min="6" max="6"/>
    <col width="11" customWidth="1" min="7" max="7"/>
    <col width="11" customWidth="1" min="8" max="8"/>
    <col width="9" customWidth="1" min="9" max="9"/>
    <col width="9" customWidth="1" min="10" max="10"/>
    <col width="11" customWidth="1" min="11" max="11"/>
    <col width="10" customWidth="1" min="12" max="12"/>
    <col width="10" customWidth="1" min="13" max="13"/>
    <col width="9" customWidth="1" min="14" max="14"/>
    <col width="11" customWidth="1" min="15" max="15"/>
    <col width="6" customWidth="1" min="16" max="16"/>
    <col width="9" customWidth="1" min="17" max="17"/>
    <col width="38" customWidth="1" min="18" max="18"/>
    <col width="11" customWidth="1" min="19" max="19"/>
    <col width="6" customWidth="1" min="20" max="20"/>
    <col width="60" customWidth="1" min="21" max="21"/>
    <col width="12" customWidth="1" min="22" max="22"/>
    <col width="9" customWidth="1" min="23" max="23"/>
    <col width="11" customWidth="1" min="24" max="24"/>
    <col width="11" customWidth="1" min="25" max="25"/>
  </cols>
  <sheetData>
    <row r="1">
      <c r="A1" s="18" t="inlineStr">
        <is>
          <t>Actor — 2027 draft research (EV model; see README)</t>
        </is>
      </c>
    </row>
    <row r="2">
      <c r="A2" t="inlineStr">
        <is>
          <t>As of 2026-10-22. Sorted by E[total]. Yellow = inferred / low-confidence (C).</t>
        </is>
      </c>
    </row>
    <row r="4">
      <c r="A4" s="7" t="inlineStr">
        <is>
          <t>Candidate</t>
        </is>
      </c>
      <c r="B4" s="7" t="inlineStr">
        <is>
          <t>Detail</t>
        </is>
      </c>
      <c r="C4" s="7" t="inlineStr">
        <is>
          <t>Odds / price</t>
        </is>
      </c>
      <c r="D4" s="7" t="inlineStr">
        <is>
          <t>Oscar p(nom)</t>
        </is>
      </c>
      <c r="E4" s="7" t="inlineStr">
        <is>
          <t>Oscar p(win)</t>
        </is>
      </c>
      <c r="F4" s="7" t="inlineStr">
        <is>
          <t>Oscar detail</t>
        </is>
      </c>
      <c r="G4" s="7" t="inlineStr">
        <is>
          <t>Films</t>
        </is>
      </c>
      <c r="H4" s="7" t="inlineStr"/>
      <c r="I4" s="7" t="inlineStr">
        <is>
          <t>mu</t>
        </is>
      </c>
      <c r="J4" s="7" t="inlineStr">
        <is>
          <t>sd</t>
        </is>
      </c>
      <c r="K4" s="7" t="inlineStr">
        <is>
          <t>E[rank pts] (MC)</t>
        </is>
      </c>
      <c r="L4" s="7" t="inlineStr">
        <is>
          <t>E[bonus]</t>
        </is>
      </c>
      <c r="M4" s="7" t="inlineStr">
        <is>
          <t>E[total]</t>
        </is>
      </c>
      <c r="N4" s="7" t="inlineStr">
        <is>
          <t>VOR</t>
        </is>
      </c>
      <c r="O4" s="7" t="inlineStr">
        <is>
          <t>Risk-adj VOR</t>
        </is>
      </c>
      <c r="P4" s="7" t="inlineStr">
        <is>
          <t>Tier</t>
        </is>
      </c>
      <c r="Q4" s="7" t="inlineStr">
        <is>
          <t>SD rank pts</t>
        </is>
      </c>
      <c r="R4" s="7" t="inlineStr">
        <is>
          <t>Source</t>
        </is>
      </c>
      <c r="S4" s="7" t="inlineStr">
        <is>
          <t>As of</t>
        </is>
      </c>
      <c r="T4" s="7" t="inlineStr">
        <is>
          <t>Conf</t>
        </is>
      </c>
      <c r="U4" s="7" t="inlineStr">
        <is>
          <t>Notes</t>
        </is>
      </c>
      <c r="V4" s="7" t="inlineStr">
        <is>
          <t>Field draft score</t>
        </is>
      </c>
      <c r="W4" s="7" t="inlineStr">
        <is>
          <t>Field rank</t>
        </is>
      </c>
      <c r="X4" s="7" t="inlineStr">
        <is>
          <t>Owner</t>
        </is>
      </c>
      <c r="Y4" s="7" t="inlineStr">
        <is>
          <t>Conf-adj VOR</t>
        </is>
      </c>
    </row>
    <row r="5">
      <c r="A5" s="9" t="inlineStr">
        <is>
          <t>Ryan Gosling</t>
        </is>
      </c>
      <c r="B5" t="inlineStr">
        <is>
          <t>Starfighter (May 28); Avengers: Secret Wars (Dec 17)</t>
        </is>
      </c>
      <c r="D5" t="n">
        <v>0.435</v>
      </c>
      <c r="E5" t="n">
        <v>0.015</v>
      </c>
      <c r="F5" t="inlineStr">
        <is>
          <t>Best Actor: Project Hail Mary (nom 43%, win 1%)</t>
        </is>
      </c>
      <c r="G5" t="inlineStr">
        <is>
          <t>Starfighter (92%); Avengers: Secret Wars (50%)</t>
        </is>
      </c>
      <c r="I5" t="n">
        <v>359.0062</v>
      </c>
      <c r="J5" t="n">
        <v>227.25</v>
      </c>
      <c r="K5" t="n">
        <v>7.749</v>
      </c>
      <c r="L5" t="n">
        <v>1.875</v>
      </c>
      <c r="M5">
        <f>K5+MIN(L5,Assumptions!$H$12)</f>
        <v/>
      </c>
      <c r="N5">
        <f>M5-Assumptions!$I$12</f>
        <v/>
      </c>
      <c r="O5">
        <f>N5-Assumptions!$B$25*Q5</f>
        <v/>
      </c>
      <c r="P5" t="n">
        <v>1</v>
      </c>
      <c r="Q5" t="n">
        <v>3.884</v>
      </c>
      <c r="R5" t="inlineStr">
        <is>
          <t>Wikipedia 'List of American films of 2027' casts (Actions-runner pull 2026-10-08) x comp-based box office/RT estimates; cast lists are billed leads only (cameos not captured)</t>
        </is>
      </c>
      <c r="S5" t="inlineStr">
        <is>
          <t>2026-10-08</t>
        </is>
      </c>
      <c r="T5" s="9" t="inlineStr">
        <is>
          <t>C</t>
        </is>
      </c>
      <c r="U5" t="inlineStr">
        <is>
          <t>Also cast in Avengers: Secret Wars per Wikipedia (unconfirmed by Marvel); Secret Wars may slip to 2028  [conf C: sd x1.25, p shrink 20%]</t>
        </is>
      </c>
      <c r="V5">
        <f>K5+Assumptions!$J$12*MIN(L5,Assumptions!$H$12)</f>
        <v/>
      </c>
      <c r="W5">
        <f>RANK(V5,$V$5:$V$98)</f>
        <v/>
      </c>
      <c r="Y5">
        <f>N5-IF(T5="C",Assumptions!$B$27,IF(T5="B",Assumptions!$B$26,0))</f>
        <v/>
      </c>
    </row>
    <row r="6">
      <c r="A6" s="9" t="inlineStr">
        <is>
          <t>John Malkovich</t>
        </is>
      </c>
      <c r="B6" t="inlineStr">
        <is>
          <t>no 2027 film found in Wikipedia's cast lists</t>
        </is>
      </c>
      <c r="D6" t="n">
        <v>0.895</v>
      </c>
      <c r="E6" t="n">
        <v>0.415</v>
      </c>
      <c r="F6" t="inlineStr">
        <is>
          <t>Best Actor: Wild Horse Nine (nom 89%, win 41%)</t>
        </is>
      </c>
      <c r="I6" t="n">
        <v>31.8562</v>
      </c>
      <c r="J6" t="n">
        <v>10</v>
      </c>
      <c r="K6" t="n">
        <v>1.885</v>
      </c>
      <c r="L6" t="n">
        <v>7.315</v>
      </c>
      <c r="M6">
        <f>K6+MIN(L6,Assumptions!$H$12)</f>
        <v/>
      </c>
      <c r="N6">
        <f>M6-Assumptions!$I$12</f>
        <v/>
      </c>
      <c r="O6">
        <f>N6-Assumptions!$B$25*Q6</f>
        <v/>
      </c>
      <c r="P6" t="n">
        <v>1</v>
      </c>
      <c r="Q6" t="n">
        <v>0.911</v>
      </c>
      <c r="R6" t="inlineStr">
        <is>
          <t>Wikipedia 'List of American films of 2027' casts (Actions-runner pull 2026-10-08) x comp-based box office/RT estimates; cast lists are billed leads only (cameos not captured)</t>
        </is>
      </c>
      <c r="S6" t="inlineStr">
        <is>
          <t>2026-10-08</t>
        </is>
      </c>
      <c r="T6" s="9" t="inlineStr">
        <is>
          <t>C</t>
        </is>
      </c>
      <c r="U6" t="inlineStr">
        <is>
          <t>[conf C: sd x1.25, p shrink 20%]</t>
        </is>
      </c>
      <c r="V6">
        <f>K6+Assumptions!$J$12*MIN(L6,Assumptions!$H$12)</f>
        <v/>
      </c>
      <c r="W6">
        <f>RANK(V6,$V$5:$V$98)</f>
        <v/>
      </c>
      <c r="Y6">
        <f>N6-IF(T6="C",Assumptions!$B$27,IF(T6="B",Assumptions!$B$26,0))</f>
        <v/>
      </c>
    </row>
    <row r="7">
      <c r="A7" s="9" t="inlineStr">
        <is>
          <t>Aaron Pierre</t>
        </is>
      </c>
      <c r="B7" t="inlineStr">
        <is>
          <t>Starfighter (May 28); Man of Tomorrow (Jul 9)</t>
        </is>
      </c>
      <c r="G7" t="inlineStr">
        <is>
          <t>Starfighter (92%); Man of Tomorrow (92%)</t>
        </is>
      </c>
      <c r="I7" t="n">
        <v>470.3362</v>
      </c>
      <c r="J7" t="n">
        <v>304.5</v>
      </c>
      <c r="K7" t="n">
        <v>9.132999999999999</v>
      </c>
      <c r="L7" t="n">
        <v>0</v>
      </c>
      <c r="M7">
        <f>K7+MIN(L7,Assumptions!$H$12)</f>
        <v/>
      </c>
      <c r="N7">
        <f>M7-Assumptions!$I$12</f>
        <v/>
      </c>
      <c r="O7">
        <f>N7-Assumptions!$B$25*Q7</f>
        <v/>
      </c>
      <c r="P7" t="n">
        <v>1</v>
      </c>
      <c r="Q7" t="n">
        <v>4.079</v>
      </c>
      <c r="R7" t="inlineStr">
        <is>
          <t>Wikipedia 'List of American films of 2027' casts (Actions-runner pull 2026-10-08) x comp-based box office/RT estimates; cast lists are billed leads only (cameos not captured)</t>
        </is>
      </c>
      <c r="S7" t="inlineStr">
        <is>
          <t>2026-10-08</t>
        </is>
      </c>
      <c r="T7" s="9" t="inlineStr">
        <is>
          <t>C</t>
        </is>
      </c>
      <c r="U7" t="inlineStr">
        <is>
          <t>Starfighter + Man of Tomorrow (Superman credit is a Wikipedia cast-list read; verify)  [conf C: sd x1.25, p shrink 20%]</t>
        </is>
      </c>
      <c r="V7">
        <f>K7+Assumptions!$J$12*MIN(L7,Assumptions!$H$12)</f>
        <v/>
      </c>
      <c r="W7">
        <f>RANK(V7,$V$5:$V$98)</f>
        <v/>
      </c>
      <c r="Y7">
        <f>N7-IF(T7="C",Assumptions!$B$27,IF(T7="B",Assumptions!$B$26,0))</f>
        <v/>
      </c>
    </row>
    <row r="8">
      <c r="A8" s="17" t="inlineStr">
        <is>
          <t>Skyler Gisondo</t>
        </is>
      </c>
      <c r="B8" t="inlineStr">
        <is>
          <t>Man of Tomorrow (Jul 9); Shrek 5 (Jun 30)</t>
        </is>
      </c>
      <c r="D8" t="n">
        <v>0.06</v>
      </c>
      <c r="E8" t="n">
        <v>0.015</v>
      </c>
      <c r="F8" t="inlineStr">
        <is>
          <t>Best Supporting Actor: ? (nom 6%, win 1%)</t>
        </is>
      </c>
      <c r="G8" t="inlineStr">
        <is>
          <t>Shrek 5 (90%); Man of Tomorrow (92%)</t>
        </is>
      </c>
      <c r="I8" t="n">
        <v>420.1162</v>
      </c>
      <c r="J8" t="n">
        <v>269.625</v>
      </c>
      <c r="K8" t="n">
        <v>8.661</v>
      </c>
      <c r="L8" t="n">
        <v>0.247</v>
      </c>
      <c r="M8">
        <f>K8+MIN(L8,Assumptions!$H$12)</f>
        <v/>
      </c>
      <c r="N8">
        <f>M8-Assumptions!$I$12</f>
        <v/>
      </c>
      <c r="O8">
        <f>N8-Assumptions!$B$25*Q8</f>
        <v/>
      </c>
      <c r="P8" t="n">
        <v>2</v>
      </c>
      <c r="Q8" t="n">
        <v>3.981</v>
      </c>
      <c r="R8" t="inlineStr">
        <is>
          <t>Wikipedia 'List of American films of 2027' casts (Actions-runner pull 2026-10-08) x comp-based box office/RT estimates; cast lists are billed leads only (cameos not captured)</t>
        </is>
      </c>
      <c r="S8" t="inlineStr">
        <is>
          <t>2026-10-08</t>
        </is>
      </c>
      <c r="T8" s="9" t="inlineStr">
        <is>
          <t>C</t>
        </is>
      </c>
      <c r="U8" t="inlineStr">
        <is>
          <t>[conf C: sd x1.25, p shrink 20%]</t>
        </is>
      </c>
      <c r="V8">
        <f>K8+Assumptions!$J$12*MIN(L8,Assumptions!$H$12)</f>
        <v/>
      </c>
      <c r="W8">
        <f>RANK(V8,$V$5:$V$98)</f>
        <v/>
      </c>
      <c r="Y8">
        <f>N8-IF(T8="C",Assumptions!$B$27,IF(T8="B",Assumptions!$B$26,0))</f>
        <v/>
      </c>
    </row>
    <row r="9">
      <c r="A9" s="17" t="inlineStr">
        <is>
          <t>Matt Damon</t>
        </is>
      </c>
      <c r="B9" t="inlineStr">
        <is>
          <t>Untitled Daniels film (Nov 19)</t>
        </is>
      </c>
      <c r="D9" t="n">
        <v>0.9350000000000001</v>
      </c>
      <c r="E9" t="n">
        <v>0.175</v>
      </c>
      <c r="F9" t="inlineStr">
        <is>
          <t>Best Actor: The Odyssey (nom 93%, win 17%)</t>
        </is>
      </c>
      <c r="G9" t="inlineStr">
        <is>
          <t>Untitled Daniels film (65%)</t>
        </is>
      </c>
      <c r="I9" t="n">
        <v>77.4862</v>
      </c>
      <c r="J9" t="n">
        <v>31.75</v>
      </c>
      <c r="K9" t="n">
        <v>2.414</v>
      </c>
      <c r="L9" t="n">
        <v>5.315</v>
      </c>
      <c r="M9">
        <f>K9+MIN(L9,Assumptions!$H$12)</f>
        <v/>
      </c>
      <c r="N9">
        <f>M9-Assumptions!$I$12</f>
        <v/>
      </c>
      <c r="O9">
        <f>N9-Assumptions!$B$25*Q9</f>
        <v/>
      </c>
      <c r="P9" t="n">
        <v>2</v>
      </c>
      <c r="Q9" t="n">
        <v>1.189</v>
      </c>
      <c r="R9" t="inlineStr">
        <is>
          <t>Wikipedia 'List of American films of 2027' casts (Actions-runner pull 2026-10-08) x comp-based box office/RT estimates; cast lists are billed leads only (cameos not captured)</t>
        </is>
      </c>
      <c r="S9" t="inlineStr">
        <is>
          <t>2026-10-08</t>
        </is>
      </c>
      <c r="T9" s="9" t="inlineStr">
        <is>
          <t>C</t>
        </is>
      </c>
      <c r="U9" t="inlineStr">
        <is>
          <t>Untitled Daniels film (Nov 19) only; The Odyssey is a 2026 film -&gt; 0  [conf C: sd x1.25, p shrink 20%]</t>
        </is>
      </c>
      <c r="V9">
        <f>K9+Assumptions!$J$12*MIN(L9,Assumptions!$H$12)</f>
        <v/>
      </c>
      <c r="W9">
        <f>RANK(V9,$V$5:$V$98)</f>
        <v/>
      </c>
      <c r="X9" s="16" t="inlineStr">
        <is>
          <t>Molmen</t>
        </is>
      </c>
      <c r="Y9">
        <f>N9-IF(T9="C",Assumptions!$B$27,IF(T9="B",Assumptions!$B$26,0))</f>
        <v/>
      </c>
    </row>
    <row r="10">
      <c r="A10" s="17" t="inlineStr">
        <is>
          <t>Andrew Scott</t>
        </is>
      </c>
      <c r="B10" t="inlineStr">
        <is>
          <t>Margie Claus (Nov 12); A Place in Hell (Apr 23)</t>
        </is>
      </c>
      <c r="D10" t="n">
        <v>0.845</v>
      </c>
      <c r="E10" t="n">
        <v>0.175</v>
      </c>
      <c r="F10" t="inlineStr">
        <is>
          <t>Best Actor: Elsinore (nom 84%, win 17%)</t>
        </is>
      </c>
      <c r="G10" t="inlineStr">
        <is>
          <t>A Place in Hell (90%); Margie Claus (85%)</t>
        </is>
      </c>
      <c r="I10" t="n">
        <v>55.0762</v>
      </c>
      <c r="J10" t="n">
        <v>16.125</v>
      </c>
      <c r="K10" t="n">
        <v>2.116</v>
      </c>
      <c r="L10" t="n">
        <v>4.955</v>
      </c>
      <c r="M10">
        <f>K10+MIN(L10,Assumptions!$H$12)</f>
        <v/>
      </c>
      <c r="N10">
        <f>M10-Assumptions!$I$12</f>
        <v/>
      </c>
      <c r="O10">
        <f>N10-Assumptions!$B$25*Q10</f>
        <v/>
      </c>
      <c r="P10" t="n">
        <v>2</v>
      </c>
      <c r="Q10" t="n">
        <v>1.011</v>
      </c>
      <c r="R10" t="inlineStr">
        <is>
          <t>Wikipedia 'List of American films of 2027' casts (Actions-runner pull 2026-10-08) x comp-based box office/RT estimates; cast lists are billed leads only (cameos not captured)</t>
        </is>
      </c>
      <c r="S10" t="inlineStr">
        <is>
          <t>2026-10-08</t>
        </is>
      </c>
      <c r="T10" s="9" t="inlineStr">
        <is>
          <t>C</t>
        </is>
      </c>
      <c r="U10" t="inlineStr">
        <is>
          <t>[conf C: sd x1.25, p shrink 20%]</t>
        </is>
      </c>
      <c r="V10">
        <f>K10+Assumptions!$J$12*MIN(L10,Assumptions!$H$12)</f>
        <v/>
      </c>
      <c r="W10">
        <f>RANK(V10,$V$5:$V$98)</f>
        <v/>
      </c>
      <c r="Y10">
        <f>N10-IF(T10="C",Assumptions!$B$27,IF(T10="B",Assumptions!$B$26,0))</f>
        <v/>
      </c>
    </row>
    <row r="11">
      <c r="A11" s="17" t="inlineStr">
        <is>
          <t>Josh Gad</t>
        </is>
      </c>
      <c r="B11" t="inlineStr">
        <is>
          <t>Frozen 3 (Nov 24); Untitled Ocean's Eleven prequel (Jun 25); Spaceballs: The New One (Apr 23)</t>
        </is>
      </c>
      <c r="G11" t="inlineStr">
        <is>
          <t>Spaceballs: The New One (90%); Untitled Ocean's Eleven prequel (80%); Frozen 3 (93%)</t>
        </is>
      </c>
      <c r="I11" t="n">
        <v>311.9362</v>
      </c>
      <c r="J11" t="n">
        <v>194.5</v>
      </c>
      <c r="K11" t="n">
        <v>6.928</v>
      </c>
      <c r="L11" t="n">
        <v>0</v>
      </c>
      <c r="M11">
        <f>K11+MIN(L11,Assumptions!$H$12)</f>
        <v/>
      </c>
      <c r="N11">
        <f>M11-Assumptions!$I$12</f>
        <v/>
      </c>
      <c r="O11">
        <f>N11-Assumptions!$B$25*Q11</f>
        <v/>
      </c>
      <c r="P11" t="n">
        <v>2</v>
      </c>
      <c r="Q11" t="n">
        <v>3.671</v>
      </c>
      <c r="R11" t="inlineStr">
        <is>
          <t>Wikipedia 'List of American films of 2027' casts (Actions-runner pull 2026-10-08) x comp-based box office/RT estimates; cast lists are billed leads only (cameos not captured)</t>
        </is>
      </c>
      <c r="S11" t="inlineStr">
        <is>
          <t>2026-10-08</t>
        </is>
      </c>
      <c r="T11" s="9" t="inlineStr">
        <is>
          <t>C</t>
        </is>
      </c>
      <c r="U11" t="inlineStr">
        <is>
          <t>[conf C: sd x1.25, p shrink 20%]</t>
        </is>
      </c>
      <c r="V11">
        <f>K11+Assumptions!$J$12*MIN(L11,Assumptions!$H$12)</f>
        <v/>
      </c>
      <c r="W11">
        <f>RANK(V11,$V$5:$V$98)</f>
        <v/>
      </c>
      <c r="Y11">
        <f>N11-IF(T11="C",Assumptions!$B$27,IF(T11="B",Assumptions!$B$26,0))</f>
        <v/>
      </c>
    </row>
    <row r="12">
      <c r="A12" s="19" t="inlineStr">
        <is>
          <t>Brian Tyree Henry</t>
        </is>
      </c>
      <c r="B12" t="inlineStr">
        <is>
          <t>Spider-Man: Beyond the Spider-Verse (Jun 18); Panic Carefully (Apr 9)</t>
        </is>
      </c>
      <c r="G12" t="inlineStr">
        <is>
          <t>Panic Carefully (90%); Spider-Man: Beyond the Spider-Verse (80%)</t>
        </is>
      </c>
      <c r="I12" t="n">
        <v>304.9162</v>
      </c>
      <c r="J12" t="n">
        <v>189.625</v>
      </c>
      <c r="K12" t="n">
        <v>6.899</v>
      </c>
      <c r="L12" t="n">
        <v>0</v>
      </c>
      <c r="M12">
        <f>K12+MIN(L12,Assumptions!$H$12)</f>
        <v/>
      </c>
      <c r="N12">
        <f>M12-Assumptions!$I$12</f>
        <v/>
      </c>
      <c r="O12">
        <f>N12-Assumptions!$B$25*Q12</f>
        <v/>
      </c>
      <c r="P12" t="n">
        <v>3</v>
      </c>
      <c r="Q12" t="n">
        <v>3.644</v>
      </c>
      <c r="R12" t="inlineStr">
        <is>
          <t>Wikipedia 'List of American films of 2027' casts (Actions-runner pull 2026-10-08) x comp-based box office/RT estimates; cast lists are billed leads only (cameos not captured)</t>
        </is>
      </c>
      <c r="S12" t="inlineStr">
        <is>
          <t>2026-10-08</t>
        </is>
      </c>
      <c r="T12" s="9" t="inlineStr">
        <is>
          <t>C</t>
        </is>
      </c>
      <c r="U12" t="inlineStr">
        <is>
          <t>[conf C: sd x1.25, p shrink 20%]</t>
        </is>
      </c>
      <c r="V12">
        <f>K12+Assumptions!$J$12*MIN(L12,Assumptions!$H$12)</f>
        <v/>
      </c>
      <c r="W12">
        <f>RANK(V12,$V$5:$V$98)</f>
        <v/>
      </c>
      <c r="Y12">
        <f>N12-IF(T12="C",Assumptions!$B$27,IF(T12="B",Assumptions!$B$26,0))</f>
        <v/>
      </c>
    </row>
    <row r="13">
      <c r="A13" s="19" t="inlineStr">
        <is>
          <t>Matt Berry</t>
        </is>
      </c>
      <c r="B13" t="inlineStr">
        <is>
          <t>Sonic the Hedgehog 4 (Mar 19); A Minecraft Movie Squared (Jul 23)</t>
        </is>
      </c>
      <c r="G13" t="inlineStr">
        <is>
          <t>Sonic the Hedgehog 4 (95%); A Minecraft Movie Squared (90%)</t>
        </is>
      </c>
      <c r="I13" t="n">
        <v>299.3362</v>
      </c>
      <c r="J13" t="n">
        <v>185.75</v>
      </c>
      <c r="K13" t="n">
        <v>6.727</v>
      </c>
      <c r="L13" t="n">
        <v>0</v>
      </c>
      <c r="M13">
        <f>K13+MIN(L13,Assumptions!$H$12)</f>
        <v/>
      </c>
      <c r="N13">
        <f>M13-Assumptions!$I$12</f>
        <v/>
      </c>
      <c r="O13">
        <f>N13-Assumptions!$B$25*Q13</f>
        <v/>
      </c>
      <c r="P13" t="n">
        <v>3</v>
      </c>
      <c r="Q13" t="n">
        <v>3.595</v>
      </c>
      <c r="R13" t="inlineStr">
        <is>
          <t>Wikipedia 'List of American films of 2027' casts (Actions-runner pull 2026-10-08) x comp-based box office/RT estimates; cast lists are billed leads only (cameos not captured)</t>
        </is>
      </c>
      <c r="S13" t="inlineStr">
        <is>
          <t>2026-10-08</t>
        </is>
      </c>
      <c r="T13" s="9" t="inlineStr">
        <is>
          <t>C</t>
        </is>
      </c>
      <c r="U13" t="inlineStr">
        <is>
          <t>[conf C: sd x1.25, p shrink 20%]</t>
        </is>
      </c>
      <c r="V13">
        <f>K13+Assumptions!$J$12*MIN(L13,Assumptions!$H$12)</f>
        <v/>
      </c>
      <c r="W13">
        <f>RANK(V13,$V$5:$V$98)</f>
        <v/>
      </c>
      <c r="Y13">
        <f>N13-IF(T13="C",Assumptions!$B$27,IF(T13="B",Assumptions!$B$26,0))</f>
        <v/>
      </c>
    </row>
    <row r="14">
      <c r="A14" s="19" t="inlineStr">
        <is>
          <t>Jake Johnson</t>
        </is>
      </c>
      <c r="B14" t="inlineStr">
        <is>
          <t>Spider-Man: Beyond the Spider-Verse (Jun 18)</t>
        </is>
      </c>
      <c r="G14" t="inlineStr">
        <is>
          <t>Spider-Man: Beyond the Spider-Verse (80%)</t>
        </is>
      </c>
      <c r="I14" t="n">
        <v>282.2362</v>
      </c>
      <c r="J14" t="n">
        <v>173.875</v>
      </c>
      <c r="K14" t="n">
        <v>6.492</v>
      </c>
      <c r="L14" t="n">
        <v>0</v>
      </c>
      <c r="M14">
        <f>K14+MIN(L14,Assumptions!$H$12)</f>
        <v/>
      </c>
      <c r="N14">
        <f>M14-Assumptions!$I$12</f>
        <v/>
      </c>
      <c r="O14">
        <f>N14-Assumptions!$B$25*Q14</f>
        <v/>
      </c>
      <c r="P14" t="n">
        <v>3</v>
      </c>
      <c r="Q14" t="n">
        <v>3.498</v>
      </c>
      <c r="R14" t="inlineStr">
        <is>
          <t>Wikipedia 'List of American films of 2027' casts (Actions-runner pull 2026-10-08) x comp-based box office/RT estimates; cast lists are billed leads only (cameos not captured)</t>
        </is>
      </c>
      <c r="S14" t="inlineStr">
        <is>
          <t>2026-10-08</t>
        </is>
      </c>
      <c r="T14" s="9" t="inlineStr">
        <is>
          <t>C</t>
        </is>
      </c>
      <c r="U14" t="inlineStr">
        <is>
          <t>[conf C: sd x1.25, p shrink 20%]</t>
        </is>
      </c>
      <c r="V14">
        <f>K14+Assumptions!$J$12*MIN(L14,Assumptions!$H$12)</f>
        <v/>
      </c>
      <c r="W14">
        <f>RANK(V14,$V$5:$V$98)</f>
        <v/>
      </c>
      <c r="Y14">
        <f>N14-IF(T14="C",Assumptions!$B$27,IF(T14="B",Assumptions!$B$26,0))</f>
        <v/>
      </c>
    </row>
    <row r="15">
      <c r="A15" s="19" t="inlineStr">
        <is>
          <t>Shameik Moore</t>
        </is>
      </c>
      <c r="B15" t="inlineStr">
        <is>
          <t>Spider-Man: Beyond the Spider-Verse (Jun 18)</t>
        </is>
      </c>
      <c r="G15" t="inlineStr">
        <is>
          <t>Spider-Man: Beyond the Spider-Verse (80%)</t>
        </is>
      </c>
      <c r="I15" t="n">
        <v>282.2362</v>
      </c>
      <c r="J15" t="n">
        <v>173.875</v>
      </c>
      <c r="K15" t="n">
        <v>6.484</v>
      </c>
      <c r="L15" t="n">
        <v>0</v>
      </c>
      <c r="M15">
        <f>K15+MIN(L15,Assumptions!$H$12)</f>
        <v/>
      </c>
      <c r="N15">
        <f>M15-Assumptions!$I$12</f>
        <v/>
      </c>
      <c r="O15">
        <f>N15-Assumptions!$B$25*Q15</f>
        <v/>
      </c>
      <c r="P15" t="n">
        <v>3</v>
      </c>
      <c r="Q15" t="n">
        <v>3.473</v>
      </c>
      <c r="R15" t="inlineStr">
        <is>
          <t>Wikipedia 'List of American films of 2027' casts (Actions-runner pull 2026-10-08) x comp-based box office/RT estimates; cast lists are billed leads only (cameos not captured)</t>
        </is>
      </c>
      <c r="S15" t="inlineStr">
        <is>
          <t>2026-10-08</t>
        </is>
      </c>
      <c r="T15" s="9" t="inlineStr">
        <is>
          <t>C</t>
        </is>
      </c>
      <c r="U15" t="inlineStr">
        <is>
          <t>[conf C: sd x1.25, p shrink 20%]</t>
        </is>
      </c>
      <c r="V15">
        <f>K15+Assumptions!$J$12*MIN(L15,Assumptions!$H$12)</f>
        <v/>
      </c>
      <c r="W15">
        <f>RANK(V15,$V$5:$V$98)</f>
        <v/>
      </c>
      <c r="Y15">
        <f>N15-IF(T15="C",Assumptions!$B$27,IF(T15="B",Assumptions!$B$26,0))</f>
        <v/>
      </c>
    </row>
    <row r="16">
      <c r="A16" s="19" t="inlineStr">
        <is>
          <t>Jason Schwartzman</t>
        </is>
      </c>
      <c r="B16" t="inlineStr">
        <is>
          <t>Spider-Man: Beyond the Spider-Verse (Jun 18)</t>
        </is>
      </c>
      <c r="G16" t="inlineStr">
        <is>
          <t>Spider-Man: Beyond the Spider-Verse (80%)</t>
        </is>
      </c>
      <c r="I16" t="n">
        <v>282.2362</v>
      </c>
      <c r="J16" t="n">
        <v>173.875</v>
      </c>
      <c r="K16" t="n">
        <v>6.444</v>
      </c>
      <c r="L16" t="n">
        <v>0</v>
      </c>
      <c r="M16">
        <f>K16+MIN(L16,Assumptions!$H$12)</f>
        <v/>
      </c>
      <c r="N16">
        <f>M16-Assumptions!$I$12</f>
        <v/>
      </c>
      <c r="O16">
        <f>N16-Assumptions!$B$25*Q16</f>
        <v/>
      </c>
      <c r="P16" t="n">
        <v>3</v>
      </c>
      <c r="Q16" t="n">
        <v>3.488</v>
      </c>
      <c r="R16" t="inlineStr">
        <is>
          <t>Wikipedia 'List of American films of 2027' casts (Actions-runner pull 2026-10-08) x comp-based box office/RT estimates; cast lists are billed leads only (cameos not captured)</t>
        </is>
      </c>
      <c r="S16" t="inlineStr">
        <is>
          <t>2026-10-08</t>
        </is>
      </c>
      <c r="T16" s="9" t="inlineStr">
        <is>
          <t>C</t>
        </is>
      </c>
      <c r="U16" t="inlineStr">
        <is>
          <t>[conf C: sd x1.25, p shrink 20%]</t>
        </is>
      </c>
      <c r="V16">
        <f>K16+Assumptions!$J$12*MIN(L16,Assumptions!$H$12)</f>
        <v/>
      </c>
      <c r="W16">
        <f>RANK(V16,$V$5:$V$98)</f>
        <v/>
      </c>
      <c r="Y16">
        <f>N16-IF(T16="C",Assumptions!$B$27,IF(T16="B",Assumptions!$B$26,0))</f>
        <v/>
      </c>
    </row>
    <row r="17">
      <c r="A17" s="19" t="inlineStr">
        <is>
          <t>John Mulaney</t>
        </is>
      </c>
      <c r="B17" t="inlineStr">
        <is>
          <t>Spider-Man: Beyond the Spider-Verse (Jun 18)</t>
        </is>
      </c>
      <c r="G17" t="inlineStr">
        <is>
          <t>Spider-Man: Beyond the Spider-Verse (80%)</t>
        </is>
      </c>
      <c r="I17" t="n">
        <v>282.2362</v>
      </c>
      <c r="J17" t="n">
        <v>173.875</v>
      </c>
      <c r="K17" t="n">
        <v>6.437</v>
      </c>
      <c r="L17" t="n">
        <v>0</v>
      </c>
      <c r="M17">
        <f>K17+MIN(L17,Assumptions!$H$12)</f>
        <v/>
      </c>
      <c r="N17">
        <f>M17-Assumptions!$I$12</f>
        <v/>
      </c>
      <c r="O17">
        <f>N17-Assumptions!$B$25*Q17</f>
        <v/>
      </c>
      <c r="P17" t="n">
        <v>3</v>
      </c>
      <c r="Q17" t="n">
        <v>3.466</v>
      </c>
      <c r="R17" t="inlineStr">
        <is>
          <t>Wikipedia 'List of American films of 2027' casts (Actions-runner pull 2026-10-08) x comp-based box office/RT estimates; cast lists are billed leads only (cameos not captured)</t>
        </is>
      </c>
      <c r="S17" t="inlineStr">
        <is>
          <t>2026-10-08</t>
        </is>
      </c>
      <c r="T17" s="9" t="inlineStr">
        <is>
          <t>C</t>
        </is>
      </c>
      <c r="U17" t="inlineStr">
        <is>
          <t>[conf C: sd x1.25, p shrink 20%]</t>
        </is>
      </c>
      <c r="V17">
        <f>K17+Assumptions!$J$12*MIN(L17,Assumptions!$H$12)</f>
        <v/>
      </c>
      <c r="W17">
        <f>RANK(V17,$V$5:$V$98)</f>
        <v/>
      </c>
      <c r="Y17">
        <f>N17-IF(T17="C",Assumptions!$B$27,IF(T17="B",Assumptions!$B$26,0))</f>
        <v/>
      </c>
    </row>
    <row r="18">
      <c r="A18" t="inlineStr">
        <is>
          <t>Karan Soni</t>
        </is>
      </c>
      <c r="B18" t="inlineStr">
        <is>
          <t>Spider-Man: Beyond the Spider-Verse (Jun 18)</t>
        </is>
      </c>
      <c r="G18" t="inlineStr">
        <is>
          <t>Spider-Man: Beyond the Spider-Verse (80%)</t>
        </is>
      </c>
      <c r="I18" t="n">
        <v>282.2362</v>
      </c>
      <c r="J18" t="n">
        <v>173.875</v>
      </c>
      <c r="K18" t="n">
        <v>6.418</v>
      </c>
      <c r="L18" t="n">
        <v>0</v>
      </c>
      <c r="M18">
        <f>K18+MIN(L18,Assumptions!$H$12)</f>
        <v/>
      </c>
      <c r="N18">
        <f>M18-Assumptions!$I$12</f>
        <v/>
      </c>
      <c r="O18">
        <f>N18-Assumptions!$B$25*Q18</f>
        <v/>
      </c>
      <c r="P18" t="n">
        <v>4</v>
      </c>
      <c r="Q18" t="n">
        <v>3.465</v>
      </c>
      <c r="R18" t="inlineStr">
        <is>
          <t>Wikipedia 'List of American films of 2027' casts (Actions-runner pull 2026-10-08) x comp-based box office/RT estimates; cast lists are billed leads only (cameos not captured)</t>
        </is>
      </c>
      <c r="S18" t="inlineStr">
        <is>
          <t>2026-10-08</t>
        </is>
      </c>
      <c r="T18" s="9" t="inlineStr">
        <is>
          <t>C</t>
        </is>
      </c>
      <c r="U18" t="inlineStr">
        <is>
          <t>[conf C: sd x1.25, p shrink 20%]</t>
        </is>
      </c>
      <c r="V18">
        <f>K18+Assumptions!$J$12*MIN(L18,Assumptions!$H$12)</f>
        <v/>
      </c>
      <c r="W18">
        <f>RANK(V18,$V$5:$V$98)</f>
        <v/>
      </c>
      <c r="Y18">
        <f>N18-IF(T18="C",Assumptions!$B$27,IF(T18="B",Assumptions!$B$26,0))</f>
        <v/>
      </c>
    </row>
    <row r="19">
      <c r="A19" t="inlineStr">
        <is>
          <t>Daniel Kaluuya</t>
        </is>
      </c>
      <c r="B19" t="inlineStr">
        <is>
          <t>Spider-Man: Beyond the Spider-Verse (Jun 18)</t>
        </is>
      </c>
      <c r="G19" t="inlineStr">
        <is>
          <t>Spider-Man: Beyond the Spider-Verse (80%)</t>
        </is>
      </c>
      <c r="I19" t="n">
        <v>282.2362</v>
      </c>
      <c r="J19" t="n">
        <v>173.875</v>
      </c>
      <c r="K19" t="n">
        <v>6.417</v>
      </c>
      <c r="L19" t="n">
        <v>0</v>
      </c>
      <c r="M19">
        <f>K19+MIN(L19,Assumptions!$H$12)</f>
        <v/>
      </c>
      <c r="N19">
        <f>M19-Assumptions!$I$12</f>
        <v/>
      </c>
      <c r="O19">
        <f>N19-Assumptions!$B$25*Q19</f>
        <v/>
      </c>
      <c r="P19" t="n">
        <v>4</v>
      </c>
      <c r="Q19" t="n">
        <v>3.49</v>
      </c>
      <c r="R19" t="inlineStr">
        <is>
          <t>Wikipedia 'List of American films of 2027' casts (Actions-runner pull 2026-10-08) x comp-based box office/RT estimates; cast lists are billed leads only (cameos not captured)</t>
        </is>
      </c>
      <c r="S19" t="inlineStr">
        <is>
          <t>2026-10-08</t>
        </is>
      </c>
      <c r="T19" s="9" t="inlineStr">
        <is>
          <t>C</t>
        </is>
      </c>
      <c r="U19" t="inlineStr">
        <is>
          <t>[conf C: sd x1.25, p shrink 20%]</t>
        </is>
      </c>
      <c r="V19">
        <f>K19+Assumptions!$J$12*MIN(L19,Assumptions!$H$12)</f>
        <v/>
      </c>
      <c r="W19">
        <f>RANK(V19,$V$5:$V$98)</f>
        <v/>
      </c>
      <c r="Y19">
        <f>N19-IF(T19="C",Assumptions!$B$27,IF(T19="B",Assumptions!$B$26,0))</f>
        <v/>
      </c>
    </row>
    <row r="20">
      <c r="A20" t="inlineStr">
        <is>
          <t>Nicolas Cage</t>
        </is>
      </c>
      <c r="B20" t="inlineStr">
        <is>
          <t>Spider-Man: Beyond the Spider-Verse (Jun 18)</t>
        </is>
      </c>
      <c r="G20" t="inlineStr">
        <is>
          <t>Spider-Man: Beyond the Spider-Verse (80%)</t>
        </is>
      </c>
      <c r="I20" t="n">
        <v>282.2362</v>
      </c>
      <c r="J20" t="n">
        <v>173.875</v>
      </c>
      <c r="K20" t="n">
        <v>6.411</v>
      </c>
      <c r="L20" t="n">
        <v>0</v>
      </c>
      <c r="M20">
        <f>K20+MIN(L20,Assumptions!$H$12)</f>
        <v/>
      </c>
      <c r="N20">
        <f>M20-Assumptions!$I$12</f>
        <v/>
      </c>
      <c r="O20">
        <f>N20-Assumptions!$B$25*Q20</f>
        <v/>
      </c>
      <c r="P20" t="n">
        <v>4</v>
      </c>
      <c r="Q20" t="n">
        <v>3.449</v>
      </c>
      <c r="R20" t="inlineStr">
        <is>
          <t>Wikipedia 'List of American films of 2027' casts (Actions-runner pull 2026-10-08) x comp-based box office/RT estimates; cast lists are billed leads only (cameos not captured)</t>
        </is>
      </c>
      <c r="S20" t="inlineStr">
        <is>
          <t>2026-10-08</t>
        </is>
      </c>
      <c r="T20" s="9" t="inlineStr">
        <is>
          <t>C</t>
        </is>
      </c>
      <c r="U20" t="inlineStr">
        <is>
          <t>[conf C: sd x1.25, p shrink 20%]</t>
        </is>
      </c>
      <c r="V20">
        <f>K20+Assumptions!$J$12*MIN(L20,Assumptions!$H$12)</f>
        <v/>
      </c>
      <c r="W20">
        <f>RANK(V20,$V$5:$V$98)</f>
        <v/>
      </c>
      <c r="Y20">
        <f>N20-IF(T20="C",Assumptions!$B$27,IF(T20="B",Assumptions!$B$26,0))</f>
        <v/>
      </c>
    </row>
    <row r="21">
      <c r="A21" t="inlineStr">
        <is>
          <t>Oscar Isaac</t>
        </is>
      </c>
      <c r="B21" t="inlineStr">
        <is>
          <t>Spider-Man: Beyond the Spider-Verse (Jun 18)</t>
        </is>
      </c>
      <c r="G21" t="inlineStr">
        <is>
          <t>Spider-Man: Beyond the Spider-Verse (80%)</t>
        </is>
      </c>
      <c r="I21" t="n">
        <v>282.2362</v>
      </c>
      <c r="J21" t="n">
        <v>173.875</v>
      </c>
      <c r="K21" t="n">
        <v>6.409</v>
      </c>
      <c r="L21" t="n">
        <v>0</v>
      </c>
      <c r="M21">
        <f>K21+MIN(L21,Assumptions!$H$12)</f>
        <v/>
      </c>
      <c r="N21">
        <f>M21-Assumptions!$I$12</f>
        <v/>
      </c>
      <c r="O21">
        <f>N21-Assumptions!$B$25*Q21</f>
        <v/>
      </c>
      <c r="P21" t="n">
        <v>4</v>
      </c>
      <c r="Q21" t="n">
        <v>3.484</v>
      </c>
      <c r="R21" t="inlineStr">
        <is>
          <t>Wikipedia 'List of American films of 2027' casts (Actions-runner pull 2026-10-08) x comp-based box office/RT estimates; cast lists are billed leads only (cameos not captured)</t>
        </is>
      </c>
      <c r="S21" t="inlineStr">
        <is>
          <t>2026-10-08</t>
        </is>
      </c>
      <c r="T21" s="9" t="inlineStr">
        <is>
          <t>C</t>
        </is>
      </c>
      <c r="U21" t="inlineStr">
        <is>
          <t>[conf C: sd x1.25, p shrink 20%]</t>
        </is>
      </c>
      <c r="V21">
        <f>K21+Assumptions!$J$12*MIN(L21,Assumptions!$H$12)</f>
        <v/>
      </c>
      <c r="W21">
        <f>RANK(V21,$V$5:$V$98)</f>
        <v/>
      </c>
      <c r="Y21">
        <f>N21-IF(T21="C",Assumptions!$B$27,IF(T21="B",Assumptions!$B$26,0))</f>
        <v/>
      </c>
    </row>
    <row r="22">
      <c r="A22" t="inlineStr">
        <is>
          <t>Mahershala Ali</t>
        </is>
      </c>
      <c r="B22" t="inlineStr">
        <is>
          <t>Spider-Man: Beyond the Spider-Verse (Jun 18)</t>
        </is>
      </c>
      <c r="G22" t="inlineStr">
        <is>
          <t>Spider-Man: Beyond the Spider-Verse (80%)</t>
        </is>
      </c>
      <c r="I22" t="n">
        <v>282.2362</v>
      </c>
      <c r="J22" t="n">
        <v>173.875</v>
      </c>
      <c r="K22" t="n">
        <v>6.403</v>
      </c>
      <c r="L22" t="n">
        <v>0</v>
      </c>
      <c r="M22">
        <f>K22+MIN(L22,Assumptions!$H$12)</f>
        <v/>
      </c>
      <c r="N22">
        <f>M22-Assumptions!$I$12</f>
        <v/>
      </c>
      <c r="O22">
        <f>N22-Assumptions!$B$25*Q22</f>
        <v/>
      </c>
      <c r="P22" t="n">
        <v>4</v>
      </c>
      <c r="Q22" t="n">
        <v>3.452</v>
      </c>
      <c r="R22" t="inlineStr">
        <is>
          <t>Wikipedia 'List of American films of 2027' casts (Actions-runner pull 2026-10-08) x comp-based box office/RT estimates; cast lists are billed leads only (cameos not captured)</t>
        </is>
      </c>
      <c r="S22" t="inlineStr">
        <is>
          <t>2026-10-08</t>
        </is>
      </c>
      <c r="T22" s="9" t="inlineStr">
        <is>
          <t>C</t>
        </is>
      </c>
      <c r="U22" t="inlineStr">
        <is>
          <t>[conf C: sd x1.25, p shrink 20%]</t>
        </is>
      </c>
      <c r="V22">
        <f>K22+Assumptions!$J$12*MIN(L22,Assumptions!$H$12)</f>
        <v/>
      </c>
      <c r="W22">
        <f>RANK(V22,$V$5:$V$98)</f>
        <v/>
      </c>
      <c r="Y22">
        <f>N22-IF(T22="C",Assumptions!$B$27,IF(T22="B",Assumptions!$B$26,0))</f>
        <v/>
      </c>
    </row>
    <row r="23">
      <c r="A23" t="inlineStr">
        <is>
          <t>Daniel Ings</t>
        </is>
      </c>
      <c r="B23" t="inlineStr">
        <is>
          <t>Starfighter (May 28); Jason Statham Stole My Bike (Aug 6)</t>
        </is>
      </c>
      <c r="G23" t="inlineStr">
        <is>
          <t>Starfighter (92%); Jason Statham Stole My Bike (85%)</t>
        </is>
      </c>
      <c r="I23" t="n">
        <v>270.9862</v>
      </c>
      <c r="J23" t="n">
        <v>166</v>
      </c>
      <c r="K23" t="n">
        <v>6.181</v>
      </c>
      <c r="L23" t="n">
        <v>0</v>
      </c>
      <c r="M23">
        <f>K23+MIN(L23,Assumptions!$H$12)</f>
        <v/>
      </c>
      <c r="N23">
        <f>M23-Assumptions!$I$12</f>
        <v/>
      </c>
      <c r="O23">
        <f>N23-Assumptions!$B$25*Q23</f>
        <v/>
      </c>
      <c r="P23" t="n">
        <v>4</v>
      </c>
      <c r="Q23" t="n">
        <v>3.406</v>
      </c>
      <c r="R23" t="inlineStr">
        <is>
          <t>Wikipedia 'List of American films of 2027' casts (Actions-runner pull 2026-10-08) x comp-based box office/RT estimates; cast lists are billed leads only (cameos not captured)</t>
        </is>
      </c>
      <c r="S23" t="inlineStr">
        <is>
          <t>2026-10-08</t>
        </is>
      </c>
      <c r="T23" s="9" t="inlineStr">
        <is>
          <t>C</t>
        </is>
      </c>
      <c r="U23" t="inlineStr">
        <is>
          <t>[conf C: sd x1.25, p shrink 20%]</t>
        </is>
      </c>
      <c r="V23">
        <f>K23+Assumptions!$J$12*MIN(L23,Assumptions!$H$12)</f>
        <v/>
      </c>
      <c r="W23">
        <f>RANK(V23,$V$5:$V$98)</f>
        <v/>
      </c>
      <c r="Y23">
        <f>N23-IF(T23="C",Assumptions!$B$27,IF(T23="B",Assumptions!$B$26,0))</f>
        <v/>
      </c>
    </row>
    <row r="24">
      <c r="A24" t="inlineStr">
        <is>
          <t>Flynn Gray</t>
        </is>
      </c>
      <c r="B24" t="inlineStr">
        <is>
          <t>Starfighter (May 28)</t>
        </is>
      </c>
      <c r="G24" t="inlineStr">
        <is>
          <t>Starfighter (92%)</t>
        </is>
      </c>
      <c r="I24" t="n">
        <v>258.3862</v>
      </c>
      <c r="J24" t="n">
        <v>157.25</v>
      </c>
      <c r="K24" t="n">
        <v>5.99</v>
      </c>
      <c r="L24" t="n">
        <v>0</v>
      </c>
      <c r="M24">
        <f>K24+MIN(L24,Assumptions!$H$12)</f>
        <v/>
      </c>
      <c r="N24">
        <f>M24-Assumptions!$I$12</f>
        <v/>
      </c>
      <c r="O24">
        <f>N24-Assumptions!$B$25*Q24</f>
        <v/>
      </c>
      <c r="P24" t="n">
        <v>4</v>
      </c>
      <c r="Q24" t="n">
        <v>3.293</v>
      </c>
      <c r="R24" t="inlineStr">
        <is>
          <t>Wikipedia 'List of American films of 2027' casts (Actions-runner pull 2026-10-08) x comp-based box office/RT estimates; cast lists are billed leads only (cameos not captured)</t>
        </is>
      </c>
      <c r="S24" t="inlineStr">
        <is>
          <t>2026-10-08</t>
        </is>
      </c>
      <c r="T24" s="9" t="inlineStr">
        <is>
          <t>C</t>
        </is>
      </c>
      <c r="U24" t="inlineStr">
        <is>
          <t>[conf C: sd x1.25, p shrink 20%]</t>
        </is>
      </c>
      <c r="V24">
        <f>K24+Assumptions!$J$12*MIN(L24,Assumptions!$H$12)</f>
        <v/>
      </c>
      <c r="W24">
        <f>RANK(V24,$V$5:$V$98)</f>
        <v/>
      </c>
      <c r="Y24">
        <f>N24-IF(T24="C",Assumptions!$B$27,IF(T24="B",Assumptions!$B$26,0))</f>
        <v/>
      </c>
    </row>
    <row r="25">
      <c r="A25" t="inlineStr">
        <is>
          <t>Matt Smith</t>
        </is>
      </c>
      <c r="B25" t="inlineStr">
        <is>
          <t>Starfighter (May 28)</t>
        </is>
      </c>
      <c r="G25" t="inlineStr">
        <is>
          <t>Starfighter (92%)</t>
        </is>
      </c>
      <c r="I25" t="n">
        <v>258.3862</v>
      </c>
      <c r="J25" t="n">
        <v>157.25</v>
      </c>
      <c r="K25" t="n">
        <v>5.958</v>
      </c>
      <c r="L25" t="n">
        <v>0</v>
      </c>
      <c r="M25">
        <f>K25+MIN(L25,Assumptions!$H$12)</f>
        <v/>
      </c>
      <c r="N25">
        <f>M25-Assumptions!$I$12</f>
        <v/>
      </c>
      <c r="O25">
        <f>N25-Assumptions!$B$25*Q25</f>
        <v/>
      </c>
      <c r="P25" t="n">
        <v>4</v>
      </c>
      <c r="Q25" t="n">
        <v>3.245</v>
      </c>
      <c r="R25" t="inlineStr">
        <is>
          <t>Wikipedia 'List of American films of 2027' casts (Actions-runner pull 2026-10-08) x comp-based box office/RT estimates; cast lists are billed leads only (cameos not captured)</t>
        </is>
      </c>
      <c r="S25" t="inlineStr">
        <is>
          <t>2026-10-08</t>
        </is>
      </c>
      <c r="T25" s="9" t="inlineStr">
        <is>
          <t>C</t>
        </is>
      </c>
      <c r="U25" t="inlineStr">
        <is>
          <t>[conf C: sd x1.25, p shrink 20%]</t>
        </is>
      </c>
      <c r="V25">
        <f>K25+Assumptions!$J$12*MIN(L25,Assumptions!$H$12)</f>
        <v/>
      </c>
      <c r="W25">
        <f>RANK(V25,$V$5:$V$98)</f>
        <v/>
      </c>
      <c r="Y25">
        <f>N25-IF(T25="C",Assumptions!$B$27,IF(T25="B",Assumptions!$B$26,0))</f>
        <v/>
      </c>
    </row>
    <row r="26">
      <c r="A26" t="inlineStr">
        <is>
          <t>Simon Bird</t>
        </is>
      </c>
      <c r="B26" t="inlineStr">
        <is>
          <t>Starfighter (May 28)</t>
        </is>
      </c>
      <c r="G26" t="inlineStr">
        <is>
          <t>Starfighter (92%)</t>
        </is>
      </c>
      <c r="I26" t="n">
        <v>258.3862</v>
      </c>
      <c r="J26" t="n">
        <v>157.25</v>
      </c>
      <c r="K26" t="n">
        <v>5.952</v>
      </c>
      <c r="L26" t="n">
        <v>0</v>
      </c>
      <c r="M26">
        <f>K26+MIN(L26,Assumptions!$H$12)</f>
        <v/>
      </c>
      <c r="N26">
        <f>M26-Assumptions!$I$12</f>
        <v/>
      </c>
      <c r="O26">
        <f>N26-Assumptions!$B$25*Q26</f>
        <v/>
      </c>
      <c r="P26" t="n">
        <v>4</v>
      </c>
      <c r="Q26" t="n">
        <v>3.276</v>
      </c>
      <c r="R26" t="inlineStr">
        <is>
          <t>Wikipedia 'List of American films of 2027' casts (Actions-runner pull 2026-10-08) x comp-based box office/RT estimates; cast lists are billed leads only (cameos not captured)</t>
        </is>
      </c>
      <c r="S26" t="inlineStr">
        <is>
          <t>2026-10-08</t>
        </is>
      </c>
      <c r="T26" s="9" t="inlineStr">
        <is>
          <t>C</t>
        </is>
      </c>
      <c r="U26" t="inlineStr">
        <is>
          <t>[conf C: sd x1.25, p shrink 20%]</t>
        </is>
      </c>
      <c r="V26">
        <f>K26+Assumptions!$J$12*MIN(L26,Assumptions!$H$12)</f>
        <v/>
      </c>
      <c r="W26">
        <f>RANK(V26,$V$5:$V$98)</f>
        <v/>
      </c>
      <c r="Y26">
        <f>N26-IF(T26="C",Assumptions!$B$27,IF(T26="B",Assumptions!$B$26,0))</f>
        <v/>
      </c>
    </row>
    <row r="27">
      <c r="A27" t="inlineStr">
        <is>
          <t>Sam Neill</t>
        </is>
      </c>
      <c r="B27" t="inlineStr">
        <is>
          <t>The Legend of Zelda (Apr 30); Godzilla x Kong: Supernova (Mar 26)</t>
        </is>
      </c>
      <c r="G27" t="inlineStr">
        <is>
          <t>Godzilla x Kong: Supernova (90%); The Legend of Zelda (92%)</t>
        </is>
      </c>
      <c r="I27" t="n">
        <v>256.8562</v>
      </c>
      <c r="J27" t="n">
        <v>156.25</v>
      </c>
      <c r="K27" t="n">
        <v>5.949</v>
      </c>
      <c r="L27" t="n">
        <v>0</v>
      </c>
      <c r="M27">
        <f>K27+MIN(L27,Assumptions!$H$12)</f>
        <v/>
      </c>
      <c r="N27">
        <f>M27-Assumptions!$I$12</f>
        <v/>
      </c>
      <c r="O27">
        <f>N27-Assumptions!$B$25*Q27</f>
        <v/>
      </c>
      <c r="P27" t="n">
        <v>4</v>
      </c>
      <c r="Q27" t="n">
        <v>3.278</v>
      </c>
      <c r="R27" t="inlineStr">
        <is>
          <t>Wikipedia 'List of American films of 2027' casts (Actions-runner pull 2026-10-08) x comp-based box office/RT estimates; cast lists are billed leads only (cameos not captured)</t>
        </is>
      </c>
      <c r="S27" t="inlineStr">
        <is>
          <t>2026-10-08</t>
        </is>
      </c>
      <c r="T27" s="9" t="inlineStr">
        <is>
          <t>C</t>
        </is>
      </c>
      <c r="U27" t="inlineStr">
        <is>
          <t>[conf C: sd x1.25, p shrink 20%]</t>
        </is>
      </c>
      <c r="V27">
        <f>K27+Assumptions!$J$12*MIN(L27,Assumptions!$H$12)</f>
        <v/>
      </c>
      <c r="W27">
        <f>RANK(V27,$V$5:$V$98)</f>
        <v/>
      </c>
      <c r="Y27">
        <f>N27-IF(T27="C",Assumptions!$B$27,IF(T27="B",Assumptions!$B$26,0))</f>
        <v/>
      </c>
    </row>
    <row r="28">
      <c r="A28" t="inlineStr">
        <is>
          <t>Jamael Westman</t>
        </is>
      </c>
      <c r="B28" t="inlineStr">
        <is>
          <t>Starfighter (May 28)</t>
        </is>
      </c>
      <c r="G28" t="inlineStr">
        <is>
          <t>Starfighter (92%)</t>
        </is>
      </c>
      <c r="I28" t="n">
        <v>258.3862</v>
      </c>
      <c r="J28" t="n">
        <v>157.25</v>
      </c>
      <c r="K28" t="n">
        <v>5.944</v>
      </c>
      <c r="L28" t="n">
        <v>0</v>
      </c>
      <c r="M28">
        <f>K28+MIN(L28,Assumptions!$H$12)</f>
        <v/>
      </c>
      <c r="N28">
        <f>M28-Assumptions!$I$12</f>
        <v/>
      </c>
      <c r="O28">
        <f>N28-Assumptions!$B$25*Q28</f>
        <v/>
      </c>
      <c r="P28" t="n">
        <v>4</v>
      </c>
      <c r="Q28" t="n">
        <v>3.274</v>
      </c>
      <c r="R28" t="inlineStr">
        <is>
          <t>Wikipedia 'List of American films of 2027' casts (Actions-runner pull 2026-10-08) x comp-based box office/RT estimates; cast lists are billed leads only (cameos not captured)</t>
        </is>
      </c>
      <c r="S28" t="inlineStr">
        <is>
          <t>2026-10-08</t>
        </is>
      </c>
      <c r="T28" s="9" t="inlineStr">
        <is>
          <t>C</t>
        </is>
      </c>
      <c r="U28" t="inlineStr">
        <is>
          <t>[conf C: sd x1.25, p shrink 20%]</t>
        </is>
      </c>
      <c r="V28">
        <f>K28+Assumptions!$J$12*MIN(L28,Assumptions!$H$12)</f>
        <v/>
      </c>
      <c r="W28">
        <f>RANK(V28,$V$5:$V$98)</f>
        <v/>
      </c>
      <c r="Y28">
        <f>N28-IF(T28="C",Assumptions!$B$27,IF(T28="B",Assumptions!$B$26,0))</f>
        <v/>
      </c>
    </row>
    <row r="29">
      <c r="A29" t="inlineStr">
        <is>
          <t>Nicholas Hoult</t>
        </is>
      </c>
      <c r="B29" t="inlineStr">
        <is>
          <t>Man of Tomorrow (Jul 9); CoComelon: The Movie (Feb 19)</t>
        </is>
      </c>
      <c r="G29" t="inlineStr">
        <is>
          <t>CoComelon: The Movie (90%); Man of Tomorrow (92%)</t>
        </is>
      </c>
      <c r="I29" t="n">
        <v>258.3862</v>
      </c>
      <c r="J29" t="n">
        <v>157.25</v>
      </c>
      <c r="K29" t="n">
        <v>5.94</v>
      </c>
      <c r="L29" t="n">
        <v>0</v>
      </c>
      <c r="M29">
        <f>K29+MIN(L29,Assumptions!$H$12)</f>
        <v/>
      </c>
      <c r="N29">
        <f>M29-Assumptions!$I$12</f>
        <v/>
      </c>
      <c r="O29">
        <f>N29-Assumptions!$B$25*Q29</f>
        <v/>
      </c>
      <c r="P29" t="n">
        <v>4</v>
      </c>
      <c r="Q29" t="n">
        <v>3.288</v>
      </c>
      <c r="R29" t="inlineStr">
        <is>
          <t>Wikipedia 'List of American films of 2027' casts (Actions-runner pull 2026-10-08) x comp-based box office/RT estimates; cast lists are billed leads only (cameos not captured)</t>
        </is>
      </c>
      <c r="S29" t="inlineStr">
        <is>
          <t>2026-10-08</t>
        </is>
      </c>
      <c r="T29" s="9" t="inlineStr">
        <is>
          <t>C</t>
        </is>
      </c>
      <c r="U29" t="inlineStr">
        <is>
          <t>[conf C: sd x1.25, p shrink 20%]</t>
        </is>
      </c>
      <c r="V29">
        <f>K29+Assumptions!$J$12*MIN(L29,Assumptions!$H$12)</f>
        <v/>
      </c>
      <c r="W29">
        <f>RANK(V29,$V$5:$V$98)</f>
        <v/>
      </c>
      <c r="Y29">
        <f>N29-IF(T29="C",Assumptions!$B$27,IF(T29="B",Assumptions!$B$26,0))</f>
        <v/>
      </c>
    </row>
    <row r="30">
      <c r="A30" t="inlineStr">
        <is>
          <t>Paul Giamatti</t>
        </is>
      </c>
      <c r="B30" t="inlineStr">
        <is>
          <t>no 2027 film found in Wikipedia's cast lists</t>
        </is>
      </c>
      <c r="D30" t="n">
        <v>0.89</v>
      </c>
      <c r="E30" t="n">
        <v>0.265</v>
      </c>
      <c r="F30" t="inlineStr">
        <is>
          <t>Best Supporting Actor: The Debut (nom 89%, win 26%)</t>
        </is>
      </c>
      <c r="I30" t="n">
        <v>31.8562</v>
      </c>
      <c r="J30" t="n">
        <v>10</v>
      </c>
      <c r="K30" t="n">
        <v>1.927</v>
      </c>
      <c r="L30" t="n">
        <v>3.948</v>
      </c>
      <c r="M30">
        <f>K30+MIN(L30,Assumptions!$H$12)</f>
        <v/>
      </c>
      <c r="N30">
        <f>M30-Assumptions!$I$12</f>
        <v/>
      </c>
      <c r="O30">
        <f>N30-Assumptions!$B$25*Q30</f>
        <v/>
      </c>
      <c r="P30" t="n">
        <v>4</v>
      </c>
      <c r="Q30" t="n">
        <v>0.92</v>
      </c>
      <c r="R30" t="inlineStr">
        <is>
          <t>Wikipedia 'List of American films of 2027' casts (Actions-runner pull 2026-10-08) x comp-based box office/RT estimates; cast lists are billed leads only (cameos not captured)</t>
        </is>
      </c>
      <c r="S30" t="inlineStr">
        <is>
          <t>2026-10-08</t>
        </is>
      </c>
      <c r="T30" s="9" t="inlineStr">
        <is>
          <t>C</t>
        </is>
      </c>
      <c r="U30" t="inlineStr">
        <is>
          <t>[conf C: sd x1.25, p shrink 20%]</t>
        </is>
      </c>
      <c r="V30">
        <f>K30+Assumptions!$J$12*MIN(L30,Assumptions!$H$12)</f>
        <v/>
      </c>
      <c r="W30">
        <f>RANK(V30,$V$5:$V$98)</f>
        <v/>
      </c>
      <c r="Y30">
        <f>N30-IF(T30="C",Assumptions!$B$27,IF(T30="B",Assumptions!$B$26,0))</f>
        <v/>
      </c>
    </row>
    <row r="31">
      <c r="A31" t="inlineStr">
        <is>
          <t>John Leguizamo</t>
        </is>
      </c>
      <c r="B31" t="inlineStr">
        <is>
          <t>Untitled Daniels film (Nov 19); The Exorcist: Martyrs (Mar 12); Ice Age: Boiling Point (Feb 5)</t>
        </is>
      </c>
      <c r="D31" t="n">
        <v>0.73</v>
      </c>
      <c r="E31" t="n">
        <v>0.095</v>
      </c>
      <c r="F31" t="inlineStr">
        <is>
          <t>Best Supporting Actor: The Odyssey (nom 73%, win 9%)</t>
        </is>
      </c>
      <c r="G31" t="inlineStr">
        <is>
          <t>Ice Age: Boiling Point (90%); The Exorcist: Martyrs (80%); Untitled Daniels film (65%)</t>
        </is>
      </c>
      <c r="I31" t="n">
        <v>131.0362</v>
      </c>
      <c r="J31" t="n">
        <v>68.875</v>
      </c>
      <c r="K31" t="n">
        <v>3.288</v>
      </c>
      <c r="L31" t="n">
        <v>2.442</v>
      </c>
      <c r="M31">
        <f>K31+MIN(L31,Assumptions!$H$12)</f>
        <v/>
      </c>
      <c r="N31">
        <f>M31-Assumptions!$I$12</f>
        <v/>
      </c>
      <c r="O31">
        <f>N31-Assumptions!$B$25*Q31</f>
        <v/>
      </c>
      <c r="P31" t="n">
        <v>4</v>
      </c>
      <c r="Q31" t="n">
        <v>1.735</v>
      </c>
      <c r="R31" t="inlineStr">
        <is>
          <t>Wikipedia 'List of American films of 2027' casts (Actions-runner pull 2026-10-08) x comp-based box office/RT estimates; cast lists are billed leads only (cameos not captured)</t>
        </is>
      </c>
      <c r="S31" t="inlineStr">
        <is>
          <t>2026-10-08</t>
        </is>
      </c>
      <c r="T31" s="9" t="inlineStr">
        <is>
          <t>C</t>
        </is>
      </c>
      <c r="U31" t="inlineStr">
        <is>
          <t>[conf C: sd x1.25, p shrink 20%]</t>
        </is>
      </c>
      <c r="V31">
        <f>K31+Assumptions!$J$12*MIN(L31,Assumptions!$H$12)</f>
        <v/>
      </c>
      <c r="W31">
        <f>RANK(V31,$V$5:$V$98)</f>
        <v/>
      </c>
      <c r="Y31">
        <f>N31-IF(T31="C",Assumptions!$B$27,IF(T31="B",Assumptions!$B$26,0))</f>
        <v/>
      </c>
    </row>
    <row r="32">
      <c r="A32" t="inlineStr">
        <is>
          <t>Nathan Fillion</t>
        </is>
      </c>
      <c r="B32" t="inlineStr">
        <is>
          <t>Man of Tomorrow (Jul 9)</t>
        </is>
      </c>
      <c r="G32" t="inlineStr">
        <is>
          <t>Man of Tomorrow (92%)</t>
        </is>
      </c>
      <c r="I32" t="n">
        <v>243.8062</v>
      </c>
      <c r="J32" t="n">
        <v>147.25</v>
      </c>
      <c r="K32" t="n">
        <v>5.721</v>
      </c>
      <c r="L32" t="n">
        <v>0</v>
      </c>
      <c r="M32">
        <f>K32+MIN(L32,Assumptions!$H$12)</f>
        <v/>
      </c>
      <c r="N32">
        <f>M32-Assumptions!$I$12</f>
        <v/>
      </c>
      <c r="O32">
        <f>N32-Assumptions!$B$25*Q32</f>
        <v/>
      </c>
      <c r="P32" t="n">
        <v>4</v>
      </c>
      <c r="Q32" t="n">
        <v>3.161</v>
      </c>
      <c r="R32" t="inlineStr">
        <is>
          <t>Wikipedia 'List of American films of 2027' casts (Actions-runner pull 2026-10-08) x comp-based box office/RT estimates; cast lists are billed leads only (cameos not captured)</t>
        </is>
      </c>
      <c r="S32" t="inlineStr">
        <is>
          <t>2026-10-08</t>
        </is>
      </c>
      <c r="T32" s="9" t="inlineStr">
        <is>
          <t>C</t>
        </is>
      </c>
      <c r="U32" t="inlineStr">
        <is>
          <t>[conf C: sd x1.25, p shrink 20%]</t>
        </is>
      </c>
      <c r="V32">
        <f>K32+Assumptions!$J$12*MIN(L32,Assumptions!$H$12)</f>
        <v/>
      </c>
      <c r="W32">
        <f>RANK(V32,$V$5:$V$98)</f>
        <v/>
      </c>
      <c r="Y32">
        <f>N32-IF(T32="C",Assumptions!$B$27,IF(T32="B",Assumptions!$B$26,0))</f>
        <v/>
      </c>
    </row>
    <row r="33">
      <c r="A33" t="inlineStr">
        <is>
          <t>Lars Eidinger</t>
        </is>
      </c>
      <c r="B33" t="inlineStr">
        <is>
          <t>Man of Tomorrow (Jul 9)</t>
        </is>
      </c>
      <c r="G33" t="inlineStr">
        <is>
          <t>Man of Tomorrow (92%)</t>
        </is>
      </c>
      <c r="I33" t="n">
        <v>243.8062</v>
      </c>
      <c r="J33" t="n">
        <v>147.25</v>
      </c>
      <c r="K33" t="n">
        <v>5.714</v>
      </c>
      <c r="L33" t="n">
        <v>0</v>
      </c>
      <c r="M33">
        <f>K33+MIN(L33,Assumptions!$H$12)</f>
        <v/>
      </c>
      <c r="N33">
        <f>M33-Assumptions!$I$12</f>
        <v/>
      </c>
      <c r="O33">
        <f>N33-Assumptions!$B$25*Q33</f>
        <v/>
      </c>
      <c r="P33" t="n">
        <v>4</v>
      </c>
      <c r="Q33" t="n">
        <v>3.16</v>
      </c>
      <c r="R33" t="inlineStr">
        <is>
          <t>Wikipedia 'List of American films of 2027' casts (Actions-runner pull 2026-10-08) x comp-based box office/RT estimates; cast lists are billed leads only (cameos not captured)</t>
        </is>
      </c>
      <c r="S33" t="inlineStr">
        <is>
          <t>2026-10-08</t>
        </is>
      </c>
      <c r="T33" s="9" t="inlineStr">
        <is>
          <t>C</t>
        </is>
      </c>
      <c r="U33" t="inlineStr">
        <is>
          <t>[conf C: sd x1.25, p shrink 20%]</t>
        </is>
      </c>
      <c r="V33">
        <f>K33+Assumptions!$J$12*MIN(L33,Assumptions!$H$12)</f>
        <v/>
      </c>
      <c r="W33">
        <f>RANK(V33,$V$5:$V$98)</f>
        <v/>
      </c>
      <c r="Y33">
        <f>N33-IF(T33="C",Assumptions!$B$27,IF(T33="B",Assumptions!$B$26,0))</f>
        <v/>
      </c>
    </row>
    <row r="34">
      <c r="A34" t="inlineStr">
        <is>
          <t>Jonathan Groff</t>
        </is>
      </c>
      <c r="B34" t="inlineStr">
        <is>
          <t>Frozen 3 (Nov 24)</t>
        </is>
      </c>
      <c r="G34" t="inlineStr">
        <is>
          <t>Frozen 3 (93%)</t>
        </is>
      </c>
      <c r="I34" t="n">
        <v>242.1862</v>
      </c>
      <c r="J34" t="n">
        <v>146</v>
      </c>
      <c r="K34" t="n">
        <v>5.678</v>
      </c>
      <c r="L34" t="n">
        <v>0</v>
      </c>
      <c r="M34">
        <f>K34+MIN(L34,Assumptions!$H$12)</f>
        <v/>
      </c>
      <c r="N34">
        <f>M34-Assumptions!$I$12</f>
        <v/>
      </c>
      <c r="O34">
        <f>N34-Assumptions!$B$25*Q34</f>
        <v/>
      </c>
      <c r="P34" t="n">
        <v>4</v>
      </c>
      <c r="Q34" t="n">
        <v>3.09</v>
      </c>
      <c r="R34" t="inlineStr">
        <is>
          <t>Wikipedia 'List of American films of 2027' casts (Actions-runner pull 2026-10-08) x comp-based box office/RT estimates; cast lists are billed leads only (cameos not captured)</t>
        </is>
      </c>
      <c r="S34" t="inlineStr">
        <is>
          <t>2026-10-08</t>
        </is>
      </c>
      <c r="T34" s="9" t="inlineStr">
        <is>
          <t>C</t>
        </is>
      </c>
      <c r="U34" t="inlineStr">
        <is>
          <t>[conf C: sd x1.25, p shrink 20%]</t>
        </is>
      </c>
      <c r="V34">
        <f>K34+Assumptions!$J$12*MIN(L34,Assumptions!$H$12)</f>
        <v/>
      </c>
      <c r="W34">
        <f>RANK(V34,$V$5:$V$98)</f>
        <v/>
      </c>
      <c r="Y34">
        <f>N34-IF(T34="C",Assumptions!$B$27,IF(T34="B",Assumptions!$B$26,0))</f>
        <v/>
      </c>
    </row>
    <row r="35">
      <c r="A35" t="inlineStr">
        <is>
          <t>David Corenswet</t>
        </is>
      </c>
      <c r="B35" t="inlineStr">
        <is>
          <t>Man of Tomorrow (Jul 9)</t>
        </is>
      </c>
      <c r="G35" t="inlineStr">
        <is>
          <t>Man of Tomorrow (92%)</t>
        </is>
      </c>
      <c r="I35" t="n">
        <v>243.8062</v>
      </c>
      <c r="J35" t="n">
        <v>147.25</v>
      </c>
      <c r="K35" t="n">
        <v>5.657</v>
      </c>
      <c r="L35" t="n">
        <v>0</v>
      </c>
      <c r="M35">
        <f>K35+MIN(L35,Assumptions!$H$12)</f>
        <v/>
      </c>
      <c r="N35">
        <f>M35-Assumptions!$I$12</f>
        <v/>
      </c>
      <c r="O35">
        <f>N35-Assumptions!$B$25*Q35</f>
        <v/>
      </c>
      <c r="P35" t="n">
        <v>4</v>
      </c>
      <c r="Q35" t="n">
        <v>3.148</v>
      </c>
      <c r="R35" t="inlineStr">
        <is>
          <t>Wikipedia 'List of American films of 2027' casts (Actions-runner pull 2026-10-08) x comp-based box office/RT estimates; cast lists are billed leads only (cameos not captured)</t>
        </is>
      </c>
      <c r="S35" t="inlineStr">
        <is>
          <t>2026-10-08</t>
        </is>
      </c>
      <c r="T35" s="9" t="inlineStr">
        <is>
          <t>C</t>
        </is>
      </c>
      <c r="U35" t="inlineStr">
        <is>
          <t>[conf C: sd x1.25, p shrink 20%]</t>
        </is>
      </c>
      <c r="V35">
        <f>K35+Assumptions!$J$12*MIN(L35,Assumptions!$H$12)</f>
        <v/>
      </c>
      <c r="W35">
        <f>RANK(V35,$V$5:$V$98)</f>
        <v/>
      </c>
      <c r="Y35">
        <f>N35-IF(T35="C",Assumptions!$B$27,IF(T35="B",Assumptions!$B$26,0))</f>
        <v/>
      </c>
    </row>
    <row r="36">
      <c r="A36" t="inlineStr">
        <is>
          <t>Edi Gathegi</t>
        </is>
      </c>
      <c r="B36" t="inlineStr">
        <is>
          <t>Man of Tomorrow (Jul 9)</t>
        </is>
      </c>
      <c r="G36" t="inlineStr">
        <is>
          <t>Man of Tomorrow (92%)</t>
        </is>
      </c>
      <c r="I36" t="n">
        <v>243.8062</v>
      </c>
      <c r="J36" t="n">
        <v>147.25</v>
      </c>
      <c r="K36" t="n">
        <v>5.653</v>
      </c>
      <c r="L36" t="n">
        <v>0</v>
      </c>
      <c r="M36">
        <f>K36+MIN(L36,Assumptions!$H$12)</f>
        <v/>
      </c>
      <c r="N36">
        <f>M36-Assumptions!$I$12</f>
        <v/>
      </c>
      <c r="O36">
        <f>N36-Assumptions!$B$25*Q36</f>
        <v/>
      </c>
      <c r="P36" t="n">
        <v>4</v>
      </c>
      <c r="Q36" t="n">
        <v>3.132</v>
      </c>
      <c r="R36" t="inlineStr">
        <is>
          <t>Wikipedia 'List of American films of 2027' casts (Actions-runner pull 2026-10-08) x comp-based box office/RT estimates; cast lists are billed leads only (cameos not captured)</t>
        </is>
      </c>
      <c r="S36" t="inlineStr">
        <is>
          <t>2026-10-08</t>
        </is>
      </c>
      <c r="T36" s="9" t="inlineStr">
        <is>
          <t>C</t>
        </is>
      </c>
      <c r="U36" t="inlineStr">
        <is>
          <t>[conf C: sd x1.25, p shrink 20%]</t>
        </is>
      </c>
      <c r="V36">
        <f>K36+Assumptions!$J$12*MIN(L36,Assumptions!$H$12)</f>
        <v/>
      </c>
      <c r="W36">
        <f>RANK(V36,$V$5:$V$98)</f>
        <v/>
      </c>
      <c r="Y36">
        <f>N36-IF(T36="C",Assumptions!$B$27,IF(T36="B",Assumptions!$B$26,0))</f>
        <v/>
      </c>
    </row>
    <row r="37">
      <c r="A37" t="inlineStr">
        <is>
          <t>Xolo Maridueña</t>
        </is>
      </c>
      <c r="B37" t="inlineStr">
        <is>
          <t>Man of Tomorrow (Jul 9)</t>
        </is>
      </c>
      <c r="G37" t="inlineStr">
        <is>
          <t>Man of Tomorrow (92%)</t>
        </is>
      </c>
      <c r="I37" t="n">
        <v>243.8062</v>
      </c>
      <c r="J37" t="n">
        <v>147.25</v>
      </c>
      <c r="K37" t="n">
        <v>5.642</v>
      </c>
      <c r="L37" t="n">
        <v>0</v>
      </c>
      <c r="M37">
        <f>K37+MIN(L37,Assumptions!$H$12)</f>
        <v/>
      </c>
      <c r="N37">
        <f>M37-Assumptions!$I$12</f>
        <v/>
      </c>
      <c r="O37">
        <f>N37-Assumptions!$B$25*Q37</f>
        <v/>
      </c>
      <c r="P37" t="n">
        <v>4</v>
      </c>
      <c r="Q37" t="n">
        <v>3.158</v>
      </c>
      <c r="R37" t="inlineStr">
        <is>
          <t>Wikipedia 'List of American films of 2027' casts (Actions-runner pull 2026-10-08) x comp-based box office/RT estimates; cast lists are billed leads only (cameos not captured)</t>
        </is>
      </c>
      <c r="S37" t="inlineStr">
        <is>
          <t>2026-10-08</t>
        </is>
      </c>
      <c r="T37" s="9" t="inlineStr">
        <is>
          <t>C</t>
        </is>
      </c>
      <c r="U37" t="inlineStr">
        <is>
          <t>[conf C: sd x1.25, p shrink 20%]</t>
        </is>
      </c>
      <c r="V37">
        <f>K37+Assumptions!$J$12*MIN(L37,Assumptions!$H$12)</f>
        <v/>
      </c>
      <c r="W37">
        <f>RANK(V37,$V$5:$V$98)</f>
        <v/>
      </c>
      <c r="Y37">
        <f>N37-IF(T37="C",Assumptions!$B$27,IF(T37="B",Assumptions!$B$26,0))</f>
        <v/>
      </c>
    </row>
    <row r="38">
      <c r="A38" t="inlineStr">
        <is>
          <t>Andrew Garfield</t>
        </is>
      </c>
      <c r="B38" t="inlineStr">
        <is>
          <t>no 2027 film found in Wikipedia's cast lists</t>
        </is>
      </c>
      <c r="D38" t="n">
        <v>0.78</v>
      </c>
      <c r="E38" t="n">
        <v>0.275</v>
      </c>
      <c r="F38" t="inlineStr">
        <is>
          <t>Best Supporting Actor: ? (nom 78%, win 27%)</t>
        </is>
      </c>
      <c r="I38" t="n">
        <v>31.8562</v>
      </c>
      <c r="J38" t="n">
        <v>10</v>
      </c>
      <c r="K38" t="n">
        <v>1.9</v>
      </c>
      <c r="L38" t="n">
        <v>3.737</v>
      </c>
      <c r="M38">
        <f>K38+MIN(L38,Assumptions!$H$12)</f>
        <v/>
      </c>
      <c r="N38">
        <f>M38-Assumptions!$I$12</f>
        <v/>
      </c>
      <c r="O38">
        <f>N38-Assumptions!$B$25*Q38</f>
        <v/>
      </c>
      <c r="P38" t="n">
        <v>4</v>
      </c>
      <c r="Q38" t="n">
        <v>0.916</v>
      </c>
      <c r="R38" t="inlineStr">
        <is>
          <t>Wikipedia 'List of American films of 2027' casts (Actions-runner pull 2026-10-08) x comp-based box office/RT estimates; cast lists are billed leads only (cameos not captured)</t>
        </is>
      </c>
      <c r="S38" t="inlineStr">
        <is>
          <t>2026-10-08</t>
        </is>
      </c>
      <c r="T38" s="9" t="inlineStr">
        <is>
          <t>C</t>
        </is>
      </c>
      <c r="U38" t="inlineStr">
        <is>
          <t>[conf C: sd x1.25, p shrink 20%]</t>
        </is>
      </c>
      <c r="V38">
        <f>K38+Assumptions!$J$12*MIN(L38,Assumptions!$H$12)</f>
        <v/>
      </c>
      <c r="W38">
        <f>RANK(V38,$V$5:$V$98)</f>
        <v/>
      </c>
      <c r="Y38">
        <f>N38-IF(T38="C",Assumptions!$B$27,IF(T38="B",Assumptions!$B$26,0))</f>
        <v/>
      </c>
    </row>
    <row r="39">
      <c r="A39" t="inlineStr">
        <is>
          <t>Tom Cruise</t>
        </is>
      </c>
      <c r="B39" t="inlineStr">
        <is>
          <t>no 2027 film found in Wikipedia's cast lists</t>
        </is>
      </c>
      <c r="D39" t="n">
        <v>0.6</v>
      </c>
      <c r="E39" t="n">
        <v>0.145</v>
      </c>
      <c r="F39" t="inlineStr">
        <is>
          <t>Best Actor: Digger (nom 60%, win 14%)</t>
        </is>
      </c>
      <c r="I39" t="n">
        <v>31.8562</v>
      </c>
      <c r="J39" t="n">
        <v>10</v>
      </c>
      <c r="K39" t="n">
        <v>1.914</v>
      </c>
      <c r="L39" t="n">
        <v>3.705</v>
      </c>
      <c r="M39">
        <f>K39+MIN(L39,Assumptions!$H$12)</f>
        <v/>
      </c>
      <c r="N39">
        <f>M39-Assumptions!$I$12</f>
        <v/>
      </c>
      <c r="O39">
        <f>N39-Assumptions!$B$25*Q39</f>
        <v/>
      </c>
      <c r="P39" t="n">
        <v>4</v>
      </c>
      <c r="Q39" t="n">
        <v>0.922</v>
      </c>
      <c r="R39" t="inlineStr">
        <is>
          <t>Wikipedia 'List of American films of 2027' casts (Actions-runner pull 2026-10-08) x comp-based box office/RT estimates; cast lists are billed leads only (cameos not captured)</t>
        </is>
      </c>
      <c r="S39" t="inlineStr">
        <is>
          <t>2026-10-08</t>
        </is>
      </c>
      <c r="T39" s="9" t="inlineStr">
        <is>
          <t>C</t>
        </is>
      </c>
      <c r="U39" t="inlineStr">
        <is>
          <t>[conf C: sd x1.25, p shrink 20%]</t>
        </is>
      </c>
      <c r="V39">
        <f>K39+Assumptions!$J$12*MIN(L39,Assumptions!$H$12)</f>
        <v/>
      </c>
      <c r="W39">
        <f>RANK(V39,$V$5:$V$98)</f>
        <v/>
      </c>
      <c r="Y39">
        <f>N39-IF(T39="C",Assumptions!$B$27,IF(T39="B",Assumptions!$B$26,0))</f>
        <v/>
      </c>
    </row>
    <row r="40">
      <c r="A40" t="inlineStr">
        <is>
          <t>Frank Grillo</t>
        </is>
      </c>
      <c r="B40" t="inlineStr">
        <is>
          <t>Man of Tomorrow (Jul 9)</t>
        </is>
      </c>
      <c r="G40" t="inlineStr">
        <is>
          <t>Man of Tomorrow (92%)</t>
        </is>
      </c>
      <c r="I40" t="n">
        <v>243.8062</v>
      </c>
      <c r="J40" t="n">
        <v>147.25</v>
      </c>
      <c r="K40" t="n">
        <v>5.602</v>
      </c>
      <c r="L40" t="n">
        <v>0</v>
      </c>
      <c r="M40">
        <f>K40+MIN(L40,Assumptions!$H$12)</f>
        <v/>
      </c>
      <c r="N40">
        <f>M40-Assumptions!$I$12</f>
        <v/>
      </c>
      <c r="O40">
        <f>N40-Assumptions!$B$25*Q40</f>
        <v/>
      </c>
      <c r="P40" t="n">
        <v>4</v>
      </c>
      <c r="Q40" t="n">
        <v>3.118</v>
      </c>
      <c r="R40" t="inlineStr">
        <is>
          <t>Wikipedia 'List of American films of 2027' casts (Actions-runner pull 2026-10-08) x comp-based box office/RT estimates; cast lists are billed leads only (cameos not captured)</t>
        </is>
      </c>
      <c r="S40" t="inlineStr">
        <is>
          <t>2026-10-08</t>
        </is>
      </c>
      <c r="T40" s="9" t="inlineStr">
        <is>
          <t>C</t>
        </is>
      </c>
      <c r="U40" t="inlineStr">
        <is>
          <t>[conf C: sd x1.25, p shrink 20%]</t>
        </is>
      </c>
      <c r="V40">
        <f>K40+Assumptions!$J$12*MIN(L40,Assumptions!$H$12)</f>
        <v/>
      </c>
      <c r="W40">
        <f>RANK(V40,$V$5:$V$98)</f>
        <v/>
      </c>
      <c r="Y40">
        <f>N40-IF(T40="C",Assumptions!$B$27,IF(T40="B",Assumptions!$B$26,0))</f>
        <v/>
      </c>
    </row>
    <row r="41">
      <c r="A41" t="inlineStr">
        <is>
          <t>Robert Pattinson</t>
        </is>
      </c>
      <c r="B41" t="inlineStr">
        <is>
          <t>no 2027 film found in Wikipedia's cast lists</t>
        </is>
      </c>
      <c r="D41" t="n">
        <v>0.495</v>
      </c>
      <c r="E41" t="n">
        <v>0.055</v>
      </c>
      <c r="F41" t="inlineStr">
        <is>
          <t>Best Actor: Primetime (nom 49%, win 2%); Best Supporting Actor: ? (nom 27%, win 5%)</t>
        </is>
      </c>
      <c r="I41" t="n">
        <v>31.8562</v>
      </c>
      <c r="J41" t="n">
        <v>10</v>
      </c>
      <c r="K41" t="n">
        <v>1.914</v>
      </c>
      <c r="L41" t="n">
        <v>3.25</v>
      </c>
      <c r="M41">
        <f>K41+MIN(L41,Assumptions!$H$12)</f>
        <v/>
      </c>
      <c r="N41">
        <f>M41-Assumptions!$I$12</f>
        <v/>
      </c>
      <c r="O41">
        <f>N41-Assumptions!$B$25*Q41</f>
        <v/>
      </c>
      <c r="P41" t="n">
        <v>4</v>
      </c>
      <c r="Q41" t="n">
        <v>0.916</v>
      </c>
      <c r="R41" t="inlineStr">
        <is>
          <t>Wikipedia 'List of American films of 2027' casts (Actions-runner pull 2026-10-08) x comp-based box office/RT estimates; cast lists are billed leads only (cameos not captured)</t>
        </is>
      </c>
      <c r="S41" t="inlineStr">
        <is>
          <t>2026-10-08</t>
        </is>
      </c>
      <c r="T41" s="9" t="inlineStr">
        <is>
          <t>C</t>
        </is>
      </c>
      <c r="U41" t="inlineStr">
        <is>
          <t>[conf C: sd x1.25, p shrink 20%]</t>
        </is>
      </c>
      <c r="V41">
        <f>K41+Assumptions!$J$12*MIN(L41,Assumptions!$H$12)</f>
        <v/>
      </c>
      <c r="W41">
        <f>RANK(V41,$V$5:$V$98)</f>
        <v/>
      </c>
      <c r="X41" s="16" t="inlineStr">
        <is>
          <t>Buckley</t>
        </is>
      </c>
      <c r="Y41">
        <f>N41-IF(T41="C",Assumptions!$B$27,IF(T41="B",Assumptions!$B$26,0))</f>
        <v/>
      </c>
    </row>
    <row r="42">
      <c r="A42" t="inlineStr">
        <is>
          <t>Mike Myers</t>
        </is>
      </c>
      <c r="B42" t="inlineStr">
        <is>
          <t>Shrek 5 (Jun 30)</t>
        </is>
      </c>
      <c r="G42" t="inlineStr">
        <is>
          <t>Shrek 5 (90%)</t>
        </is>
      </c>
      <c r="I42" t="n">
        <v>208.0762</v>
      </c>
      <c r="J42" t="n">
        <v>122.375</v>
      </c>
      <c r="K42" t="n">
        <v>4.942</v>
      </c>
      <c r="L42" t="n">
        <v>0</v>
      </c>
      <c r="M42">
        <f>K42+MIN(L42,Assumptions!$H$12)</f>
        <v/>
      </c>
      <c r="N42">
        <f>M42-Assumptions!$I$12</f>
        <v/>
      </c>
      <c r="O42">
        <f>N42-Assumptions!$B$25*Q42</f>
        <v/>
      </c>
      <c r="P42" t="n">
        <v>4</v>
      </c>
      <c r="Q42" t="n">
        <v>2.754</v>
      </c>
      <c r="R42" t="inlineStr">
        <is>
          <t>Wikipedia 'List of American films of 2027' casts (Actions-runner pull 2026-10-08) x comp-based box office/RT estimates; cast lists are billed leads only (cameos not captured)</t>
        </is>
      </c>
      <c r="S42" t="inlineStr">
        <is>
          <t>2026-10-08</t>
        </is>
      </c>
      <c r="T42" s="9" t="inlineStr">
        <is>
          <t>C</t>
        </is>
      </c>
      <c r="U42" t="inlineStr">
        <is>
          <t>[conf C: sd x1.25, p shrink 20%]</t>
        </is>
      </c>
      <c r="V42">
        <f>K42+Assumptions!$J$12*MIN(L42,Assumptions!$H$12)</f>
        <v/>
      </c>
      <c r="W42">
        <f>RANK(V42,$V$5:$V$98)</f>
        <v/>
      </c>
      <c r="Y42">
        <f>N42-IF(T42="C",Assumptions!$B$27,IF(T42="B",Assumptions!$B$26,0))</f>
        <v/>
      </c>
    </row>
    <row r="43">
      <c r="A43" t="inlineStr">
        <is>
          <t>Marcello Hernández</t>
        </is>
      </c>
      <c r="B43" t="inlineStr">
        <is>
          <t>Shrek 5 (Jun 30)</t>
        </is>
      </c>
      <c r="G43" t="inlineStr">
        <is>
          <t>Shrek 5 (90%)</t>
        </is>
      </c>
      <c r="I43" t="n">
        <v>208.0762</v>
      </c>
      <c r="J43" t="n">
        <v>122.375</v>
      </c>
      <c r="K43" t="n">
        <v>4.907</v>
      </c>
      <c r="L43" t="n">
        <v>0</v>
      </c>
      <c r="M43">
        <f>K43+MIN(L43,Assumptions!$H$12)</f>
        <v/>
      </c>
      <c r="N43">
        <f>M43-Assumptions!$I$12</f>
        <v/>
      </c>
      <c r="O43">
        <f>N43-Assumptions!$B$25*Q43</f>
        <v/>
      </c>
      <c r="P43" t="n">
        <v>4</v>
      </c>
      <c r="Q43" t="n">
        <v>2.744</v>
      </c>
      <c r="R43" t="inlineStr">
        <is>
          <t>Wikipedia 'List of American films of 2027' casts (Actions-runner pull 2026-10-08) x comp-based box office/RT estimates; cast lists are billed leads only (cameos not captured)</t>
        </is>
      </c>
      <c r="S43" t="inlineStr">
        <is>
          <t>2026-10-08</t>
        </is>
      </c>
      <c r="T43" s="9" t="inlineStr">
        <is>
          <t>C</t>
        </is>
      </c>
      <c r="U43" t="inlineStr">
        <is>
          <t>[conf C: sd x1.25, p shrink 20%]</t>
        </is>
      </c>
      <c r="V43">
        <f>K43+Assumptions!$J$12*MIN(L43,Assumptions!$H$12)</f>
        <v/>
      </c>
      <c r="W43">
        <f>RANK(V43,$V$5:$V$98)</f>
        <v/>
      </c>
      <c r="Y43">
        <f>N43-IF(T43="C",Assumptions!$B$27,IF(T43="B",Assumptions!$B$26,0))</f>
        <v/>
      </c>
    </row>
    <row r="44">
      <c r="A44" t="inlineStr">
        <is>
          <t>Eddie Murphy</t>
        </is>
      </c>
      <c r="B44" t="inlineStr">
        <is>
          <t>Shrek 5 (Jun 30)</t>
        </is>
      </c>
      <c r="G44" t="inlineStr">
        <is>
          <t>Shrek 5 (90%)</t>
        </is>
      </c>
      <c r="I44" t="n">
        <v>208.0762</v>
      </c>
      <c r="J44" t="n">
        <v>122.375</v>
      </c>
      <c r="K44" t="n">
        <v>4.887</v>
      </c>
      <c r="L44" t="n">
        <v>0</v>
      </c>
      <c r="M44">
        <f>K44+MIN(L44,Assumptions!$H$12)</f>
        <v/>
      </c>
      <c r="N44">
        <f>M44-Assumptions!$I$12</f>
        <v/>
      </c>
      <c r="O44">
        <f>N44-Assumptions!$B$25*Q44</f>
        <v/>
      </c>
      <c r="P44" t="n">
        <v>4</v>
      </c>
      <c r="Q44" t="n">
        <v>2.732</v>
      </c>
      <c r="R44" t="inlineStr">
        <is>
          <t>Wikipedia 'List of American films of 2027' casts (Actions-runner pull 2026-10-08) x comp-based box office/RT estimates; cast lists are billed leads only (cameos not captured)</t>
        </is>
      </c>
      <c r="S44" t="inlineStr">
        <is>
          <t>2026-10-08</t>
        </is>
      </c>
      <c r="T44" s="9" t="inlineStr">
        <is>
          <t>C</t>
        </is>
      </c>
      <c r="U44" t="inlineStr">
        <is>
          <t>[conf C: sd x1.25, p shrink 20%]</t>
        </is>
      </c>
      <c r="V44">
        <f>K44+Assumptions!$J$12*MIN(L44,Assumptions!$H$12)</f>
        <v/>
      </c>
      <c r="W44">
        <f>RANK(V44,$V$5:$V$98)</f>
        <v/>
      </c>
      <c r="Y44">
        <f>N44-IF(T44="C",Assumptions!$B$27,IF(T44="B",Assumptions!$B$26,0))</f>
        <v/>
      </c>
    </row>
    <row r="45">
      <c r="A45" t="inlineStr">
        <is>
          <t>Noah Jupe</t>
        </is>
      </c>
      <c r="B45" t="inlineStr">
        <is>
          <t>Avengers: Secret Wars (Dec 17); A Quiet Place Part III (Jul 30)</t>
        </is>
      </c>
      <c r="G45" t="inlineStr">
        <is>
          <t>A Quiet Place Part III (90%); Avengers: Secret Wars (50%)</t>
        </is>
      </c>
      <c r="I45" t="n">
        <v>199.2562</v>
      </c>
      <c r="J45" t="n">
        <v>116.25</v>
      </c>
      <c r="K45" t="n">
        <v>4.715</v>
      </c>
      <c r="L45" t="n">
        <v>0</v>
      </c>
      <c r="M45">
        <f>K45+MIN(L45,Assumptions!$H$12)</f>
        <v/>
      </c>
      <c r="N45">
        <f>M45-Assumptions!$I$12</f>
        <v/>
      </c>
      <c r="O45">
        <f>N45-Assumptions!$B$25*Q45</f>
        <v/>
      </c>
      <c r="P45" t="n">
        <v>4</v>
      </c>
      <c r="Q45" t="n">
        <v>2.622</v>
      </c>
      <c r="R45" t="inlineStr">
        <is>
          <t>Wikipedia 'List of American films of 2027' casts (Actions-runner pull 2026-10-08) x comp-based box office/RT estimates; cast lists are billed leads only (cameos not captured)</t>
        </is>
      </c>
      <c r="S45" t="inlineStr">
        <is>
          <t>2026-10-08</t>
        </is>
      </c>
      <c r="T45" s="9" t="inlineStr">
        <is>
          <t>C</t>
        </is>
      </c>
      <c r="U45" t="inlineStr">
        <is>
          <t>[conf C: sd x1.25, p shrink 20%]</t>
        </is>
      </c>
      <c r="V45">
        <f>K45+Assumptions!$J$12*MIN(L45,Assumptions!$H$12)</f>
        <v/>
      </c>
      <c r="W45">
        <f>RANK(V45,$V$5:$V$98)</f>
        <v/>
      </c>
      <c r="Y45">
        <f>N45-IF(T45="C",Assumptions!$B$27,IF(T45="B",Assumptions!$B$26,0))</f>
        <v/>
      </c>
    </row>
    <row r="46">
      <c r="A46" t="inlineStr">
        <is>
          <t>Benjamin Evan Ainsworth</t>
        </is>
      </c>
      <c r="B46" t="inlineStr">
        <is>
          <t>The Legend of Zelda (Apr 30)</t>
        </is>
      </c>
      <c r="G46" t="inlineStr">
        <is>
          <t>The Legend of Zelda (92%)</t>
        </is>
      </c>
      <c r="I46" t="n">
        <v>196.1062</v>
      </c>
      <c r="J46" t="n">
        <v>114</v>
      </c>
      <c r="K46" t="n">
        <v>4.705</v>
      </c>
      <c r="L46" t="n">
        <v>0</v>
      </c>
      <c r="M46">
        <f>K46+MIN(L46,Assumptions!$H$12)</f>
        <v/>
      </c>
      <c r="N46">
        <f>M46-Assumptions!$I$12</f>
        <v/>
      </c>
      <c r="O46">
        <f>N46-Assumptions!$B$25*Q46</f>
        <v/>
      </c>
      <c r="P46" t="n">
        <v>4</v>
      </c>
      <c r="Q46" t="n">
        <v>2.583</v>
      </c>
      <c r="R46" t="inlineStr">
        <is>
          <t>Wikipedia 'List of American films of 2027' casts (Actions-runner pull 2026-10-08) x comp-based box office/RT estimates; cast lists are billed leads only (cameos not captured)</t>
        </is>
      </c>
      <c r="S46" t="inlineStr">
        <is>
          <t>2026-10-08</t>
        </is>
      </c>
      <c r="T46" s="9" t="inlineStr">
        <is>
          <t>C</t>
        </is>
      </c>
      <c r="U46" t="inlineStr">
        <is>
          <t>[conf C: sd x1.25, p shrink 20%]</t>
        </is>
      </c>
      <c r="V46">
        <f>K46+Assumptions!$J$12*MIN(L46,Assumptions!$H$12)</f>
        <v/>
      </c>
      <c r="W46">
        <f>RANK(V46,$V$5:$V$98)</f>
        <v/>
      </c>
      <c r="Y46">
        <f>N46-IF(T46="C",Assumptions!$B$27,IF(T46="B",Assumptions!$B$26,0))</f>
        <v/>
      </c>
    </row>
    <row r="47">
      <c r="A47" t="inlineStr">
        <is>
          <t>Uli Latukefu</t>
        </is>
      </c>
      <c r="B47" t="inlineStr">
        <is>
          <t>The Legend of Zelda (Apr 30)</t>
        </is>
      </c>
      <c r="G47" t="inlineStr">
        <is>
          <t>The Legend of Zelda (92%)</t>
        </is>
      </c>
      <c r="I47" t="n">
        <v>196.1062</v>
      </c>
      <c r="J47" t="n">
        <v>114</v>
      </c>
      <c r="K47" t="n">
        <v>4.705</v>
      </c>
      <c r="L47" t="n">
        <v>0</v>
      </c>
      <c r="M47">
        <f>K47+MIN(L47,Assumptions!$H$12)</f>
        <v/>
      </c>
      <c r="N47">
        <f>M47-Assumptions!$I$12</f>
        <v/>
      </c>
      <c r="O47">
        <f>N47-Assumptions!$B$25*Q47</f>
        <v/>
      </c>
      <c r="P47" t="n">
        <v>4</v>
      </c>
      <c r="Q47" t="n">
        <v>2.629</v>
      </c>
      <c r="R47" t="inlineStr">
        <is>
          <t>Wikipedia 'List of American films of 2027' casts (Actions-runner pull 2026-10-08) x comp-based box office/RT estimates; cast lists are billed leads only (cameos not captured)</t>
        </is>
      </c>
      <c r="S47" t="inlineStr">
        <is>
          <t>2026-10-08</t>
        </is>
      </c>
      <c r="T47" s="9" t="inlineStr">
        <is>
          <t>C</t>
        </is>
      </c>
      <c r="U47" t="inlineStr">
        <is>
          <t>[conf C: sd x1.25, p shrink 20%]</t>
        </is>
      </c>
      <c r="V47">
        <f>K47+Assumptions!$J$12*MIN(L47,Assumptions!$H$12)</f>
        <v/>
      </c>
      <c r="W47">
        <f>RANK(V47,$V$5:$V$98)</f>
        <v/>
      </c>
      <c r="Y47">
        <f>N47-IF(T47="C",Assumptions!$B$27,IF(T47="B",Assumptions!$B$26,0))</f>
        <v/>
      </c>
    </row>
    <row r="48">
      <c r="A48" t="inlineStr">
        <is>
          <t>Gerard Butler</t>
        </is>
      </c>
      <c r="B48" t="inlineStr">
        <is>
          <t>How to Train Your Dragon 2 (Jun 11)</t>
        </is>
      </c>
      <c r="G48" t="inlineStr">
        <is>
          <t>How to Train Your Dragon 2 (92%)</t>
        </is>
      </c>
      <c r="I48" t="n">
        <v>193.3162</v>
      </c>
      <c r="J48" t="n">
        <v>112.125</v>
      </c>
      <c r="K48" t="n">
        <v>4.647</v>
      </c>
      <c r="L48" t="n">
        <v>0</v>
      </c>
      <c r="M48">
        <f>K48+MIN(L48,Assumptions!$H$12)</f>
        <v/>
      </c>
      <c r="N48">
        <f>M48-Assumptions!$I$12</f>
        <v/>
      </c>
      <c r="O48">
        <f>N48-Assumptions!$B$25*Q48</f>
        <v/>
      </c>
      <c r="P48" t="n">
        <v>4</v>
      </c>
      <c r="Q48" t="n">
        <v>2.574</v>
      </c>
      <c r="R48" t="inlineStr">
        <is>
          <t>Wikipedia 'List of American films of 2027' casts (Actions-runner pull 2026-10-08) x comp-based box office/RT estimates; cast lists are billed leads only (cameos not captured)</t>
        </is>
      </c>
      <c r="S48" t="inlineStr">
        <is>
          <t>2026-10-08</t>
        </is>
      </c>
      <c r="T48" s="9" t="inlineStr">
        <is>
          <t>C</t>
        </is>
      </c>
      <c r="U48" t="inlineStr">
        <is>
          <t>[conf C: sd x1.25, p shrink 20%]</t>
        </is>
      </c>
      <c r="V48">
        <f>K48+Assumptions!$J$12*MIN(L48,Assumptions!$H$12)</f>
        <v/>
      </c>
      <c r="W48">
        <f>RANK(V48,$V$5:$V$98)</f>
        <v/>
      </c>
      <c r="Y48">
        <f>N48-IF(T48="C",Assumptions!$B$27,IF(T48="B",Assumptions!$B$26,0))</f>
        <v/>
      </c>
    </row>
    <row r="49">
      <c r="A49" t="inlineStr">
        <is>
          <t>Mason Thames</t>
        </is>
      </c>
      <c r="B49" t="inlineStr">
        <is>
          <t>How to Train Your Dragon 2 (Jun 11); Narcs (Aug 20)</t>
        </is>
      </c>
      <c r="G49" t="inlineStr">
        <is>
          <t>How to Train Your Dragon 2 (92%); Narcs (80%)</t>
        </is>
      </c>
      <c r="I49" t="n">
        <v>196.1962</v>
      </c>
      <c r="J49" t="n">
        <v>114.125</v>
      </c>
      <c r="K49" t="n">
        <v>4.629</v>
      </c>
      <c r="L49" t="n">
        <v>0</v>
      </c>
      <c r="M49">
        <f>K49+MIN(L49,Assumptions!$H$12)</f>
        <v/>
      </c>
      <c r="N49">
        <f>M49-Assumptions!$I$12</f>
        <v/>
      </c>
      <c r="O49">
        <f>N49-Assumptions!$B$25*Q49</f>
        <v/>
      </c>
      <c r="P49" t="n">
        <v>4</v>
      </c>
      <c r="Q49" t="n">
        <v>2.583</v>
      </c>
      <c r="R49" t="inlineStr">
        <is>
          <t>Wikipedia 'List of American films of 2027' casts (Actions-runner pull 2026-10-08) x comp-based box office/RT estimates; cast lists are billed leads only (cameos not captured)</t>
        </is>
      </c>
      <c r="S49" t="inlineStr">
        <is>
          <t>2026-10-08</t>
        </is>
      </c>
      <c r="T49" s="9" t="inlineStr">
        <is>
          <t>C</t>
        </is>
      </c>
      <c r="U49" t="inlineStr">
        <is>
          <t>[conf C: sd x1.25, p shrink 20%]</t>
        </is>
      </c>
      <c r="V49">
        <f>K49+Assumptions!$J$12*MIN(L49,Assumptions!$H$12)</f>
        <v/>
      </c>
      <c r="W49">
        <f>RANK(V49,$V$5:$V$98)</f>
        <v/>
      </c>
      <c r="Y49">
        <f>N49-IF(T49="C",Assumptions!$B$27,IF(T49="B",Assumptions!$B$26,0))</f>
        <v/>
      </c>
    </row>
    <row r="50">
      <c r="A50" t="inlineStr">
        <is>
          <t>Nick Frost</t>
        </is>
      </c>
      <c r="B50" t="inlineStr">
        <is>
          <t>How to Train Your Dragon 2 (Jun 11)</t>
        </is>
      </c>
      <c r="G50" t="inlineStr">
        <is>
          <t>How to Train Your Dragon 2 (92%)</t>
        </is>
      </c>
      <c r="I50" t="n">
        <v>193.3162</v>
      </c>
      <c r="J50" t="n">
        <v>112.125</v>
      </c>
      <c r="K50" t="n">
        <v>4.593</v>
      </c>
      <c r="L50" t="n">
        <v>0</v>
      </c>
      <c r="M50">
        <f>K50+MIN(L50,Assumptions!$H$12)</f>
        <v/>
      </c>
      <c r="N50">
        <f>M50-Assumptions!$I$12</f>
        <v/>
      </c>
      <c r="O50">
        <f>N50-Assumptions!$B$25*Q50</f>
        <v/>
      </c>
      <c r="P50" t="n">
        <v>4</v>
      </c>
      <c r="Q50" t="n">
        <v>2.623</v>
      </c>
      <c r="R50" t="inlineStr">
        <is>
          <t>Wikipedia 'List of American films of 2027' casts (Actions-runner pull 2026-10-08) x comp-based box office/RT estimates; cast lists are billed leads only (cameos not captured)</t>
        </is>
      </c>
      <c r="S50" t="inlineStr">
        <is>
          <t>2026-10-08</t>
        </is>
      </c>
      <c r="T50" s="9" t="inlineStr">
        <is>
          <t>C</t>
        </is>
      </c>
      <c r="U50" t="inlineStr">
        <is>
          <t>[conf C: sd x1.25, p shrink 20%]</t>
        </is>
      </c>
      <c r="V50">
        <f>K50+Assumptions!$J$12*MIN(L50,Assumptions!$H$12)</f>
        <v/>
      </c>
      <c r="W50">
        <f>RANK(V50,$V$5:$V$98)</f>
        <v/>
      </c>
      <c r="Y50">
        <f>N50-IF(T50="C",Assumptions!$B$27,IF(T50="B",Assumptions!$B$26,0))</f>
        <v/>
      </c>
    </row>
    <row r="51">
      <c r="A51" t="inlineStr">
        <is>
          <t>Phil Dunster</t>
        </is>
      </c>
      <c r="B51" t="inlineStr">
        <is>
          <t>How to Train Your Dragon 2 (Jun 11)</t>
        </is>
      </c>
      <c r="G51" t="inlineStr">
        <is>
          <t>How to Train Your Dragon 2 (92%)</t>
        </is>
      </c>
      <c r="I51" t="n">
        <v>193.3162</v>
      </c>
      <c r="J51" t="n">
        <v>112.125</v>
      </c>
      <c r="K51" t="n">
        <v>4.581</v>
      </c>
      <c r="L51" t="n">
        <v>0</v>
      </c>
      <c r="M51">
        <f>K51+MIN(L51,Assumptions!$H$12)</f>
        <v/>
      </c>
      <c r="N51">
        <f>M51-Assumptions!$I$12</f>
        <v/>
      </c>
      <c r="O51">
        <f>N51-Assumptions!$B$25*Q51</f>
        <v/>
      </c>
      <c r="P51" t="n">
        <v>4</v>
      </c>
      <c r="Q51" t="n">
        <v>2.54</v>
      </c>
      <c r="R51" t="inlineStr">
        <is>
          <t>Wikipedia 'List of American films of 2027' casts (Actions-runner pull 2026-10-08) x comp-based box office/RT estimates; cast lists are billed leads only (cameos not captured)</t>
        </is>
      </c>
      <c r="S51" t="inlineStr">
        <is>
          <t>2026-10-08</t>
        </is>
      </c>
      <c r="T51" s="9" t="inlineStr">
        <is>
          <t>C</t>
        </is>
      </c>
      <c r="U51" t="inlineStr">
        <is>
          <t>[conf C: sd x1.25, p shrink 20%]</t>
        </is>
      </c>
      <c r="V51">
        <f>K51+Assumptions!$J$12*MIN(L51,Assumptions!$H$12)</f>
        <v/>
      </c>
      <c r="W51">
        <f>RANK(V51,$V$5:$V$98)</f>
        <v/>
      </c>
      <c r="Y51">
        <f>N51-IF(T51="C",Assumptions!$B$27,IF(T51="B",Assumptions!$B$26,0))</f>
        <v/>
      </c>
    </row>
    <row r="52">
      <c r="A52" t="inlineStr">
        <is>
          <t>Ólafur Darri Ólafsson</t>
        </is>
      </c>
      <c r="B52" t="inlineStr">
        <is>
          <t>How to Train Your Dragon 2 (Jun 11)</t>
        </is>
      </c>
      <c r="G52" t="inlineStr">
        <is>
          <t>How to Train Your Dragon 2 (92%)</t>
        </is>
      </c>
      <c r="I52" t="n">
        <v>193.3162</v>
      </c>
      <c r="J52" t="n">
        <v>112.125</v>
      </c>
      <c r="K52" t="n">
        <v>4.575</v>
      </c>
      <c r="L52" t="n">
        <v>0</v>
      </c>
      <c r="M52">
        <f>K52+MIN(L52,Assumptions!$H$12)</f>
        <v/>
      </c>
      <c r="N52">
        <f>M52-Assumptions!$I$12</f>
        <v/>
      </c>
      <c r="O52">
        <f>N52-Assumptions!$B$25*Q52</f>
        <v/>
      </c>
      <c r="P52" t="n">
        <v>4</v>
      </c>
      <c r="Q52" t="n">
        <v>2.561</v>
      </c>
      <c r="R52" t="inlineStr">
        <is>
          <t>Wikipedia 'List of American films of 2027' casts (Actions-runner pull 2026-10-08) x comp-based box office/RT estimates; cast lists are billed leads only (cameos not captured)</t>
        </is>
      </c>
      <c r="S52" t="inlineStr">
        <is>
          <t>2026-10-08</t>
        </is>
      </c>
      <c r="T52" s="9" t="inlineStr">
        <is>
          <t>C</t>
        </is>
      </c>
      <c r="U52" t="inlineStr">
        <is>
          <t>[conf C: sd x1.25, p shrink 20%]</t>
        </is>
      </c>
      <c r="V52">
        <f>K52+Assumptions!$J$12*MIN(L52,Assumptions!$H$12)</f>
        <v/>
      </c>
      <c r="W52">
        <f>RANK(V52,$V$5:$V$98)</f>
        <v/>
      </c>
      <c r="Y52">
        <f>N52-IF(T52="C",Assumptions!$B$27,IF(T52="B",Assumptions!$B$26,0))</f>
        <v/>
      </c>
    </row>
    <row r="53">
      <c r="A53" t="inlineStr">
        <is>
          <t>Idris Elba</t>
        </is>
      </c>
      <c r="B53" t="inlineStr">
        <is>
          <t>Sonic the Hedgehog 4 (Mar 19); Children of Blood and Bone (Jan 15)</t>
        </is>
      </c>
      <c r="G53" t="inlineStr">
        <is>
          <t>Children of Blood and Bone (85%); Sonic the Hedgehog 4 (95%)</t>
        </is>
      </c>
      <c r="I53" t="n">
        <v>189.8062</v>
      </c>
      <c r="J53" t="n">
        <v>109.75</v>
      </c>
      <c r="K53" t="n">
        <v>4.51</v>
      </c>
      <c r="L53" t="n">
        <v>0</v>
      </c>
      <c r="M53">
        <f>K53+MIN(L53,Assumptions!$H$12)</f>
        <v/>
      </c>
      <c r="N53">
        <f>M53-Assumptions!$I$12</f>
        <v/>
      </c>
      <c r="O53">
        <f>N53-Assumptions!$B$25*Q53</f>
        <v/>
      </c>
      <c r="P53" t="n">
        <v>4</v>
      </c>
      <c r="Q53" t="n">
        <v>2.495</v>
      </c>
      <c r="R53" t="inlineStr">
        <is>
          <t>Wikipedia 'List of American films of 2027' casts (Actions-runner pull 2026-10-08) x comp-based box office/RT estimates; cast lists are billed leads only (cameos not captured)</t>
        </is>
      </c>
      <c r="S53" t="inlineStr">
        <is>
          <t>2026-10-08</t>
        </is>
      </c>
      <c r="T53" s="9" t="inlineStr">
        <is>
          <t>C</t>
        </is>
      </c>
      <c r="U53" t="inlineStr">
        <is>
          <t>[conf C: sd x1.25, p shrink 20%]</t>
        </is>
      </c>
      <c r="V53">
        <f>K53+Assumptions!$J$12*MIN(L53,Assumptions!$H$12)</f>
        <v/>
      </c>
      <c r="W53">
        <f>RANK(V53,$V$5:$V$98)</f>
        <v/>
      </c>
      <c r="Y53">
        <f>N53-IF(T53="C",Assumptions!$B$27,IF(T53="B",Assumptions!$B$26,0))</f>
        <v/>
      </c>
    </row>
    <row r="54">
      <c r="A54" t="inlineStr">
        <is>
          <t>Keanu Reeves</t>
        </is>
      </c>
      <c r="B54" t="inlineStr">
        <is>
          <t>Sonic the Hedgehog 4 (Mar 19); Shiver (Aug 13)</t>
        </is>
      </c>
      <c r="G54" t="inlineStr">
        <is>
          <t>Sonic the Hedgehog 4 (95%); Shiver (85%)</t>
        </is>
      </c>
      <c r="I54" t="n">
        <v>186.7462</v>
      </c>
      <c r="J54" t="n">
        <v>107.5</v>
      </c>
      <c r="K54" t="n">
        <v>4.389</v>
      </c>
      <c r="L54" t="n">
        <v>0</v>
      </c>
      <c r="M54">
        <f>K54+MIN(L54,Assumptions!$H$12)</f>
        <v/>
      </c>
      <c r="N54">
        <f>M54-Assumptions!$I$12</f>
        <v/>
      </c>
      <c r="O54">
        <f>N54-Assumptions!$B$25*Q54</f>
        <v/>
      </c>
      <c r="P54" t="n">
        <v>4</v>
      </c>
      <c r="Q54" t="n">
        <v>2.455</v>
      </c>
      <c r="R54" t="inlineStr">
        <is>
          <t>Wikipedia 'List of American films of 2027' casts (Actions-runner pull 2026-10-08) x comp-based box office/RT estimates; cast lists are billed leads only (cameos not captured)</t>
        </is>
      </c>
      <c r="S54" t="inlineStr">
        <is>
          <t>2026-10-08</t>
        </is>
      </c>
      <c r="T54" s="9" t="inlineStr">
        <is>
          <t>C</t>
        </is>
      </c>
      <c r="U54" t="inlineStr">
        <is>
          <t>[conf C: sd x1.25, p shrink 20%]</t>
        </is>
      </c>
      <c r="V54">
        <f>K54+Assumptions!$J$12*MIN(L54,Assumptions!$H$12)</f>
        <v/>
      </c>
      <c r="W54">
        <f>RANK(V54,$V$5:$V$98)</f>
        <v/>
      </c>
      <c r="Y54">
        <f>N54-IF(T54="C",Assumptions!$B$27,IF(T54="B",Assumptions!$B$26,0))</f>
        <v/>
      </c>
    </row>
    <row r="55">
      <c r="A55" t="inlineStr">
        <is>
          <t>Jim Carrey</t>
        </is>
      </c>
      <c r="B55" t="inlineStr">
        <is>
          <t>Sonic the Hedgehog 4 (Mar 19)</t>
        </is>
      </c>
      <c r="G55" t="inlineStr">
        <is>
          <t>Sonic the Hedgehog 4 (95%)</t>
        </is>
      </c>
      <c r="I55" t="n">
        <v>177.2062</v>
      </c>
      <c r="J55" t="n">
        <v>101</v>
      </c>
      <c r="K55" t="n">
        <v>4.289</v>
      </c>
      <c r="L55" t="n">
        <v>0</v>
      </c>
      <c r="M55">
        <f>K55+MIN(L55,Assumptions!$H$12)</f>
        <v/>
      </c>
      <c r="N55">
        <f>M55-Assumptions!$I$12</f>
        <v/>
      </c>
      <c r="O55">
        <f>N55-Assumptions!$B$25*Q55</f>
        <v/>
      </c>
      <c r="P55" t="n">
        <v>4</v>
      </c>
      <c r="Q55" t="n">
        <v>2.364</v>
      </c>
      <c r="R55" t="inlineStr">
        <is>
          <t>Wikipedia 'List of American films of 2027' casts (Actions-runner pull 2026-10-08) x comp-based box office/RT estimates; cast lists are billed leads only (cameos not captured)</t>
        </is>
      </c>
      <c r="S55" t="inlineStr">
        <is>
          <t>2026-10-08</t>
        </is>
      </c>
      <c r="T55" s="9" t="inlineStr">
        <is>
          <t>C</t>
        </is>
      </c>
      <c r="U55" t="inlineStr">
        <is>
          <t>[conf C: sd x1.25, p shrink 20%]</t>
        </is>
      </c>
      <c r="V55">
        <f>K55+Assumptions!$J$12*MIN(L55,Assumptions!$H$12)</f>
        <v/>
      </c>
      <c r="W55">
        <f>RANK(V55,$V$5:$V$98)</f>
        <v/>
      </c>
      <c r="Y55">
        <f>N55-IF(T55="C",Assumptions!$B$27,IF(T55="B",Assumptions!$B$26,0))</f>
        <v/>
      </c>
    </row>
    <row r="56">
      <c r="A56" t="inlineStr">
        <is>
          <t>Richard Ayoade</t>
        </is>
      </c>
      <c r="B56" t="inlineStr">
        <is>
          <t>Sonic the Hedgehog 4 (Mar 19)</t>
        </is>
      </c>
      <c r="G56" t="inlineStr">
        <is>
          <t>Sonic the Hedgehog 4 (95%)</t>
        </is>
      </c>
      <c r="I56" t="n">
        <v>177.2062</v>
      </c>
      <c r="J56" t="n">
        <v>101</v>
      </c>
      <c r="K56" t="n">
        <v>4.288</v>
      </c>
      <c r="L56" t="n">
        <v>0</v>
      </c>
      <c r="M56">
        <f>K56+MIN(L56,Assumptions!$H$12)</f>
        <v/>
      </c>
      <c r="N56">
        <f>M56-Assumptions!$I$12</f>
        <v/>
      </c>
      <c r="O56">
        <f>N56-Assumptions!$B$25*Q56</f>
        <v/>
      </c>
      <c r="P56" t="n">
        <v>4</v>
      </c>
      <c r="Q56" t="n">
        <v>2.328</v>
      </c>
      <c r="R56" t="inlineStr">
        <is>
          <t>Wikipedia 'List of American films of 2027' casts (Actions-runner pull 2026-10-08) x comp-based box office/RT estimates; cast lists are billed leads only (cameos not captured)</t>
        </is>
      </c>
      <c r="S56" t="inlineStr">
        <is>
          <t>2026-10-08</t>
        </is>
      </c>
      <c r="T56" s="9" t="inlineStr">
        <is>
          <t>C</t>
        </is>
      </c>
      <c r="U56" t="inlineStr">
        <is>
          <t>[conf C: sd x1.25, p shrink 20%]</t>
        </is>
      </c>
      <c r="V56">
        <f>K56+Assumptions!$J$12*MIN(L56,Assumptions!$H$12)</f>
        <v/>
      </c>
      <c r="W56">
        <f>RANK(V56,$V$5:$V$98)</f>
        <v/>
      </c>
      <c r="Y56">
        <f>N56-IF(T56="C",Assumptions!$B$27,IF(T56="B",Assumptions!$B$26,0))</f>
        <v/>
      </c>
    </row>
    <row r="57">
      <c r="A57" t="inlineStr">
        <is>
          <t>Nick Offerman</t>
        </is>
      </c>
      <c r="B57" t="inlineStr">
        <is>
          <t>Sonic the Hedgehog 4 (Mar 19)</t>
        </is>
      </c>
      <c r="G57" t="inlineStr">
        <is>
          <t>Sonic the Hedgehog 4 (95%)</t>
        </is>
      </c>
      <c r="I57" t="n">
        <v>177.2062</v>
      </c>
      <c r="J57" t="n">
        <v>101</v>
      </c>
      <c r="K57" t="n">
        <v>4.269</v>
      </c>
      <c r="L57" t="n">
        <v>0</v>
      </c>
      <c r="M57">
        <f>K57+MIN(L57,Assumptions!$H$12)</f>
        <v/>
      </c>
      <c r="N57">
        <f>M57-Assumptions!$I$12</f>
        <v/>
      </c>
      <c r="O57">
        <f>N57-Assumptions!$B$25*Q57</f>
        <v/>
      </c>
      <c r="P57" t="n">
        <v>4</v>
      </c>
      <c r="Q57" t="n">
        <v>2.329</v>
      </c>
      <c r="R57" t="inlineStr">
        <is>
          <t>Wikipedia 'List of American films of 2027' casts (Actions-runner pull 2026-10-08) x comp-based box office/RT estimates; cast lists are billed leads only (cameos not captured)</t>
        </is>
      </c>
      <c r="S57" t="inlineStr">
        <is>
          <t>2026-10-08</t>
        </is>
      </c>
      <c r="T57" s="9" t="inlineStr">
        <is>
          <t>C</t>
        </is>
      </c>
      <c r="U57" t="inlineStr">
        <is>
          <t>[conf C: sd x1.25, p shrink 20%]</t>
        </is>
      </c>
      <c r="V57">
        <f>K57+Assumptions!$J$12*MIN(L57,Assumptions!$H$12)</f>
        <v/>
      </c>
      <c r="W57">
        <f>RANK(V57,$V$5:$V$98)</f>
        <v/>
      </c>
      <c r="Y57">
        <f>N57-IF(T57="C",Assumptions!$B$27,IF(T57="B",Assumptions!$B$26,0))</f>
        <v/>
      </c>
    </row>
    <row r="58">
      <c r="A58" t="inlineStr">
        <is>
          <t>James Marsden</t>
        </is>
      </c>
      <c r="B58" t="inlineStr">
        <is>
          <t>Sonic the Hedgehog 4 (Mar 19)</t>
        </is>
      </c>
      <c r="G58" t="inlineStr">
        <is>
          <t>Sonic the Hedgehog 4 (95%)</t>
        </is>
      </c>
      <c r="I58" t="n">
        <v>177.2062</v>
      </c>
      <c r="J58" t="n">
        <v>101</v>
      </c>
      <c r="K58" t="n">
        <v>4.259</v>
      </c>
      <c r="L58" t="n">
        <v>0</v>
      </c>
      <c r="M58">
        <f>K58+MIN(L58,Assumptions!$H$12)</f>
        <v/>
      </c>
      <c r="N58">
        <f>M58-Assumptions!$I$12</f>
        <v/>
      </c>
      <c r="O58">
        <f>N58-Assumptions!$B$25*Q58</f>
        <v/>
      </c>
      <c r="P58" t="n">
        <v>4</v>
      </c>
      <c r="Q58" t="n">
        <v>2.367</v>
      </c>
      <c r="R58" t="inlineStr">
        <is>
          <t>Wikipedia 'List of American films of 2027' casts (Actions-runner pull 2026-10-08) x comp-based box office/RT estimates; cast lists are billed leads only (cameos not captured)</t>
        </is>
      </c>
      <c r="S58" t="inlineStr">
        <is>
          <t>2026-10-08</t>
        </is>
      </c>
      <c r="T58" s="9" t="inlineStr">
        <is>
          <t>C</t>
        </is>
      </c>
      <c r="U58" t="inlineStr">
        <is>
          <t>[conf C: sd x1.25, p shrink 20%]</t>
        </is>
      </c>
      <c r="V58">
        <f>K58+Assumptions!$J$12*MIN(L58,Assumptions!$H$12)</f>
        <v/>
      </c>
      <c r="W58">
        <f>RANK(V58,$V$5:$V$98)</f>
        <v/>
      </c>
      <c r="Y58">
        <f>N58-IF(T58="C",Assumptions!$B$27,IF(T58="B",Assumptions!$B$26,0))</f>
        <v/>
      </c>
    </row>
    <row r="59">
      <c r="A59" t="inlineStr">
        <is>
          <t>Ben Kingsley</t>
        </is>
      </c>
      <c r="B59" t="inlineStr">
        <is>
          <t>Sonic the Hedgehog 4 (Mar 19)</t>
        </is>
      </c>
      <c r="G59" t="inlineStr">
        <is>
          <t>Sonic the Hedgehog 4 (95%)</t>
        </is>
      </c>
      <c r="I59" t="n">
        <v>177.2062</v>
      </c>
      <c r="J59" t="n">
        <v>101</v>
      </c>
      <c r="K59" t="n">
        <v>4.257</v>
      </c>
      <c r="L59" t="n">
        <v>0</v>
      </c>
      <c r="M59">
        <f>K59+MIN(L59,Assumptions!$H$12)</f>
        <v/>
      </c>
      <c r="N59">
        <f>M59-Assumptions!$I$12</f>
        <v/>
      </c>
      <c r="O59">
        <f>N59-Assumptions!$B$25*Q59</f>
        <v/>
      </c>
      <c r="P59" t="n">
        <v>4</v>
      </c>
      <c r="Q59" t="n">
        <v>2.354</v>
      </c>
      <c r="R59" t="inlineStr">
        <is>
          <t>Wikipedia 'List of American films of 2027' casts (Actions-runner pull 2026-10-08) x comp-based box office/RT estimates; cast lists are billed leads only (cameos not captured)</t>
        </is>
      </c>
      <c r="S59" t="inlineStr">
        <is>
          <t>2026-10-08</t>
        </is>
      </c>
      <c r="T59" s="9" t="inlineStr">
        <is>
          <t>C</t>
        </is>
      </c>
      <c r="U59" t="inlineStr">
        <is>
          <t>[conf C: sd x1.25, p shrink 20%]</t>
        </is>
      </c>
      <c r="V59">
        <f>K59+Assumptions!$J$12*MIN(L59,Assumptions!$H$12)</f>
        <v/>
      </c>
      <c r="W59">
        <f>RANK(V59,$V$5:$V$98)</f>
        <v/>
      </c>
      <c r="Y59">
        <f>N59-IF(T59="C",Assumptions!$B$27,IF(T59="B",Assumptions!$B$26,0))</f>
        <v/>
      </c>
    </row>
    <row r="60">
      <c r="A60" t="inlineStr">
        <is>
          <t>Sam Rockwell</t>
        </is>
      </c>
      <c r="B60" t="inlineStr">
        <is>
          <t>no 2027 film found in Wikipedia's cast lists</t>
        </is>
      </c>
      <c r="D60" t="n">
        <v>0.765</v>
      </c>
      <c r="E60" t="n">
        <v>0.065</v>
      </c>
      <c r="F60" t="inlineStr">
        <is>
          <t>Best Supporting Actor: ? (nom 76%, win 6%)</t>
        </is>
      </c>
      <c r="I60" t="n">
        <v>31.8562</v>
      </c>
      <c r="J60" t="n">
        <v>10</v>
      </c>
      <c r="K60" t="n">
        <v>1.9</v>
      </c>
      <c r="L60" t="n">
        <v>2.335</v>
      </c>
      <c r="M60">
        <f>K60+MIN(L60,Assumptions!$H$12)</f>
        <v/>
      </c>
      <c r="N60">
        <f>M60-Assumptions!$I$12</f>
        <v/>
      </c>
      <c r="O60">
        <f>N60-Assumptions!$B$25*Q60</f>
        <v/>
      </c>
      <c r="P60" t="n">
        <v>4</v>
      </c>
      <c r="Q60" t="n">
        <v>0.918</v>
      </c>
      <c r="R60" t="inlineStr">
        <is>
          <t>Wikipedia 'List of American films of 2027' casts (Actions-runner pull 2026-10-08) x comp-based box office/RT estimates; cast lists are billed leads only (cameos not captured)</t>
        </is>
      </c>
      <c r="S60" t="inlineStr">
        <is>
          <t>2026-10-08</t>
        </is>
      </c>
      <c r="T60" s="9" t="inlineStr">
        <is>
          <t>C</t>
        </is>
      </c>
      <c r="U60" t="inlineStr">
        <is>
          <t>[conf C: sd x1.25, p shrink 20%]</t>
        </is>
      </c>
      <c r="V60">
        <f>K60+Assumptions!$J$12*MIN(L60,Assumptions!$H$12)</f>
        <v/>
      </c>
      <c r="W60">
        <f>RANK(V60,$V$5:$V$98)</f>
        <v/>
      </c>
      <c r="Y60">
        <f>N60-IF(T60="C",Assumptions!$B$27,IF(T60="B",Assumptions!$B$26,0))</f>
        <v/>
      </c>
    </row>
    <row r="61">
      <c r="A61" t="inlineStr">
        <is>
          <t>Lee Majdoub</t>
        </is>
      </c>
      <c r="B61" t="inlineStr">
        <is>
          <t>Sonic the Hedgehog 4 (Mar 19)</t>
        </is>
      </c>
      <c r="G61" t="inlineStr">
        <is>
          <t>Sonic the Hedgehog 4 (95%)</t>
        </is>
      </c>
      <c r="I61" t="n">
        <v>177.2062</v>
      </c>
      <c r="J61" t="n">
        <v>101</v>
      </c>
      <c r="K61" t="n">
        <v>4.235</v>
      </c>
      <c r="L61" t="n">
        <v>0</v>
      </c>
      <c r="M61">
        <f>K61+MIN(L61,Assumptions!$H$12)</f>
        <v/>
      </c>
      <c r="N61">
        <f>M61-Assumptions!$I$12</f>
        <v/>
      </c>
      <c r="O61">
        <f>N61-Assumptions!$B$25*Q61</f>
        <v/>
      </c>
      <c r="P61" t="n">
        <v>4</v>
      </c>
      <c r="Q61" t="n">
        <v>2.348</v>
      </c>
      <c r="R61" t="inlineStr">
        <is>
          <t>Wikipedia 'List of American films of 2027' casts (Actions-runner pull 2026-10-08) x comp-based box office/RT estimates; cast lists are billed leads only (cameos not captured)</t>
        </is>
      </c>
      <c r="S61" t="inlineStr">
        <is>
          <t>2026-10-08</t>
        </is>
      </c>
      <c r="T61" s="9" t="inlineStr">
        <is>
          <t>C</t>
        </is>
      </c>
      <c r="U61" t="inlineStr">
        <is>
          <t>[conf C: sd x1.25, p shrink 20%]</t>
        </is>
      </c>
      <c r="V61">
        <f>K61+Assumptions!$J$12*MIN(L61,Assumptions!$H$12)</f>
        <v/>
      </c>
      <c r="W61">
        <f>RANK(V61,$V$5:$V$98)</f>
        <v/>
      </c>
      <c r="Y61">
        <f>N61-IF(T61="C",Assumptions!$B$27,IF(T61="B",Assumptions!$B$26,0))</f>
        <v/>
      </c>
    </row>
    <row r="62">
      <c r="A62" t="inlineStr">
        <is>
          <t>Ben Schwartz</t>
        </is>
      </c>
      <c r="B62" t="inlineStr">
        <is>
          <t>Sonic the Hedgehog 4 (Mar 19)</t>
        </is>
      </c>
      <c r="G62" t="inlineStr">
        <is>
          <t>Sonic the Hedgehog 4 (95%)</t>
        </is>
      </c>
      <c r="I62" t="n">
        <v>177.2062</v>
      </c>
      <c r="J62" t="n">
        <v>101</v>
      </c>
      <c r="K62" t="n">
        <v>4.234</v>
      </c>
      <c r="L62" t="n">
        <v>0</v>
      </c>
      <c r="M62">
        <f>K62+MIN(L62,Assumptions!$H$12)</f>
        <v/>
      </c>
      <c r="N62">
        <f>M62-Assumptions!$I$12</f>
        <v/>
      </c>
      <c r="O62">
        <f>N62-Assumptions!$B$25*Q62</f>
        <v/>
      </c>
      <c r="P62" t="n">
        <v>4</v>
      </c>
      <c r="Q62" t="n">
        <v>2.364</v>
      </c>
      <c r="R62" t="inlineStr">
        <is>
          <t>Wikipedia 'List of American films of 2027' casts (Actions-runner pull 2026-10-08) x comp-based box office/RT estimates; cast lists are billed leads only (cameos not captured)</t>
        </is>
      </c>
      <c r="S62" t="inlineStr">
        <is>
          <t>2026-10-08</t>
        </is>
      </c>
      <c r="T62" s="9" t="inlineStr">
        <is>
          <t>C</t>
        </is>
      </c>
      <c r="U62" t="inlineStr">
        <is>
          <t>[conf C: sd x1.25, p shrink 20%]</t>
        </is>
      </c>
      <c r="V62">
        <f>K62+Assumptions!$J$12*MIN(L62,Assumptions!$H$12)</f>
        <v/>
      </c>
      <c r="W62">
        <f>RANK(V62,$V$5:$V$98)</f>
        <v/>
      </c>
      <c r="Y62">
        <f>N62-IF(T62="C",Assumptions!$B$27,IF(T62="B",Assumptions!$B$26,0))</f>
        <v/>
      </c>
    </row>
    <row r="63">
      <c r="A63" t="inlineStr">
        <is>
          <t>Jason Momoa</t>
        </is>
      </c>
      <c r="B63" t="inlineStr">
        <is>
          <t>A Minecraft Movie Squared (Jul 23); Animal Friends (Jan 22)</t>
        </is>
      </c>
      <c r="G63" t="inlineStr">
        <is>
          <t>Animal Friends (85%); A Minecraft Movie Squared (90%)</t>
        </is>
      </c>
      <c r="I63" t="n">
        <v>169.4662</v>
      </c>
      <c r="J63" t="n">
        <v>95.625</v>
      </c>
      <c r="K63" t="n">
        <v>4.108</v>
      </c>
      <c r="L63" t="n">
        <v>0</v>
      </c>
      <c r="M63">
        <f>K63+MIN(L63,Assumptions!$H$12)</f>
        <v/>
      </c>
      <c r="N63">
        <f>M63-Assumptions!$I$12</f>
        <v/>
      </c>
      <c r="O63">
        <f>N63-Assumptions!$B$25*Q63</f>
        <v/>
      </c>
      <c r="P63" t="n">
        <v>4</v>
      </c>
      <c r="Q63" t="n">
        <v>2.255</v>
      </c>
      <c r="R63" t="inlineStr">
        <is>
          <t>Wikipedia 'List of American films of 2027' casts (Actions-runner pull 2026-10-08) x comp-based box office/RT estimates; cast lists are billed leads only (cameos not captured)</t>
        </is>
      </c>
      <c r="S63" t="inlineStr">
        <is>
          <t>2026-10-08</t>
        </is>
      </c>
      <c r="T63" s="9" t="inlineStr">
        <is>
          <t>C</t>
        </is>
      </c>
      <c r="U63" t="inlineStr">
        <is>
          <t>[conf C: sd x1.25, p shrink 20%]</t>
        </is>
      </c>
      <c r="V63">
        <f>K63+Assumptions!$J$12*MIN(L63,Assumptions!$H$12)</f>
        <v/>
      </c>
      <c r="W63">
        <f>RANK(V63,$V$5:$V$98)</f>
        <v/>
      </c>
      <c r="Y63">
        <f>N63-IF(T63="C",Assumptions!$B$27,IF(T63="B",Assumptions!$B$26,0))</f>
        <v/>
      </c>
    </row>
    <row r="64">
      <c r="A64" t="inlineStr">
        <is>
          <t>Pedro Pascal</t>
        </is>
      </c>
      <c r="B64" t="inlineStr">
        <is>
          <t>Avengers: Secret Wars (Dec 17)</t>
        </is>
      </c>
      <c r="D64" t="n">
        <v>0.145</v>
      </c>
      <c r="E64" t="n">
        <v>0.01</v>
      </c>
      <c r="F64" t="inlineStr">
        <is>
          <t>Best Actor: Behemoth! (nom 14%, win 1%)</t>
        </is>
      </c>
      <c r="G64" t="inlineStr">
        <is>
          <t>Avengers: Secret Wars (50%)</t>
        </is>
      </c>
      <c r="I64" t="n">
        <v>132.4762</v>
      </c>
      <c r="J64" t="n">
        <v>69.875</v>
      </c>
      <c r="K64" t="n">
        <v>3.333</v>
      </c>
      <c r="L64" t="n">
        <v>0.67</v>
      </c>
      <c r="M64">
        <f>K64+MIN(L64,Assumptions!$H$12)</f>
        <v/>
      </c>
      <c r="N64">
        <f>M64-Assumptions!$I$12</f>
        <v/>
      </c>
      <c r="O64">
        <f>N64-Assumptions!$B$25*Q64</f>
        <v/>
      </c>
      <c r="P64" t="n">
        <v>4</v>
      </c>
      <c r="Q64" t="n">
        <v>1.736</v>
      </c>
      <c r="R64" t="inlineStr">
        <is>
          <t>Wikipedia 'List of American films of 2027' casts (Actions-runner pull 2026-10-08) x comp-based box office/RT estimates; cast lists are billed leads only (cameos not captured)</t>
        </is>
      </c>
      <c r="S64" t="inlineStr">
        <is>
          <t>2026-10-08</t>
        </is>
      </c>
      <c r="T64" s="9" t="inlineStr">
        <is>
          <t>C</t>
        </is>
      </c>
      <c r="U64" t="inlineStr">
        <is>
          <t>Secret Wars (Dec 17) only ~62% of its run falls inside 2027 and slip risk is high  [conf C: sd x1.25, p shrink 20%]</t>
        </is>
      </c>
      <c r="V64">
        <f>K64+Assumptions!$J$12*MIN(L64,Assumptions!$H$12)</f>
        <v/>
      </c>
      <c r="W64">
        <f>RANK(V64,$V$5:$V$98)</f>
        <v/>
      </c>
      <c r="X64" s="16" t="inlineStr">
        <is>
          <t>Mitchell</t>
        </is>
      </c>
      <c r="Y64">
        <f>N64-IF(T64="C",Assumptions!$B$27,IF(T64="B",Assumptions!$B$26,0))</f>
        <v/>
      </c>
    </row>
    <row r="65">
      <c r="A65" t="inlineStr">
        <is>
          <t>Jack O'Connell</t>
        </is>
      </c>
      <c r="B65" t="inlineStr">
        <is>
          <t>A Quiet Place Part III (Jul 30); Godzilla x Kong: Supernova (Mar 26)</t>
        </is>
      </c>
      <c r="G65" t="inlineStr">
        <is>
          <t>Godzilla x Kong: Supernova (90%); A Quiet Place Part III (90%)</t>
        </is>
      </c>
      <c r="I65" t="n">
        <v>159.4762</v>
      </c>
      <c r="J65" t="n">
        <v>88.625</v>
      </c>
      <c r="K65" t="n">
        <v>3.851</v>
      </c>
      <c r="L65" t="n">
        <v>0</v>
      </c>
      <c r="M65">
        <f>K65+MIN(L65,Assumptions!$H$12)</f>
        <v/>
      </c>
      <c r="N65">
        <f>M65-Assumptions!$I$12</f>
        <v/>
      </c>
      <c r="O65">
        <f>N65-Assumptions!$B$25*Q65</f>
        <v/>
      </c>
      <c r="P65" t="n">
        <v>4</v>
      </c>
      <c r="Q65" t="n">
        <v>2.092</v>
      </c>
      <c r="R65" t="inlineStr">
        <is>
          <t>Wikipedia 'List of American films of 2027' casts (Actions-runner pull 2026-10-08) x comp-based box office/RT estimates; cast lists are billed leads only (cameos not captured)</t>
        </is>
      </c>
      <c r="S65" t="inlineStr">
        <is>
          <t>2026-10-08</t>
        </is>
      </c>
      <c r="T65" s="9" t="inlineStr">
        <is>
          <t>C</t>
        </is>
      </c>
      <c r="U65" t="inlineStr">
        <is>
          <t>[conf C: sd x1.25, p shrink 20%]</t>
        </is>
      </c>
      <c r="V65">
        <f>K65+Assumptions!$J$12*MIN(L65,Assumptions!$H$12)</f>
        <v/>
      </c>
      <c r="W65">
        <f>RANK(V65,$V$5:$V$98)</f>
        <v/>
      </c>
      <c r="Y65">
        <f>N65-IF(T65="C",Assumptions!$B$27,IF(T65="B",Assumptions!$B$26,0))</f>
        <v/>
      </c>
    </row>
    <row r="66">
      <c r="A66" t="inlineStr">
        <is>
          <t>Jack Black</t>
        </is>
      </c>
      <c r="B66" t="inlineStr">
        <is>
          <t>A Minecraft Movie Squared (Jul 23)</t>
        </is>
      </c>
      <c r="G66" t="inlineStr">
        <is>
          <t>A Minecraft Movie Squared (90%)</t>
        </is>
      </c>
      <c r="I66" t="n">
        <v>153.9862</v>
      </c>
      <c r="J66" t="n">
        <v>84.75</v>
      </c>
      <c r="K66" t="n">
        <v>3.771</v>
      </c>
      <c r="L66" t="n">
        <v>0</v>
      </c>
      <c r="M66">
        <f>K66+MIN(L66,Assumptions!$H$12)</f>
        <v/>
      </c>
      <c r="N66">
        <f>M66-Assumptions!$I$12</f>
        <v/>
      </c>
      <c r="O66">
        <f>N66-Assumptions!$B$25*Q66</f>
        <v/>
      </c>
      <c r="P66" t="n">
        <v>4</v>
      </c>
      <c r="Q66" t="n">
        <v>2.055</v>
      </c>
      <c r="R66" t="inlineStr">
        <is>
          <t>Wikipedia 'List of American films of 2027' casts (Actions-runner pull 2026-10-08) x comp-based box office/RT estimates; cast lists are billed leads only (cameos not captured)</t>
        </is>
      </c>
      <c r="S66" t="inlineStr">
        <is>
          <t>2026-10-08</t>
        </is>
      </c>
      <c r="T66" s="9" t="inlineStr">
        <is>
          <t>C</t>
        </is>
      </c>
      <c r="U66" t="inlineStr">
        <is>
          <t>[conf C: sd x1.25, p shrink 20%]</t>
        </is>
      </c>
      <c r="V66">
        <f>K66+Assumptions!$J$12*MIN(L66,Assumptions!$H$12)</f>
        <v/>
      </c>
      <c r="W66">
        <f>RANK(V66,$V$5:$V$98)</f>
        <v/>
      </c>
      <c r="Y66">
        <f>N66-IF(T66="C",Assumptions!$B$27,IF(T66="B",Assumptions!$B$26,0))</f>
        <v/>
      </c>
    </row>
    <row r="67">
      <c r="A67" t="inlineStr">
        <is>
          <t>Timothée Chalamet</t>
        </is>
      </c>
      <c r="B67" t="inlineStr">
        <is>
          <t>Not Alone (Apr 16)</t>
        </is>
      </c>
      <c r="D67" t="n">
        <v>0.145</v>
      </c>
      <c r="E67" t="n">
        <v>0.035</v>
      </c>
      <c r="F67" t="inlineStr">
        <is>
          <t>Best Actor: Dune: Part Three (Dec 2026) (nom 14%, win 3%)</t>
        </is>
      </c>
      <c r="G67" t="inlineStr">
        <is>
          <t>Not Alone (90%)</t>
        </is>
      </c>
      <c r="I67" t="n">
        <v>105.5662</v>
      </c>
      <c r="J67" t="n">
        <v>51.25</v>
      </c>
      <c r="K67" t="n">
        <v>2.829</v>
      </c>
      <c r="L67" t="n">
        <v>0.895</v>
      </c>
      <c r="M67">
        <f>K67+MIN(L67,Assumptions!$H$12)</f>
        <v/>
      </c>
      <c r="N67">
        <f>M67-Assumptions!$I$12</f>
        <v/>
      </c>
      <c r="O67">
        <f>N67-Assumptions!$B$25*Q67</f>
        <v/>
      </c>
      <c r="P67" t="n">
        <v>4</v>
      </c>
      <c r="Q67" t="n">
        <v>1.445</v>
      </c>
      <c r="R67" t="inlineStr">
        <is>
          <t>Wikipedia 'List of American films of 2027' casts (Actions-runner pull 2026-10-08) x comp-based box office/RT estimates; cast lists are billed leads only (cameos not captured)</t>
        </is>
      </c>
      <c r="S67" t="inlineStr">
        <is>
          <t>2026-10-08</t>
        </is>
      </c>
      <c r="T67" s="9" t="inlineStr">
        <is>
          <t>C</t>
        </is>
      </c>
      <c r="U67" t="inlineStr">
        <is>
          <t>Voice lead in Illumination's Not Alone (Apr 16, 2027). Dune 3 (Dec 18, 2026) scores 0 in 2027  [conf C: sd x1.25, p shrink 20%]</t>
        </is>
      </c>
      <c r="V67">
        <f>K67+Assumptions!$J$12*MIN(L67,Assumptions!$H$12)</f>
        <v/>
      </c>
      <c r="W67">
        <f>RANK(V67,$V$5:$V$98)</f>
        <v/>
      </c>
      <c r="X67" s="16" t="inlineStr">
        <is>
          <t>Jamzee</t>
        </is>
      </c>
      <c r="Y67">
        <f>N67-IF(T67="C",Assumptions!$B$27,IF(T67="B",Assumptions!$B$26,0))</f>
        <v/>
      </c>
    </row>
    <row r="68">
      <c r="A68" t="inlineStr">
        <is>
          <t>Laurence Fishburne</t>
        </is>
      </c>
      <c r="B68" t="inlineStr">
        <is>
          <t>Gatto (Mar 5); The Exorcist: Martyrs (Mar 12)</t>
        </is>
      </c>
      <c r="G68" t="inlineStr">
        <is>
          <t>Gatto (92%); The Exorcist: Martyrs (80%)</t>
        </is>
      </c>
      <c r="I68" t="n">
        <v>147.9562</v>
      </c>
      <c r="J68" t="n">
        <v>80.625</v>
      </c>
      <c r="K68" t="n">
        <v>3.649</v>
      </c>
      <c r="L68" t="n">
        <v>0</v>
      </c>
      <c r="M68">
        <f>K68+MIN(L68,Assumptions!$H$12)</f>
        <v/>
      </c>
      <c r="N68">
        <f>M68-Assumptions!$I$12</f>
        <v/>
      </c>
      <c r="O68">
        <f>N68-Assumptions!$B$25*Q68</f>
        <v/>
      </c>
      <c r="P68" t="n">
        <v>4</v>
      </c>
      <c r="Q68" t="n">
        <v>1.962</v>
      </c>
      <c r="R68" t="inlineStr">
        <is>
          <t>Wikipedia 'List of American films of 2027' casts (Actions-runner pull 2026-10-08) x comp-based box office/RT estimates; cast lists are billed leads only (cameos not captured)</t>
        </is>
      </c>
      <c r="S68" t="inlineStr">
        <is>
          <t>2026-10-08</t>
        </is>
      </c>
      <c r="T68" s="9" t="inlineStr">
        <is>
          <t>C</t>
        </is>
      </c>
      <c r="U68" t="inlineStr">
        <is>
          <t>[conf C: sd x1.25, p shrink 20%]</t>
        </is>
      </c>
      <c r="V68">
        <f>K68+Assumptions!$J$12*MIN(L68,Assumptions!$H$12)</f>
        <v/>
      </c>
      <c r="W68">
        <f>RANK(V68,$V$5:$V$98)</f>
        <v/>
      </c>
      <c r="Y68">
        <f>N68-IF(T68="C",Assumptions!$B$27,IF(T68="B",Assumptions!$B$26,0))</f>
        <v/>
      </c>
    </row>
    <row r="69">
      <c r="A69" t="inlineStr">
        <is>
          <t>John Turturro</t>
        </is>
      </c>
      <c r="B69" t="inlineStr">
        <is>
          <t>no 2027 film found in Wikipedia's cast lists</t>
        </is>
      </c>
      <c r="D69" t="n">
        <v>0.405</v>
      </c>
      <c r="E69" t="n">
        <v>0.01</v>
      </c>
      <c r="F69" t="inlineStr">
        <is>
          <t>Best Actor: The Only Living Pickpocket in New York (nom 40%, win 1%)</t>
        </is>
      </c>
      <c r="I69" t="n">
        <v>31.8562</v>
      </c>
      <c r="J69" t="n">
        <v>10</v>
      </c>
      <c r="K69" t="n">
        <v>1.902</v>
      </c>
      <c r="L69" t="n">
        <v>1.71</v>
      </c>
      <c r="M69">
        <f>K69+MIN(L69,Assumptions!$H$12)</f>
        <v/>
      </c>
      <c r="N69">
        <f>M69-Assumptions!$I$12</f>
        <v/>
      </c>
      <c r="O69">
        <f>N69-Assumptions!$B$25*Q69</f>
        <v/>
      </c>
      <c r="P69" t="n">
        <v>4</v>
      </c>
      <c r="Q69" t="n">
        <v>0.919</v>
      </c>
      <c r="R69" t="inlineStr">
        <is>
          <t>Wikipedia 'List of American films of 2027' casts (Actions-runner pull 2026-10-08) x comp-based box office/RT estimates; cast lists are billed leads only (cameos not captured)</t>
        </is>
      </c>
      <c r="S69" t="inlineStr">
        <is>
          <t>2026-10-08</t>
        </is>
      </c>
      <c r="T69" s="9" t="inlineStr">
        <is>
          <t>C</t>
        </is>
      </c>
      <c r="U69" t="inlineStr">
        <is>
          <t>[conf C: sd x1.25, p shrink 20%]</t>
        </is>
      </c>
      <c r="V69">
        <f>K69+Assumptions!$J$12*MIN(L69,Assumptions!$H$12)</f>
        <v/>
      </c>
      <c r="W69">
        <f>RANK(V69,$V$5:$V$98)</f>
        <v/>
      </c>
      <c r="Y69">
        <f>N69-IF(T69="C",Assumptions!$B$27,IF(T69="B",Assumptions!$B$26,0))</f>
        <v/>
      </c>
    </row>
    <row r="70">
      <c r="A70" t="inlineStr">
        <is>
          <t>Anthony Ippolito</t>
        </is>
      </c>
      <c r="B70" t="inlineStr">
        <is>
          <t>no 2027 film found in Wikipedia's cast lists</t>
        </is>
      </c>
      <c r="D70" t="n">
        <v>0.35</v>
      </c>
      <c r="E70" t="n">
        <v>0.025</v>
      </c>
      <c r="F70" t="inlineStr">
        <is>
          <t>Best Actor: ? (nom 35%, win 2%)</t>
        </is>
      </c>
      <c r="I70" t="n">
        <v>31.8562</v>
      </c>
      <c r="J70" t="n">
        <v>10</v>
      </c>
      <c r="K70" t="n">
        <v>1.932</v>
      </c>
      <c r="L70" t="n">
        <v>1.625</v>
      </c>
      <c r="M70">
        <f>K70+MIN(L70,Assumptions!$H$12)</f>
        <v/>
      </c>
      <c r="N70">
        <f>M70-Assumptions!$I$12</f>
        <v/>
      </c>
      <c r="O70">
        <f>N70-Assumptions!$B$25*Q70</f>
        <v/>
      </c>
      <c r="P70" t="n">
        <v>4</v>
      </c>
      <c r="Q70" t="n">
        <v>0.927</v>
      </c>
      <c r="R70" t="inlineStr">
        <is>
          <t>Wikipedia 'List of American films of 2027' casts (Actions-runner pull 2026-10-08) x comp-based box office/RT estimates; cast lists are billed leads only (cameos not captured)</t>
        </is>
      </c>
      <c r="S70" t="inlineStr">
        <is>
          <t>2026-10-08</t>
        </is>
      </c>
      <c r="T70" s="9" t="inlineStr">
        <is>
          <t>C</t>
        </is>
      </c>
      <c r="U70" t="inlineStr">
        <is>
          <t>[conf C: sd x1.25, p shrink 20%]</t>
        </is>
      </c>
      <c r="V70">
        <f>K70+Assumptions!$J$12*MIN(L70,Assumptions!$H$12)</f>
        <v/>
      </c>
      <c r="W70">
        <f>RANK(V70,$V$5:$V$98)</f>
        <v/>
      </c>
      <c r="Y70">
        <f>N70-IF(T70="C",Assumptions!$B$27,IF(T70="B",Assumptions!$B$26,0))</f>
        <v/>
      </c>
    </row>
    <row r="71">
      <c r="A71" t="inlineStr">
        <is>
          <t>Benedict Cumberbatch</t>
        </is>
      </c>
      <c r="B71" t="inlineStr">
        <is>
          <t>Avengers: Secret Wars (Dec 17); Wife &amp; Dog (Feb 19)</t>
        </is>
      </c>
      <c r="G71" t="inlineStr">
        <is>
          <t>Wife &amp; Dog (90%); Avengers: Secret Wars (50%)</t>
        </is>
      </c>
      <c r="I71" t="n">
        <v>144.5362</v>
      </c>
      <c r="J71" t="n">
        <v>78.25</v>
      </c>
      <c r="K71" t="n">
        <v>3.543</v>
      </c>
      <c r="L71" t="n">
        <v>0</v>
      </c>
      <c r="M71">
        <f>K71+MIN(L71,Assumptions!$H$12)</f>
        <v/>
      </c>
      <c r="N71">
        <f>M71-Assumptions!$I$12</f>
        <v/>
      </c>
      <c r="O71">
        <f>N71-Assumptions!$B$25*Q71</f>
        <v/>
      </c>
      <c r="P71" t="n">
        <v>4</v>
      </c>
      <c r="Q71" t="n">
        <v>1.904</v>
      </c>
      <c r="R71" t="inlineStr">
        <is>
          <t>Wikipedia 'List of American films of 2027' casts (Actions-runner pull 2026-10-08) x comp-based box office/RT estimates; cast lists are billed leads only (cameos not captured)</t>
        </is>
      </c>
      <c r="S71" t="inlineStr">
        <is>
          <t>2026-10-08</t>
        </is>
      </c>
      <c r="T71" s="9" t="inlineStr">
        <is>
          <t>C</t>
        </is>
      </c>
      <c r="U71" t="inlineStr">
        <is>
          <t>[conf C: sd x1.25, p shrink 20%]</t>
        </is>
      </c>
      <c r="V71">
        <f>K71+Assumptions!$J$12*MIN(L71,Assumptions!$H$12)</f>
        <v/>
      </c>
      <c r="W71">
        <f>RANK(V71,$V$5:$V$98)</f>
        <v/>
      </c>
      <c r="Y71">
        <f>N71-IF(T71="C",Assumptions!$B$27,IF(T71="B",Assumptions!$B$26,0))</f>
        <v/>
      </c>
    </row>
    <row r="72">
      <c r="A72" t="inlineStr">
        <is>
          <t>Edward Norton</t>
        </is>
      </c>
      <c r="B72" t="inlineStr">
        <is>
          <t>no 2027 film found in Wikipedia's cast lists</t>
        </is>
      </c>
      <c r="D72" t="n">
        <v>0.58</v>
      </c>
      <c r="E72" t="n">
        <v>0.015</v>
      </c>
      <c r="F72" t="inlineStr">
        <is>
          <t>Best Supporting Actor: The Invite (nom 57%, win 1%)</t>
        </is>
      </c>
      <c r="I72" t="n">
        <v>31.8562</v>
      </c>
      <c r="J72" t="n">
        <v>10</v>
      </c>
      <c r="K72" t="n">
        <v>1.899</v>
      </c>
      <c r="L72" t="n">
        <v>1.547</v>
      </c>
      <c r="M72">
        <f>K72+MIN(L72,Assumptions!$H$12)</f>
        <v/>
      </c>
      <c r="N72">
        <f>M72-Assumptions!$I$12</f>
        <v/>
      </c>
      <c r="O72">
        <f>N72-Assumptions!$B$25*Q72</f>
        <v/>
      </c>
      <c r="P72" t="n">
        <v>4</v>
      </c>
      <c r="Q72" t="n">
        <v>0.913</v>
      </c>
      <c r="R72" t="inlineStr">
        <is>
          <t>Wikipedia 'List of American films of 2027' casts (Actions-runner pull 2026-10-08) x comp-based box office/RT estimates; cast lists are billed leads only (cameos not captured)</t>
        </is>
      </c>
      <c r="S72" t="inlineStr">
        <is>
          <t>2026-10-08</t>
        </is>
      </c>
      <c r="T72" s="9" t="inlineStr">
        <is>
          <t>C</t>
        </is>
      </c>
      <c r="U72" t="inlineStr">
        <is>
          <t>[conf C: sd x1.25, p shrink 20%]</t>
        </is>
      </c>
      <c r="V72">
        <f>K72+Assumptions!$J$12*MIN(L72,Assumptions!$H$12)</f>
        <v/>
      </c>
      <c r="W72">
        <f>RANK(V72,$V$5:$V$98)</f>
        <v/>
      </c>
      <c r="Y72">
        <f>N72-IF(T72="C",Assumptions!$B$27,IF(T72="B",Assumptions!$B$26,0))</f>
        <v/>
      </c>
    </row>
    <row r="73">
      <c r="A73" t="inlineStr">
        <is>
          <t>Ian McKellen</t>
        </is>
      </c>
      <c r="B73" t="inlineStr">
        <is>
          <t>The Lord of the Rings: The Hunt for Gollum (Dec 17)</t>
        </is>
      </c>
      <c r="G73" t="inlineStr">
        <is>
          <t>The Lord of the Rings: The Hunt for Gollum (80%)</t>
        </is>
      </c>
      <c r="I73" t="n">
        <v>134.4562</v>
      </c>
      <c r="J73" t="n">
        <v>71.25</v>
      </c>
      <c r="K73" t="n">
        <v>3.39</v>
      </c>
      <c r="L73" t="n">
        <v>0</v>
      </c>
      <c r="M73">
        <f>K73+MIN(L73,Assumptions!$H$12)</f>
        <v/>
      </c>
      <c r="N73">
        <f>M73-Assumptions!$I$12</f>
        <v/>
      </c>
      <c r="O73">
        <f>N73-Assumptions!$B$25*Q73</f>
        <v/>
      </c>
      <c r="P73" t="n">
        <v>4</v>
      </c>
      <c r="Q73" t="n">
        <v>1.785</v>
      </c>
      <c r="R73" t="inlineStr">
        <is>
          <t>Wikipedia 'List of American films of 2027' casts (Actions-runner pull 2026-10-08) x comp-based box office/RT estimates; cast lists are billed leads only (cameos not captured)</t>
        </is>
      </c>
      <c r="S73" t="inlineStr">
        <is>
          <t>2026-10-08</t>
        </is>
      </c>
      <c r="T73" s="9" t="inlineStr">
        <is>
          <t>C</t>
        </is>
      </c>
      <c r="U73" t="inlineStr">
        <is>
          <t>[conf C: sd x1.25, p shrink 20%]</t>
        </is>
      </c>
      <c r="V73">
        <f>K73+Assumptions!$J$12*MIN(L73,Assumptions!$H$12)</f>
        <v/>
      </c>
      <c r="W73">
        <f>RANK(V73,$V$5:$V$98)</f>
        <v/>
      </c>
      <c r="Y73">
        <f>N73-IF(T73="C",Assumptions!$B$27,IF(T73="B",Assumptions!$B$26,0))</f>
        <v/>
      </c>
    </row>
    <row r="74">
      <c r="A74" t="inlineStr">
        <is>
          <t>Jamie Dornan</t>
        </is>
      </c>
      <c r="B74" t="inlineStr">
        <is>
          <t>The Lord of the Rings: The Hunt for Gollum (Dec 17)</t>
        </is>
      </c>
      <c r="G74" t="inlineStr">
        <is>
          <t>The Lord of the Rings: The Hunt for Gollum (80%)</t>
        </is>
      </c>
      <c r="I74" t="n">
        <v>134.4562</v>
      </c>
      <c r="J74" t="n">
        <v>71.25</v>
      </c>
      <c r="K74" t="n">
        <v>3.38</v>
      </c>
      <c r="L74" t="n">
        <v>0</v>
      </c>
      <c r="M74">
        <f>K74+MIN(L74,Assumptions!$H$12)</f>
        <v/>
      </c>
      <c r="N74">
        <f>M74-Assumptions!$I$12</f>
        <v/>
      </c>
      <c r="O74">
        <f>N74-Assumptions!$B$25*Q74</f>
        <v/>
      </c>
      <c r="P74" t="n">
        <v>4</v>
      </c>
      <c r="Q74" t="n">
        <v>1.769</v>
      </c>
      <c r="R74" t="inlineStr">
        <is>
          <t>Wikipedia 'List of American films of 2027' casts (Actions-runner pull 2026-10-08) x comp-based box office/RT estimates; cast lists are billed leads only (cameos not captured)</t>
        </is>
      </c>
      <c r="S74" t="inlineStr">
        <is>
          <t>2026-10-08</t>
        </is>
      </c>
      <c r="T74" s="9" t="inlineStr">
        <is>
          <t>C</t>
        </is>
      </c>
      <c r="U74" t="inlineStr">
        <is>
          <t>[conf C: sd x1.25, p shrink 20%]</t>
        </is>
      </c>
      <c r="V74">
        <f>K74+Assumptions!$J$12*MIN(L74,Assumptions!$H$12)</f>
        <v/>
      </c>
      <c r="W74">
        <f>RANK(V74,$V$5:$V$98)</f>
        <v/>
      </c>
      <c r="Y74">
        <f>N74-IF(T74="C",Assumptions!$B$27,IF(T74="B",Assumptions!$B$26,0))</f>
        <v/>
      </c>
    </row>
    <row r="75">
      <c r="A75" t="inlineStr">
        <is>
          <t>Lee Pace</t>
        </is>
      </c>
      <c r="B75" t="inlineStr">
        <is>
          <t>The Lord of the Rings: The Hunt for Gollum (Dec 17)</t>
        </is>
      </c>
      <c r="G75" t="inlineStr">
        <is>
          <t>The Lord of the Rings: The Hunt for Gollum (80%)</t>
        </is>
      </c>
      <c r="I75" t="n">
        <v>134.4562</v>
      </c>
      <c r="J75" t="n">
        <v>71.25</v>
      </c>
      <c r="K75" t="n">
        <v>3.375</v>
      </c>
      <c r="L75" t="n">
        <v>0</v>
      </c>
      <c r="M75">
        <f>K75+MIN(L75,Assumptions!$H$12)</f>
        <v/>
      </c>
      <c r="N75">
        <f>M75-Assumptions!$I$12</f>
        <v/>
      </c>
      <c r="O75">
        <f>N75-Assumptions!$B$25*Q75</f>
        <v/>
      </c>
      <c r="P75" t="n">
        <v>4</v>
      </c>
      <c r="Q75" t="n">
        <v>1.785</v>
      </c>
      <c r="R75" t="inlineStr">
        <is>
          <t>Wikipedia 'List of American films of 2027' casts (Actions-runner pull 2026-10-08) x comp-based box office/RT estimates; cast lists are billed leads only (cameos not captured)</t>
        </is>
      </c>
      <c r="S75" t="inlineStr">
        <is>
          <t>2026-10-08</t>
        </is>
      </c>
      <c r="T75" s="9" t="inlineStr">
        <is>
          <t>C</t>
        </is>
      </c>
      <c r="U75" t="inlineStr">
        <is>
          <t>[conf C: sd x1.25, p shrink 20%]</t>
        </is>
      </c>
      <c r="V75">
        <f>K75+Assumptions!$J$12*MIN(L75,Assumptions!$H$12)</f>
        <v/>
      </c>
      <c r="W75">
        <f>RANK(V75,$V$5:$V$98)</f>
        <v/>
      </c>
      <c r="Y75">
        <f>N75-IF(T75="C",Assumptions!$B$27,IF(T75="B",Assumptions!$B$26,0))</f>
        <v/>
      </c>
    </row>
    <row r="76">
      <c r="A76" t="inlineStr">
        <is>
          <t>Leo Woodall</t>
        </is>
      </c>
      <c r="B76" t="inlineStr">
        <is>
          <t>The Lord of the Rings: The Hunt for Gollum (Dec 17)</t>
        </is>
      </c>
      <c r="G76" t="inlineStr">
        <is>
          <t>The Lord of the Rings: The Hunt for Gollum (80%)</t>
        </is>
      </c>
      <c r="I76" t="n">
        <v>134.4562</v>
      </c>
      <c r="J76" t="n">
        <v>71.25</v>
      </c>
      <c r="K76" t="n">
        <v>3.373</v>
      </c>
      <c r="L76" t="n">
        <v>0</v>
      </c>
      <c r="M76">
        <f>K76+MIN(L76,Assumptions!$H$12)</f>
        <v/>
      </c>
      <c r="N76">
        <f>M76-Assumptions!$I$12</f>
        <v/>
      </c>
      <c r="O76">
        <f>N76-Assumptions!$B$25*Q76</f>
        <v/>
      </c>
      <c r="P76" t="n">
        <v>4</v>
      </c>
      <c r="Q76" t="n">
        <v>1.769</v>
      </c>
      <c r="R76" t="inlineStr">
        <is>
          <t>Wikipedia 'List of American films of 2027' casts (Actions-runner pull 2026-10-08) x comp-based box office/RT estimates; cast lists are billed leads only (cameos not captured)</t>
        </is>
      </c>
      <c r="S76" t="inlineStr">
        <is>
          <t>2026-10-08</t>
        </is>
      </c>
      <c r="T76" s="9" t="inlineStr">
        <is>
          <t>C</t>
        </is>
      </c>
      <c r="U76" t="inlineStr">
        <is>
          <t>[conf C: sd x1.25, p shrink 20%]</t>
        </is>
      </c>
      <c r="V76">
        <f>K76+Assumptions!$J$12*MIN(L76,Assumptions!$H$12)</f>
        <v/>
      </c>
      <c r="W76">
        <f>RANK(V76,$V$5:$V$98)</f>
        <v/>
      </c>
      <c r="Y76">
        <f>N76-IF(T76="C",Assumptions!$B$27,IF(T76="B",Assumptions!$B$26,0))</f>
        <v/>
      </c>
    </row>
    <row r="77">
      <c r="A77" t="inlineStr">
        <is>
          <t>Anthony Mackie</t>
        </is>
      </c>
      <c r="B77" t="inlineStr">
        <is>
          <t>Avengers: Secret Wars (Dec 17)</t>
        </is>
      </c>
      <c r="G77" t="inlineStr">
        <is>
          <t>Avengers: Secret Wars (50%)</t>
        </is>
      </c>
      <c r="I77" t="n">
        <v>132.4762</v>
      </c>
      <c r="J77" t="n">
        <v>69.875</v>
      </c>
      <c r="K77" t="n">
        <v>3.371</v>
      </c>
      <c r="L77" t="n">
        <v>0</v>
      </c>
      <c r="M77">
        <f>K77+MIN(L77,Assumptions!$H$12)</f>
        <v/>
      </c>
      <c r="N77">
        <f>M77-Assumptions!$I$12</f>
        <v/>
      </c>
      <c r="O77">
        <f>N77-Assumptions!$B$25*Q77</f>
        <v/>
      </c>
      <c r="P77" t="n">
        <v>4</v>
      </c>
      <c r="Q77" t="n">
        <v>1.789</v>
      </c>
      <c r="R77" t="inlineStr">
        <is>
          <t>Wikipedia 'List of American films of 2027' casts (Actions-runner pull 2026-10-08) x comp-based box office/RT estimates; cast lists are billed leads only (cameos not captured)</t>
        </is>
      </c>
      <c r="S77" t="inlineStr">
        <is>
          <t>2026-10-08</t>
        </is>
      </c>
      <c r="T77" s="9" t="inlineStr">
        <is>
          <t>C</t>
        </is>
      </c>
      <c r="U77" t="inlineStr">
        <is>
          <t>[conf C: sd x1.25, p shrink 20%]</t>
        </is>
      </c>
      <c r="V77">
        <f>K77+Assumptions!$J$12*MIN(L77,Assumptions!$H$12)</f>
        <v/>
      </c>
      <c r="W77">
        <f>RANK(V77,$V$5:$V$98)</f>
        <v/>
      </c>
      <c r="Y77">
        <f>N77-IF(T77="C",Assumptions!$B$27,IF(T77="B",Assumptions!$B$26,0))</f>
        <v/>
      </c>
    </row>
    <row r="78">
      <c r="A78" t="inlineStr">
        <is>
          <t>Elijah Wood</t>
        </is>
      </c>
      <c r="B78" t="inlineStr">
        <is>
          <t>The Lord of the Rings: The Hunt for Gollum (Dec 17)</t>
        </is>
      </c>
      <c r="G78" t="inlineStr">
        <is>
          <t>The Lord of the Rings: The Hunt for Gollum (80%)</t>
        </is>
      </c>
      <c r="I78" t="n">
        <v>134.4562</v>
      </c>
      <c r="J78" t="n">
        <v>71.25</v>
      </c>
      <c r="K78" t="n">
        <v>3.359</v>
      </c>
      <c r="L78" t="n">
        <v>0</v>
      </c>
      <c r="M78">
        <f>K78+MIN(L78,Assumptions!$H$12)</f>
        <v/>
      </c>
      <c r="N78">
        <f>M78-Assumptions!$I$12</f>
        <v/>
      </c>
      <c r="O78">
        <f>N78-Assumptions!$B$25*Q78</f>
        <v/>
      </c>
      <c r="P78" t="n">
        <v>4</v>
      </c>
      <c r="Q78" t="n">
        <v>1.785</v>
      </c>
      <c r="R78" t="inlineStr">
        <is>
          <t>Wikipedia 'List of American films of 2027' casts (Actions-runner pull 2026-10-08) x comp-based box office/RT estimates; cast lists are billed leads only (cameos not captured)</t>
        </is>
      </c>
      <c r="S78" t="inlineStr">
        <is>
          <t>2026-10-08</t>
        </is>
      </c>
      <c r="T78" s="9" t="inlineStr">
        <is>
          <t>C</t>
        </is>
      </c>
      <c r="U78" t="inlineStr">
        <is>
          <t>[conf C: sd x1.25, p shrink 20%]</t>
        </is>
      </c>
      <c r="V78">
        <f>K78+Assumptions!$J$12*MIN(L78,Assumptions!$H$12)</f>
        <v/>
      </c>
      <c r="W78">
        <f>RANK(V78,$V$5:$V$98)</f>
        <v/>
      </c>
      <c r="Y78">
        <f>N78-IF(T78="C",Assumptions!$B$27,IF(T78="B",Assumptions!$B$26,0))</f>
        <v/>
      </c>
    </row>
    <row r="79">
      <c r="A79" t="inlineStr">
        <is>
          <t>Andy Serkis</t>
        </is>
      </c>
      <c r="B79" t="inlineStr">
        <is>
          <t>The Lord of the Rings: The Hunt for Gollum (Dec 17)</t>
        </is>
      </c>
      <c r="G79" t="inlineStr">
        <is>
          <t>The Lord of the Rings: The Hunt for Gollum (80%)</t>
        </is>
      </c>
      <c r="I79" t="n">
        <v>134.4562</v>
      </c>
      <c r="J79" t="n">
        <v>71.25</v>
      </c>
      <c r="K79" t="n">
        <v>3.346</v>
      </c>
      <c r="L79" t="n">
        <v>0</v>
      </c>
      <c r="M79">
        <f>K79+MIN(L79,Assumptions!$H$12)</f>
        <v/>
      </c>
      <c r="N79">
        <f>M79-Assumptions!$I$12</f>
        <v/>
      </c>
      <c r="O79">
        <f>N79-Assumptions!$B$25*Q79</f>
        <v/>
      </c>
      <c r="P79" t="n">
        <v>4</v>
      </c>
      <c r="Q79" t="n">
        <v>1.739</v>
      </c>
      <c r="R79" t="inlineStr">
        <is>
          <t>Wikipedia 'List of American films of 2027' casts (Actions-runner pull 2026-10-08) x comp-based box office/RT estimates; cast lists are billed leads only (cameos not captured)</t>
        </is>
      </c>
      <c r="S79" t="inlineStr">
        <is>
          <t>2026-10-08</t>
        </is>
      </c>
      <c r="T79" s="9" t="inlineStr">
        <is>
          <t>C</t>
        </is>
      </c>
      <c r="U79" t="inlineStr">
        <is>
          <t>[conf C: sd x1.25, p shrink 20%]</t>
        </is>
      </c>
      <c r="V79">
        <f>K79+Assumptions!$J$12*MIN(L79,Assumptions!$H$12)</f>
        <v/>
      </c>
      <c r="W79">
        <f>RANK(V79,$V$5:$V$98)</f>
        <v/>
      </c>
      <c r="Y79">
        <f>N79-IF(T79="C",Assumptions!$B$27,IF(T79="B",Assumptions!$B$26,0))</f>
        <v/>
      </c>
    </row>
    <row r="80">
      <c r="A80" t="inlineStr">
        <is>
          <t>Ebon Moss-Bachrach</t>
        </is>
      </c>
      <c r="B80" t="inlineStr">
        <is>
          <t>Avengers: Secret Wars (Dec 17)</t>
        </is>
      </c>
      <c r="G80" t="inlineStr">
        <is>
          <t>Avengers: Secret Wars (50%)</t>
        </is>
      </c>
      <c r="I80" t="n">
        <v>132.4762</v>
      </c>
      <c r="J80" t="n">
        <v>69.875</v>
      </c>
      <c r="K80" t="n">
        <v>3.345</v>
      </c>
      <c r="L80" t="n">
        <v>0</v>
      </c>
      <c r="M80">
        <f>K80+MIN(L80,Assumptions!$H$12)</f>
        <v/>
      </c>
      <c r="N80">
        <f>M80-Assumptions!$I$12</f>
        <v/>
      </c>
      <c r="O80">
        <f>N80-Assumptions!$B$25*Q80</f>
        <v/>
      </c>
      <c r="P80" t="n">
        <v>4</v>
      </c>
      <c r="Q80" t="n">
        <v>1.772</v>
      </c>
      <c r="R80" t="inlineStr">
        <is>
          <t>Wikipedia 'List of American films of 2027' casts (Actions-runner pull 2026-10-08) x comp-based box office/RT estimates; cast lists are billed leads only (cameos not captured)</t>
        </is>
      </c>
      <c r="S80" t="inlineStr">
        <is>
          <t>2026-10-08</t>
        </is>
      </c>
      <c r="T80" s="9" t="inlineStr">
        <is>
          <t>C</t>
        </is>
      </c>
      <c r="U80" t="inlineStr">
        <is>
          <t>[conf C: sd x1.25, p shrink 20%]</t>
        </is>
      </c>
      <c r="V80">
        <f>K80+Assumptions!$J$12*MIN(L80,Assumptions!$H$12)</f>
        <v/>
      </c>
      <c r="W80">
        <f>RANK(V80,$V$5:$V$98)</f>
        <v/>
      </c>
      <c r="Y80">
        <f>N80-IF(T80="C",Assumptions!$B$27,IF(T80="B",Assumptions!$B$26,0))</f>
        <v/>
      </c>
    </row>
    <row r="81">
      <c r="A81" t="inlineStr">
        <is>
          <t>Simu Liu</t>
        </is>
      </c>
      <c r="B81" t="inlineStr">
        <is>
          <t>Avengers: Secret Wars (Dec 17)</t>
        </is>
      </c>
      <c r="G81" t="inlineStr">
        <is>
          <t>Avengers: Secret Wars (50%)</t>
        </is>
      </c>
      <c r="I81" t="n">
        <v>132.4762</v>
      </c>
      <c r="J81" t="n">
        <v>69.875</v>
      </c>
      <c r="K81" t="n">
        <v>3.341</v>
      </c>
      <c r="L81" t="n">
        <v>0</v>
      </c>
      <c r="M81">
        <f>K81+MIN(L81,Assumptions!$H$12)</f>
        <v/>
      </c>
      <c r="N81">
        <f>M81-Assumptions!$I$12</f>
        <v/>
      </c>
      <c r="O81">
        <f>N81-Assumptions!$B$25*Q81</f>
        <v/>
      </c>
      <c r="P81" t="n">
        <v>4</v>
      </c>
      <c r="Q81" t="n">
        <v>1.76</v>
      </c>
      <c r="R81" t="inlineStr">
        <is>
          <t>Wikipedia 'List of American films of 2027' casts (Actions-runner pull 2026-10-08) x comp-based box office/RT estimates; cast lists are billed leads only (cameos not captured)</t>
        </is>
      </c>
      <c r="S81" t="inlineStr">
        <is>
          <t>2026-10-08</t>
        </is>
      </c>
      <c r="T81" s="9" t="inlineStr">
        <is>
          <t>C</t>
        </is>
      </c>
      <c r="U81" t="inlineStr">
        <is>
          <t>[conf C: sd x1.25, p shrink 20%]</t>
        </is>
      </c>
      <c r="V81">
        <f>K81+Assumptions!$J$12*MIN(L81,Assumptions!$H$12)</f>
        <v/>
      </c>
      <c r="W81">
        <f>RANK(V81,$V$5:$V$98)</f>
        <v/>
      </c>
      <c r="Y81">
        <f>N81-IF(T81="C",Assumptions!$B$27,IF(T81="B",Assumptions!$B$26,0))</f>
        <v/>
      </c>
    </row>
    <row r="82">
      <c r="A82" t="inlineStr">
        <is>
          <t>Robert Downey Jr.</t>
        </is>
      </c>
      <c r="B82" t="inlineStr">
        <is>
          <t>Avengers: Secret Wars (Dec 17)</t>
        </is>
      </c>
      <c r="G82" t="inlineStr">
        <is>
          <t>Avengers: Secret Wars (50%)</t>
        </is>
      </c>
      <c r="I82" t="n">
        <v>132.4762</v>
      </c>
      <c r="J82" t="n">
        <v>69.875</v>
      </c>
      <c r="K82" t="n">
        <v>3.337</v>
      </c>
      <c r="L82" t="n">
        <v>0</v>
      </c>
      <c r="M82">
        <f>K82+MIN(L82,Assumptions!$H$12)</f>
        <v/>
      </c>
      <c r="N82">
        <f>M82-Assumptions!$I$12</f>
        <v/>
      </c>
      <c r="O82">
        <f>N82-Assumptions!$B$25*Q82</f>
        <v/>
      </c>
      <c r="P82" t="n">
        <v>4</v>
      </c>
      <c r="Q82" t="n">
        <v>1.744</v>
      </c>
      <c r="R82" t="inlineStr">
        <is>
          <t>Wikipedia 'List of American films of 2027' casts (Actions-runner pull 2026-10-08) x comp-based box office/RT estimates; cast lists are billed leads only (cameos not captured)</t>
        </is>
      </c>
      <c r="S82" t="inlineStr">
        <is>
          <t>2026-10-08</t>
        </is>
      </c>
      <c r="T82" s="9" t="inlineStr">
        <is>
          <t>C</t>
        </is>
      </c>
      <c r="U82" t="inlineStr">
        <is>
          <t>[conf C: sd x1.25, p shrink 20%]</t>
        </is>
      </c>
      <c r="V82">
        <f>K82+Assumptions!$J$12*MIN(L82,Assumptions!$H$12)</f>
        <v/>
      </c>
      <c r="W82">
        <f>RANK(V82,$V$5:$V$98)</f>
        <v/>
      </c>
      <c r="Y82">
        <f>N82-IF(T82="C",Assumptions!$B$27,IF(T82="B",Assumptions!$B$26,0))</f>
        <v/>
      </c>
    </row>
    <row r="83">
      <c r="A83" t="inlineStr">
        <is>
          <t>Joseph Quinn</t>
        </is>
      </c>
      <c r="B83" t="inlineStr">
        <is>
          <t>Avengers: Secret Wars (Dec 17)</t>
        </is>
      </c>
      <c r="G83" t="inlineStr">
        <is>
          <t>Avengers: Secret Wars (50%)</t>
        </is>
      </c>
      <c r="I83" t="n">
        <v>132.4762</v>
      </c>
      <c r="J83" t="n">
        <v>69.875</v>
      </c>
      <c r="K83" t="n">
        <v>3.331</v>
      </c>
      <c r="L83" t="n">
        <v>0</v>
      </c>
      <c r="M83">
        <f>K83+MIN(L83,Assumptions!$H$12)</f>
        <v/>
      </c>
      <c r="N83">
        <f>M83-Assumptions!$I$12</f>
        <v/>
      </c>
      <c r="O83">
        <f>N83-Assumptions!$B$25*Q83</f>
        <v/>
      </c>
      <c r="P83" t="n">
        <v>4</v>
      </c>
      <c r="Q83" t="n">
        <v>1.746</v>
      </c>
      <c r="R83" t="inlineStr">
        <is>
          <t>Wikipedia 'List of American films of 2027' casts (Actions-runner pull 2026-10-08) x comp-based box office/RT estimates; cast lists are billed leads only (cameos not captured)</t>
        </is>
      </c>
      <c r="S83" t="inlineStr">
        <is>
          <t>2026-10-08</t>
        </is>
      </c>
      <c r="T83" s="9" t="inlineStr">
        <is>
          <t>C</t>
        </is>
      </c>
      <c r="U83" t="inlineStr">
        <is>
          <t>[conf C: sd x1.25, p shrink 20%]</t>
        </is>
      </c>
      <c r="V83">
        <f>K83+Assumptions!$J$12*MIN(L83,Assumptions!$H$12)</f>
        <v/>
      </c>
      <c r="W83">
        <f>RANK(V83,$V$5:$V$98)</f>
        <v/>
      </c>
      <c r="Y83">
        <f>N83-IF(T83="C",Assumptions!$B$27,IF(T83="B",Assumptions!$B$26,0))</f>
        <v/>
      </c>
    </row>
    <row r="84">
      <c r="A84" t="inlineStr">
        <is>
          <t>Paul Bettany</t>
        </is>
      </c>
      <c r="B84" t="inlineStr">
        <is>
          <t>Avengers: Secret Wars (Dec 17)</t>
        </is>
      </c>
      <c r="G84" t="inlineStr">
        <is>
          <t>Avengers: Secret Wars (50%)</t>
        </is>
      </c>
      <c r="I84" t="n">
        <v>132.4762</v>
      </c>
      <c r="J84" t="n">
        <v>69.875</v>
      </c>
      <c r="K84" t="n">
        <v>3.325</v>
      </c>
      <c r="L84" t="n">
        <v>0</v>
      </c>
      <c r="M84">
        <f>K84+MIN(L84,Assumptions!$H$12)</f>
        <v/>
      </c>
      <c r="N84">
        <f>M84-Assumptions!$I$12</f>
        <v/>
      </c>
      <c r="O84">
        <f>N84-Assumptions!$B$25*Q84</f>
        <v/>
      </c>
      <c r="P84" t="n">
        <v>4</v>
      </c>
      <c r="Q84" t="n">
        <v>1.739</v>
      </c>
      <c r="R84" t="inlineStr">
        <is>
          <t>Wikipedia 'List of American films of 2027' casts (Actions-runner pull 2026-10-08) x comp-based box office/RT estimates; cast lists are billed leads only (cameos not captured)</t>
        </is>
      </c>
      <c r="S84" t="inlineStr">
        <is>
          <t>2026-10-08</t>
        </is>
      </c>
      <c r="T84" s="9" t="inlineStr">
        <is>
          <t>C</t>
        </is>
      </c>
      <c r="U84" t="inlineStr">
        <is>
          <t>[conf C: sd x1.25, p shrink 20%]</t>
        </is>
      </c>
      <c r="V84">
        <f>K84+Assumptions!$J$12*MIN(L84,Assumptions!$H$12)</f>
        <v/>
      </c>
      <c r="W84">
        <f>RANK(V84,$V$5:$V$98)</f>
        <v/>
      </c>
      <c r="Y84">
        <f>N84-IF(T84="C",Assumptions!$B$27,IF(T84="B",Assumptions!$B$26,0))</f>
        <v/>
      </c>
    </row>
    <row r="85">
      <c r="A85" t="inlineStr">
        <is>
          <t>Chris Evans</t>
        </is>
      </c>
      <c r="B85" t="inlineStr">
        <is>
          <t>Avengers: Secret Wars (Dec 17)</t>
        </is>
      </c>
      <c r="G85" t="inlineStr">
        <is>
          <t>Avengers: Secret Wars (50%)</t>
        </is>
      </c>
      <c r="I85" t="n">
        <v>132.4762</v>
      </c>
      <c r="J85" t="n">
        <v>69.875</v>
      </c>
      <c r="K85" t="n">
        <v>3.314</v>
      </c>
      <c r="L85" t="n">
        <v>0</v>
      </c>
      <c r="M85">
        <f>K85+MIN(L85,Assumptions!$H$12)</f>
        <v/>
      </c>
      <c r="N85">
        <f>M85-Assumptions!$I$12</f>
        <v/>
      </c>
      <c r="O85">
        <f>N85-Assumptions!$B$25*Q85</f>
        <v/>
      </c>
      <c r="P85" t="n">
        <v>4</v>
      </c>
      <c r="Q85" t="n">
        <v>1.686</v>
      </c>
      <c r="R85" t="inlineStr">
        <is>
          <t>Wikipedia 'List of American films of 2027' casts (Actions-runner pull 2026-10-08) x comp-based box office/RT estimates; cast lists are billed leads only (cameos not captured)</t>
        </is>
      </c>
      <c r="S85" t="inlineStr">
        <is>
          <t>2026-10-08</t>
        </is>
      </c>
      <c r="T85" s="9" t="inlineStr">
        <is>
          <t>C</t>
        </is>
      </c>
      <c r="U85" t="inlineStr">
        <is>
          <t>[conf C: sd x1.25, p shrink 20%]</t>
        </is>
      </c>
      <c r="V85">
        <f>K85+Assumptions!$J$12*MIN(L85,Assumptions!$H$12)</f>
        <v/>
      </c>
      <c r="W85">
        <f>RANK(V85,$V$5:$V$98)</f>
        <v/>
      </c>
      <c r="Y85">
        <f>N85-IF(T85="C",Assumptions!$B$27,IF(T85="B",Assumptions!$B$26,0))</f>
        <v/>
      </c>
    </row>
    <row r="86">
      <c r="A86" t="inlineStr">
        <is>
          <t>Mark Ruffalo</t>
        </is>
      </c>
      <c r="B86" t="inlineStr">
        <is>
          <t>Gatto (Mar 5)</t>
        </is>
      </c>
      <c r="G86" t="inlineStr">
        <is>
          <t>Gatto (92%)</t>
        </is>
      </c>
      <c r="I86" t="n">
        <v>116.2762</v>
      </c>
      <c r="J86" t="n">
        <v>58.625</v>
      </c>
      <c r="K86" t="n">
        <v>3.027</v>
      </c>
      <c r="L86" t="n">
        <v>0</v>
      </c>
      <c r="M86">
        <f>K86+MIN(L86,Assumptions!$H$12)</f>
        <v/>
      </c>
      <c r="N86">
        <f>M86-Assumptions!$I$12</f>
        <v/>
      </c>
      <c r="O86">
        <f>N86-Assumptions!$B$25*Q86</f>
        <v/>
      </c>
      <c r="P86" t="n">
        <v>4</v>
      </c>
      <c r="Q86" t="n">
        <v>1.531</v>
      </c>
      <c r="R86" t="inlineStr">
        <is>
          <t>Wikipedia 'List of American films of 2027' casts (Actions-runner pull 2026-10-08) x comp-based box office/RT estimates; cast lists are billed leads only (cameos not captured)</t>
        </is>
      </c>
      <c r="S86" t="inlineStr">
        <is>
          <t>2026-10-08</t>
        </is>
      </c>
      <c r="T86" s="9" t="inlineStr">
        <is>
          <t>C</t>
        </is>
      </c>
      <c r="U86" t="inlineStr">
        <is>
          <t>[conf C: sd x1.25, p shrink 20%]</t>
        </is>
      </c>
      <c r="V86">
        <f>K86+Assumptions!$J$12*MIN(L86,Assumptions!$H$12)</f>
        <v/>
      </c>
      <c r="W86">
        <f>RANK(V86,$V$5:$V$98)</f>
        <v/>
      </c>
      <c r="Y86">
        <f>N86-IF(T86="C",Assumptions!$B$27,IF(T86="B",Assumptions!$B$26,0))</f>
        <v/>
      </c>
    </row>
    <row r="87">
      <c r="A87" t="inlineStr">
        <is>
          <t>Sebastian Stan</t>
        </is>
      </c>
      <c r="B87" t="inlineStr">
        <is>
          <t>no 2027 film found in Wikipedia's cast lists</t>
        </is>
      </c>
      <c r="D87" t="n">
        <v>0.135</v>
      </c>
      <c r="E87" t="n">
        <v>0.01</v>
      </c>
      <c r="F87" t="inlineStr">
        <is>
          <t>Best Actor: Fjord (nom 13%, win 1%)</t>
        </is>
      </c>
      <c r="I87" t="n">
        <v>31.8562</v>
      </c>
      <c r="J87" t="n">
        <v>10</v>
      </c>
      <c r="K87" t="n">
        <v>1.912</v>
      </c>
      <c r="L87" t="n">
        <v>0.63</v>
      </c>
      <c r="M87">
        <f>K87+MIN(L87,Assumptions!$H$12)</f>
        <v/>
      </c>
      <c r="N87">
        <f>M87-Assumptions!$I$12</f>
        <v/>
      </c>
      <c r="O87">
        <f>N87-Assumptions!$B$25*Q87</f>
        <v/>
      </c>
      <c r="P87" t="n">
        <v>4</v>
      </c>
      <c r="Q87" t="n">
        <v>0.927</v>
      </c>
      <c r="R87" t="inlineStr">
        <is>
          <t>Wikipedia 'List of American films of 2027' casts (Actions-runner pull 2026-10-08) x comp-based box office/RT estimates; cast lists are billed leads only (cameos not captured)</t>
        </is>
      </c>
      <c r="S87" t="inlineStr">
        <is>
          <t>2026-10-08</t>
        </is>
      </c>
      <c r="T87" s="9" t="inlineStr">
        <is>
          <t>C</t>
        </is>
      </c>
      <c r="U87" t="inlineStr">
        <is>
          <t>[conf C: sd x1.25, p shrink 20%]</t>
        </is>
      </c>
      <c r="V87">
        <f>K87+Assumptions!$J$12*MIN(L87,Assumptions!$H$12)</f>
        <v/>
      </c>
      <c r="W87">
        <f>RANK(V87,$V$5:$V$98)</f>
        <v/>
      </c>
      <c r="Y87">
        <f>N87-IF(T87="C",Assumptions!$B$27,IF(T87="B",Assumptions!$B$26,0))</f>
        <v/>
      </c>
    </row>
    <row r="88">
      <c r="A88" t="inlineStr">
        <is>
          <t>Wagner Moura</t>
        </is>
      </c>
      <c r="B88" t="inlineStr">
        <is>
          <t>Untitled Ocean's Eleven prequel (Jun 25)</t>
        </is>
      </c>
      <c r="G88" t="inlineStr">
        <is>
          <t>Untitled Ocean's Eleven prequel (80%)</t>
        </is>
      </c>
      <c r="I88" t="n">
        <v>88.9162</v>
      </c>
      <c r="J88" t="n">
        <v>39.625</v>
      </c>
      <c r="K88" t="n">
        <v>2.528</v>
      </c>
      <c r="L88" t="n">
        <v>0</v>
      </c>
      <c r="M88">
        <f>K88+MIN(L88,Assumptions!$H$12)</f>
        <v/>
      </c>
      <c r="N88">
        <f>M88-Assumptions!$I$12</f>
        <v/>
      </c>
      <c r="O88">
        <f>N88-Assumptions!$B$25*Q88</f>
        <v/>
      </c>
      <c r="P88" t="n">
        <v>4</v>
      </c>
      <c r="Q88" t="n">
        <v>1.238</v>
      </c>
      <c r="R88" t="inlineStr">
        <is>
          <t>Wikipedia 'List of American films of 2027' casts (Actions-runner pull 2026-10-08) x comp-based box office/RT estimates; cast lists are billed leads only (cameos not captured)</t>
        </is>
      </c>
      <c r="S88" t="inlineStr">
        <is>
          <t>2026-10-08</t>
        </is>
      </c>
      <c r="T88" s="9" t="inlineStr">
        <is>
          <t>C</t>
        </is>
      </c>
      <c r="U88" t="inlineStr">
        <is>
          <t>[conf C: sd x1.25, p shrink 20%]</t>
        </is>
      </c>
      <c r="V88">
        <f>K88+Assumptions!$J$12*MIN(L88,Assumptions!$H$12)</f>
        <v/>
      </c>
      <c r="W88">
        <f>RANK(V88,$V$5:$V$98)</f>
        <v/>
      </c>
      <c r="X88" s="16" t="inlineStr">
        <is>
          <t>Wu</t>
        </is>
      </c>
      <c r="Y88">
        <f>N88-IF(T88="C",Assumptions!$B$27,IF(T88="B",Assumptions!$B$26,0))</f>
        <v/>
      </c>
    </row>
    <row r="89">
      <c r="A89" t="inlineStr">
        <is>
          <t>Tom Holland</t>
        </is>
      </c>
      <c r="B89" t="inlineStr">
        <is>
          <t>no 2027 film found in Wikipedia's cast lists</t>
        </is>
      </c>
      <c r="D89" t="n">
        <v>0.06</v>
      </c>
      <c r="E89" t="n">
        <v>0.01</v>
      </c>
      <c r="F89" t="inlineStr">
        <is>
          <t>Best Actor: Spider-Man: Brand New Day / The Odyssey (nom 6%, win 1%); Best Supporting Actor: ? (nom 5%, win 1%)</t>
        </is>
      </c>
      <c r="I89" t="n">
        <v>31.8562</v>
      </c>
      <c r="J89" t="n">
        <v>10</v>
      </c>
      <c r="K89" t="n">
        <v>1.928</v>
      </c>
      <c r="L89" t="n">
        <v>0.52</v>
      </c>
      <c r="M89">
        <f>K89+MIN(L89,Assumptions!$H$12)</f>
        <v/>
      </c>
      <c r="N89">
        <f>M89-Assumptions!$I$12</f>
        <v/>
      </c>
      <c r="O89">
        <f>N89-Assumptions!$B$25*Q89</f>
        <v/>
      </c>
      <c r="P89" t="n">
        <v>4</v>
      </c>
      <c r="Q89" t="n">
        <v>0.926</v>
      </c>
      <c r="R89" t="inlineStr">
        <is>
          <t>Wikipedia 'List of American films of 2027' casts (Actions-runner pull 2026-10-08) x comp-based box office/RT estimates; cast lists are billed leads only (cameos not captured)</t>
        </is>
      </c>
      <c r="S89" t="inlineStr">
        <is>
          <t>2026-10-08</t>
        </is>
      </c>
      <c r="T89" s="9" t="inlineStr">
        <is>
          <t>C</t>
        </is>
      </c>
      <c r="U89" t="inlineStr">
        <is>
          <t>[conf C: sd x1.25, p shrink 20%]</t>
        </is>
      </c>
      <c r="V89">
        <f>K89+Assumptions!$J$12*MIN(L89,Assumptions!$H$12)</f>
        <v/>
      </c>
      <c r="W89">
        <f>RANK(V89,$V$5:$V$98)</f>
        <v/>
      </c>
      <c r="X89" s="16" t="inlineStr">
        <is>
          <t>Feder</t>
        </is>
      </c>
      <c r="Y89">
        <f>N89-IF(T89="C",Assumptions!$B$27,IF(T89="B",Assumptions!$B$26,0))</f>
        <v/>
      </c>
    </row>
    <row r="90">
      <c r="A90" t="inlineStr">
        <is>
          <t>Brendan Fraser</t>
        </is>
      </c>
      <c r="B90" t="inlineStr">
        <is>
          <t>Untitled Mummy sequel (Oct 15)</t>
        </is>
      </c>
      <c r="G90" t="inlineStr">
        <is>
          <t>Untitled Mummy sequel (80%)</t>
        </is>
      </c>
      <c r="I90" t="n">
        <v>62.0962</v>
      </c>
      <c r="J90" t="n">
        <v>21</v>
      </c>
      <c r="K90" t="n">
        <v>2.203</v>
      </c>
      <c r="L90" t="n">
        <v>0</v>
      </c>
      <c r="M90">
        <f>K90+MIN(L90,Assumptions!$H$12)</f>
        <v/>
      </c>
      <c r="N90">
        <f>M90-Assumptions!$I$12</f>
        <v/>
      </c>
      <c r="O90">
        <f>N90-Assumptions!$B$25*Q90</f>
        <v/>
      </c>
      <c r="P90" t="n">
        <v>4</v>
      </c>
      <c r="Q90" t="n">
        <v>1.048</v>
      </c>
      <c r="R90" t="inlineStr">
        <is>
          <t>Box Office Mojo 2027 release calendar (Actions-runner pull 2026-10-08) x comp-based box office/RT estimates</t>
        </is>
      </c>
      <c r="S90" t="inlineStr">
        <is>
          <t>2026-10-08</t>
        </is>
      </c>
      <c r="T90" s="9" t="inlineStr">
        <is>
          <t>C</t>
        </is>
      </c>
      <c r="U90" t="inlineStr">
        <is>
          <t>BOM lists Fraser + Weisz for the Oct 15 Mummy project  [conf C: sd x1.25, p shrink 20%]</t>
        </is>
      </c>
      <c r="V90">
        <f>K90+Assumptions!$J$12*MIN(L90,Assumptions!$H$12)</f>
        <v/>
      </c>
      <c r="W90">
        <f>RANK(V90,$V$5:$V$98)</f>
        <v/>
      </c>
      <c r="Y90">
        <f>N90-IF(T90="C",Assumptions!$B$27,IF(T90="B",Assumptions!$B$26,0))</f>
        <v/>
      </c>
    </row>
    <row r="91">
      <c r="A91" t="inlineStr">
        <is>
          <t>Anne Hathaway</t>
        </is>
      </c>
      <c r="B91" t="inlineStr">
        <is>
          <t>Alone at Dawn (Dec 25)</t>
        </is>
      </c>
      <c r="G91" t="inlineStr">
        <is>
          <t>Alone at Dawn (90%)</t>
        </is>
      </c>
      <c r="I91" t="n">
        <v>40.3162</v>
      </c>
      <c r="J91" t="n">
        <v>10</v>
      </c>
      <c r="K91" t="n">
        <v>1.968</v>
      </c>
      <c r="L91" t="n">
        <v>0</v>
      </c>
      <c r="M91">
        <f>K91+MIN(L91,Assumptions!$H$12)</f>
        <v/>
      </c>
      <c r="N91">
        <f>M91-Assumptions!$I$12</f>
        <v/>
      </c>
      <c r="O91">
        <f>N91-Assumptions!$B$25*Q91</f>
        <v/>
      </c>
      <c r="P91" t="n">
        <v>4</v>
      </c>
      <c r="Q91" t="n">
        <v>0.9429999999999999</v>
      </c>
      <c r="R91" t="inlineStr">
        <is>
          <t>Wikipedia 'List of American films of 2027' casts (Actions-runner pull 2026-10-08) x comp-based box office/RT estimates; cast lists are billed leads only (cameos not captured)</t>
        </is>
      </c>
      <c r="S91" t="inlineStr">
        <is>
          <t>2026-10-08</t>
        </is>
      </c>
      <c r="T91" s="9" t="inlineStr">
        <is>
          <t>C</t>
        </is>
      </c>
      <c r="U91" t="inlineStr">
        <is>
          <t>Alone at Dawn (Dec 25) opens 6 days before year-end  [conf C: sd x1.25, p shrink 20%]</t>
        </is>
      </c>
      <c r="V91">
        <f>K91+Assumptions!$J$12*MIN(L91,Assumptions!$H$12)</f>
        <v/>
      </c>
      <c r="W91">
        <f>RANK(V91,$V$5:$V$98)</f>
        <v/>
      </c>
      <c r="Y91">
        <f>N91-IF(T91="C",Assumptions!$B$27,IF(T91="B",Assumptions!$B$26,0))</f>
        <v/>
      </c>
    </row>
    <row r="92">
      <c r="A92" t="inlineStr">
        <is>
          <t>Jeremy Allen White</t>
        </is>
      </c>
      <c r="B92" t="inlineStr">
        <is>
          <t>no 2027 film found in Wikipedia's cast lists</t>
        </is>
      </c>
      <c r="I92" t="n">
        <v>31.8562</v>
      </c>
      <c r="J92" t="n">
        <v>10</v>
      </c>
      <c r="K92" t="n">
        <v>1.911</v>
      </c>
      <c r="L92" t="n">
        <v>0</v>
      </c>
      <c r="M92">
        <f>K92+MIN(L92,Assumptions!$H$12)</f>
        <v/>
      </c>
      <c r="N92">
        <f>M92-Assumptions!$I$12</f>
        <v/>
      </c>
      <c r="O92">
        <f>N92-Assumptions!$B$25*Q92</f>
        <v/>
      </c>
      <c r="P92" t="n">
        <v>4</v>
      </c>
      <c r="Q92" t="n">
        <v>0.915</v>
      </c>
      <c r="R92" t="inlineStr">
        <is>
          <t>Wikipedia 'List of American films of 2027' casts (Actions-runner pull 2026-10-08) x comp-based box office/RT estimates; cast lists are billed leads only (cameos not captured)</t>
        </is>
      </c>
      <c r="S92" t="inlineStr">
        <is>
          <t>2026-10-08</t>
        </is>
      </c>
      <c r="T92" s="9" t="inlineStr">
        <is>
          <t>C</t>
        </is>
      </c>
      <c r="U92" t="inlineStr">
        <is>
          <t>[conf C: sd x1.25, p shrink 20%]</t>
        </is>
      </c>
      <c r="V92">
        <f>K92+Assumptions!$J$12*MIN(L92,Assumptions!$H$12)</f>
        <v/>
      </c>
      <c r="W92">
        <f>RANK(V92,$V$5:$V$98)</f>
        <v/>
      </c>
      <c r="X92" s="16" t="inlineStr">
        <is>
          <t>Shep</t>
        </is>
      </c>
      <c r="Y92">
        <f>N92-IF(T92="C",Assumptions!$B$27,IF(T92="B",Assumptions!$B$26,0))</f>
        <v/>
      </c>
    </row>
    <row r="93">
      <c r="A93" t="inlineStr">
        <is>
          <t>George Clooney</t>
        </is>
      </c>
      <c r="B93" t="inlineStr">
        <is>
          <t>no 2027 film found in Wikipedia's cast lists</t>
        </is>
      </c>
      <c r="I93" t="n">
        <v>31.8562</v>
      </c>
      <c r="J93" t="n">
        <v>10</v>
      </c>
      <c r="K93" t="n">
        <v>1.905</v>
      </c>
      <c r="L93" t="n">
        <v>0</v>
      </c>
      <c r="M93">
        <f>K93+MIN(L93,Assumptions!$H$12)</f>
        <v/>
      </c>
      <c r="N93">
        <f>M93-Assumptions!$I$12</f>
        <v/>
      </c>
      <c r="O93">
        <f>N93-Assumptions!$B$25*Q93</f>
        <v/>
      </c>
      <c r="P93" t="n">
        <v>4</v>
      </c>
      <c r="Q93" t="n">
        <v>0.914</v>
      </c>
      <c r="R93" t="inlineStr">
        <is>
          <t>Wikipedia 'List of American films of 2027' casts (Actions-runner pull 2026-10-08) x comp-based box office/RT estimates; cast lists are billed leads only (cameos not captured)</t>
        </is>
      </c>
      <c r="S93" t="inlineStr">
        <is>
          <t>2026-10-08</t>
        </is>
      </c>
      <c r="T93" s="9" t="inlineStr">
        <is>
          <t>C</t>
        </is>
      </c>
      <c r="U93" t="inlineStr">
        <is>
          <t>[conf C: sd x1.25, p shrink 20%]</t>
        </is>
      </c>
      <c r="V93">
        <f>K93+Assumptions!$J$12*MIN(L93,Assumptions!$H$12)</f>
        <v/>
      </c>
      <c r="W93">
        <f>RANK(V93,$V$5:$V$98)</f>
        <v/>
      </c>
      <c r="X93" s="16" t="inlineStr">
        <is>
          <t>Jens</t>
        </is>
      </c>
      <c r="Y93">
        <f>N93-IF(T93="C",Assumptions!$B$27,IF(T93="B",Assumptions!$B$26,0))</f>
        <v/>
      </c>
    </row>
    <row r="94">
      <c r="A94" t="inlineStr">
        <is>
          <t>Chris Hemsworth</t>
        </is>
      </c>
      <c r="B94" t="inlineStr">
        <is>
          <t>no 2027 film found in Wikipedia's cast lists</t>
        </is>
      </c>
      <c r="I94" t="n">
        <v>31.8562</v>
      </c>
      <c r="J94" t="n">
        <v>10</v>
      </c>
      <c r="K94" t="n">
        <v>1.898</v>
      </c>
      <c r="L94" t="n">
        <v>0</v>
      </c>
      <c r="M94">
        <f>K94+MIN(L94,Assumptions!$H$12)</f>
        <v/>
      </c>
      <c r="N94">
        <f>M94-Assumptions!$I$12</f>
        <v/>
      </c>
      <c r="O94">
        <f>N94-Assumptions!$B$25*Q94</f>
        <v/>
      </c>
      <c r="P94" t="n">
        <v>4</v>
      </c>
      <c r="Q94" t="n">
        <v>0.9330000000000001</v>
      </c>
      <c r="R94" t="inlineStr">
        <is>
          <t>Wikipedia 'List of American films of 2027' casts (Actions-runner pull 2026-10-08) x comp-based box office/RT estimates; cast lists are billed leads only (cameos not captured)</t>
        </is>
      </c>
      <c r="S94" t="inlineStr">
        <is>
          <t>2026-10-08</t>
        </is>
      </c>
      <c r="T94" s="9" t="inlineStr">
        <is>
          <t>C</t>
        </is>
      </c>
      <c r="U94" t="inlineStr">
        <is>
          <t>[conf C: sd x1.25, p shrink 20%]</t>
        </is>
      </c>
      <c r="V94">
        <f>K94+Assumptions!$J$12*MIN(L94,Assumptions!$H$12)</f>
        <v/>
      </c>
      <c r="W94">
        <f>RANK(V94,$V$5:$V$98)</f>
        <v/>
      </c>
      <c r="X94" s="16" t="inlineStr">
        <is>
          <t>Fryar</t>
        </is>
      </c>
      <c r="Y94">
        <f>N94-IF(T94="C",Assumptions!$B$27,IF(T94="B",Assumptions!$B$26,0))</f>
        <v/>
      </c>
    </row>
    <row r="95">
      <c r="A95" t="inlineStr">
        <is>
          <t>Leonardo DiCaprio</t>
        </is>
      </c>
      <c r="B95" t="inlineStr">
        <is>
          <t>no 2027 film found in Wikipedia's cast lists</t>
        </is>
      </c>
      <c r="I95" t="n">
        <v>31.8562</v>
      </c>
      <c r="J95" t="n">
        <v>10</v>
      </c>
      <c r="K95" t="n">
        <v>1.895</v>
      </c>
      <c r="L95" t="n">
        <v>0</v>
      </c>
      <c r="M95">
        <f>K95+MIN(L95,Assumptions!$H$12)</f>
        <v/>
      </c>
      <c r="N95">
        <f>M95-Assumptions!$I$12</f>
        <v/>
      </c>
      <c r="O95">
        <f>N95-Assumptions!$B$25*Q95</f>
        <v/>
      </c>
      <c r="P95" t="n">
        <v>4</v>
      </c>
      <c r="Q95" t="n">
        <v>0.92</v>
      </c>
      <c r="R95" t="inlineStr">
        <is>
          <t>Wikipedia 'List of American films of 2027' casts (Actions-runner pull 2026-10-08) x comp-based box office/RT estimates; cast lists are billed leads only (cameos not captured)</t>
        </is>
      </c>
      <c r="S95" t="inlineStr">
        <is>
          <t>2026-10-08</t>
        </is>
      </c>
      <c r="T95" s="9" t="inlineStr">
        <is>
          <t>C</t>
        </is>
      </c>
      <c r="U95" t="inlineStr">
        <is>
          <t>[conf C: sd x1.25, p shrink 20%]</t>
        </is>
      </c>
      <c r="V95">
        <f>K95+Assumptions!$J$12*MIN(L95,Assumptions!$H$12)</f>
        <v/>
      </c>
      <c r="W95">
        <f>RANK(V95,$V$5:$V$98)</f>
        <v/>
      </c>
      <c r="X95" s="16" t="inlineStr">
        <is>
          <t>Todd</t>
        </is>
      </c>
      <c r="Y95">
        <f>N95-IF(T95="C",Assumptions!$B$27,IF(T95="B",Assumptions!$B$26,0))</f>
        <v/>
      </c>
    </row>
    <row r="96">
      <c r="A96" t="inlineStr">
        <is>
          <t>Dwayne Johnson</t>
        </is>
      </c>
      <c r="B96" t="inlineStr">
        <is>
          <t>no 2027 film found in Wikipedia's cast lists</t>
        </is>
      </c>
      <c r="I96" t="n">
        <v>31.8562</v>
      </c>
      <c r="J96" t="n">
        <v>10</v>
      </c>
      <c r="K96" t="n">
        <v>1.89</v>
      </c>
      <c r="L96" t="n">
        <v>0</v>
      </c>
      <c r="M96">
        <f>K96+MIN(L96,Assumptions!$H$12)</f>
        <v/>
      </c>
      <c r="N96">
        <f>M96-Assumptions!$I$12</f>
        <v/>
      </c>
      <c r="O96">
        <f>N96-Assumptions!$B$25*Q96</f>
        <v/>
      </c>
      <c r="P96" t="n">
        <v>4</v>
      </c>
      <c r="Q96" t="n">
        <v>0.909</v>
      </c>
      <c r="R96" t="inlineStr">
        <is>
          <t>Wikipedia 'List of American films of 2027' casts (Actions-runner pull 2026-10-08) x comp-based box office/RT estimates; cast lists are billed leads only (cameos not captured)</t>
        </is>
      </c>
      <c r="S96" t="inlineStr">
        <is>
          <t>2026-10-08</t>
        </is>
      </c>
      <c r="T96" s="9" t="inlineStr">
        <is>
          <t>C</t>
        </is>
      </c>
      <c r="U96" t="inlineStr">
        <is>
          <t>[conf C: sd x1.25, p shrink 20%]</t>
        </is>
      </c>
      <c r="V96">
        <f>K96+Assumptions!$J$12*MIN(L96,Assumptions!$H$12)</f>
        <v/>
      </c>
      <c r="W96">
        <f>RANK(V96,$V$5:$V$98)</f>
        <v/>
      </c>
      <c r="X96" s="16" t="inlineStr">
        <is>
          <t>Theo</t>
        </is>
      </c>
      <c r="Y96">
        <f>N96-IF(T96="C",Assumptions!$B$27,IF(T96="B",Assumptions!$B$26,0))</f>
        <v/>
      </c>
    </row>
    <row r="97">
      <c r="A97" t="inlineStr">
        <is>
          <t>Sean Penn</t>
        </is>
      </c>
      <c r="B97" t="inlineStr">
        <is>
          <t>no 2027 film found in Wikipedia's cast lists</t>
        </is>
      </c>
      <c r="I97" t="n">
        <v>31.8562</v>
      </c>
      <c r="J97" t="n">
        <v>10</v>
      </c>
      <c r="K97" t="n">
        <v>1.89</v>
      </c>
      <c r="L97" t="n">
        <v>0</v>
      </c>
      <c r="M97">
        <f>K97+MIN(L97,Assumptions!$H$12)</f>
        <v/>
      </c>
      <c r="N97">
        <f>M97-Assumptions!$I$12</f>
        <v/>
      </c>
      <c r="O97">
        <f>N97-Assumptions!$B$25*Q97</f>
        <v/>
      </c>
      <c r="P97" t="n">
        <v>4</v>
      </c>
      <c r="Q97" t="n">
        <v>0.905</v>
      </c>
      <c r="R97" t="inlineStr">
        <is>
          <t>Wikipedia 'List of American films of 2027' casts (Actions-runner pull 2026-10-08) x comp-based box office/RT estimates; cast lists are billed leads only (cameos not captured)</t>
        </is>
      </c>
      <c r="S97" t="inlineStr">
        <is>
          <t>2026-10-08</t>
        </is>
      </c>
      <c r="T97" s="9" t="inlineStr">
        <is>
          <t>C</t>
        </is>
      </c>
      <c r="U97" t="inlineStr">
        <is>
          <t>[conf C: sd x1.25, p shrink 20%]</t>
        </is>
      </c>
      <c r="V97">
        <f>K97+Assumptions!$J$12*MIN(L97,Assumptions!$H$12)</f>
        <v/>
      </c>
      <c r="W97">
        <f>RANK(V97,$V$5:$V$98)</f>
        <v/>
      </c>
      <c r="X97" s="16" t="inlineStr">
        <is>
          <t>Tim</t>
        </is>
      </c>
      <c r="Y97">
        <f>N97-IF(T97="C",Assumptions!$B$27,IF(T97="B",Assumptions!$B$26,0))</f>
        <v/>
      </c>
    </row>
    <row r="98">
      <c r="A98" t="inlineStr">
        <is>
          <t>Jon Bernthal</t>
        </is>
      </c>
      <c r="B98" t="inlineStr">
        <is>
          <t>no 2027 film found in Wikipedia's cast lists</t>
        </is>
      </c>
      <c r="I98" t="n">
        <v>31.8562</v>
      </c>
      <c r="J98" t="n">
        <v>10</v>
      </c>
      <c r="K98" t="n">
        <v>1.878</v>
      </c>
      <c r="L98" t="n">
        <v>0</v>
      </c>
      <c r="M98">
        <f>K98+MIN(L98,Assumptions!$H$12)</f>
        <v/>
      </c>
      <c r="N98">
        <f>M98-Assumptions!$I$12</f>
        <v/>
      </c>
      <c r="O98">
        <f>N98-Assumptions!$B$25*Q98</f>
        <v/>
      </c>
      <c r="P98" t="n">
        <v>4</v>
      </c>
      <c r="Q98" t="n">
        <v>0.9</v>
      </c>
      <c r="R98" t="inlineStr">
        <is>
          <t>Wikipedia 'List of American films of 2027' casts (Actions-runner pull 2026-10-08) x comp-based box office/RT estimates; cast lists are billed leads only (cameos not captured)</t>
        </is>
      </c>
      <c r="S98" t="inlineStr">
        <is>
          <t>2026-10-08</t>
        </is>
      </c>
      <c r="T98" s="9" t="inlineStr">
        <is>
          <t>C</t>
        </is>
      </c>
      <c r="U98" t="inlineStr">
        <is>
          <t>[conf C: sd x1.25, p shrink 20%]</t>
        </is>
      </c>
      <c r="V98">
        <f>K98+Assumptions!$J$12*MIN(L98,Assumptions!$H$12)</f>
        <v/>
      </c>
      <c r="W98">
        <f>RANK(V98,$V$5:$V$98)</f>
        <v/>
      </c>
      <c r="X98" s="16" t="inlineStr">
        <is>
          <t>Korch</t>
        </is>
      </c>
      <c r="Y98">
        <f>N98-IF(T98="C",Assumptions!$B$27,IF(T98="B",Assumptions!$B$26,0))</f>
        <v/>
      </c>
    </row>
    <row r="100">
      <c r="A100" s="8" t="inlineStr">
        <is>
          <t>Replacement-level EV (Nth best)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Y9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36" customWidth="1" min="2" max="2"/>
    <col width="22" customWidth="1" min="3" max="3"/>
    <col width="11" customWidth="1" min="4" max="4"/>
    <col width="11" customWidth="1" min="5" max="5"/>
    <col width="11" customWidth="1" min="6" max="6"/>
    <col width="11" customWidth="1" min="7" max="7"/>
    <col width="11" customWidth="1" min="8" max="8"/>
    <col width="9" customWidth="1" min="9" max="9"/>
    <col width="9" customWidth="1" min="10" max="10"/>
    <col width="11" customWidth="1" min="11" max="11"/>
    <col width="10" customWidth="1" min="12" max="12"/>
    <col width="10" customWidth="1" min="13" max="13"/>
    <col width="9" customWidth="1" min="14" max="14"/>
    <col width="11" customWidth="1" min="15" max="15"/>
    <col width="6" customWidth="1" min="16" max="16"/>
    <col width="9" customWidth="1" min="17" max="17"/>
    <col width="38" customWidth="1" min="18" max="18"/>
    <col width="11" customWidth="1" min="19" max="19"/>
    <col width="6" customWidth="1" min="20" max="20"/>
    <col width="60" customWidth="1" min="21" max="21"/>
    <col width="12" customWidth="1" min="22" max="22"/>
    <col width="9" customWidth="1" min="23" max="23"/>
    <col width="11" customWidth="1" min="24" max="24"/>
    <col width="11" customWidth="1" min="25" max="25"/>
  </cols>
  <sheetData>
    <row r="1">
      <c r="A1" s="18" t="inlineStr">
        <is>
          <t>Actress — 2027 draft research (EV model; see README)</t>
        </is>
      </c>
    </row>
    <row r="2">
      <c r="A2" t="inlineStr">
        <is>
          <t>As of 2026-10-22. Sorted by E[total]. Yellow = inferred / low-confidence (C).</t>
        </is>
      </c>
    </row>
    <row r="4">
      <c r="A4" s="7" t="inlineStr">
        <is>
          <t>Candidate</t>
        </is>
      </c>
      <c r="B4" s="7" t="inlineStr">
        <is>
          <t>Detail</t>
        </is>
      </c>
      <c r="C4" s="7" t="inlineStr">
        <is>
          <t>Odds / price</t>
        </is>
      </c>
      <c r="D4" s="7" t="inlineStr">
        <is>
          <t>Oscar p(nom)</t>
        </is>
      </c>
      <c r="E4" s="7" t="inlineStr">
        <is>
          <t>Oscar p(win)</t>
        </is>
      </c>
      <c r="F4" s="7" t="inlineStr">
        <is>
          <t>Oscar detail</t>
        </is>
      </c>
      <c r="G4" s="7" t="inlineStr">
        <is>
          <t>Films</t>
        </is>
      </c>
      <c r="H4" s="7" t="inlineStr"/>
      <c r="I4" s="7" t="inlineStr">
        <is>
          <t>mu</t>
        </is>
      </c>
      <c r="J4" s="7" t="inlineStr">
        <is>
          <t>sd</t>
        </is>
      </c>
      <c r="K4" s="7" t="inlineStr">
        <is>
          <t>E[rank pts] (MC)</t>
        </is>
      </c>
      <c r="L4" s="7" t="inlineStr">
        <is>
          <t>E[bonus]</t>
        </is>
      </c>
      <c r="M4" s="7" t="inlineStr">
        <is>
          <t>E[total]</t>
        </is>
      </c>
      <c r="N4" s="7" t="inlineStr">
        <is>
          <t>VOR</t>
        </is>
      </c>
      <c r="O4" s="7" t="inlineStr">
        <is>
          <t>Risk-adj VOR</t>
        </is>
      </c>
      <c r="P4" s="7" t="inlineStr">
        <is>
          <t>Tier</t>
        </is>
      </c>
      <c r="Q4" s="7" t="inlineStr">
        <is>
          <t>SD rank pts</t>
        </is>
      </c>
      <c r="R4" s="7" t="inlineStr">
        <is>
          <t>Source</t>
        </is>
      </c>
      <c r="S4" s="7" t="inlineStr">
        <is>
          <t>As of</t>
        </is>
      </c>
      <c r="T4" s="7" t="inlineStr">
        <is>
          <t>Conf</t>
        </is>
      </c>
      <c r="U4" s="7" t="inlineStr">
        <is>
          <t>Notes</t>
        </is>
      </c>
      <c r="V4" s="7" t="inlineStr">
        <is>
          <t>Field draft score</t>
        </is>
      </c>
      <c r="W4" s="7" t="inlineStr">
        <is>
          <t>Field rank</t>
        </is>
      </c>
      <c r="X4" s="7" t="inlineStr">
        <is>
          <t>Owner</t>
        </is>
      </c>
      <c r="Y4" s="7" t="inlineStr">
        <is>
          <t>Conf-adj VOR</t>
        </is>
      </c>
    </row>
    <row r="5">
      <c r="A5" s="9" t="inlineStr">
        <is>
          <t>Julianne Moore</t>
        </is>
      </c>
      <c r="B5" t="inlineStr">
        <is>
          <t>no 2027 film found in Wikipedia's cast lists</t>
        </is>
      </c>
      <c r="D5" t="n">
        <v>0.9350000000000001</v>
      </c>
      <c r="E5" t="n">
        <v>0.715</v>
      </c>
      <c r="F5" t="inlineStr">
        <is>
          <t>Best Actress: The Debut (nom 93%, win 71%)</t>
        </is>
      </c>
      <c r="I5" t="n">
        <v>26.2546</v>
      </c>
      <c r="J5" t="n">
        <v>10</v>
      </c>
      <c r="K5" t="n">
        <v>1.884</v>
      </c>
      <c r="L5" t="n">
        <v>10.175</v>
      </c>
      <c r="M5">
        <f>K5+MIN(L5,Assumptions!$H$13)</f>
        <v/>
      </c>
      <c r="N5">
        <f>M5-Assumptions!$I$13</f>
        <v/>
      </c>
      <c r="O5">
        <f>N5-Assumptions!$B$25*Q5</f>
        <v/>
      </c>
      <c r="P5" t="n">
        <v>1</v>
      </c>
      <c r="Q5" t="n">
        <v>0.903</v>
      </c>
      <c r="R5" t="inlineStr">
        <is>
          <t>Wikipedia 'List of American films of 2027' casts (Actions-runner pull 2026-10-08) x comp-based box office/RT estimates; cast lists are billed leads only (cameos not captured)</t>
        </is>
      </c>
      <c r="S5" t="inlineStr">
        <is>
          <t>2026-10-08</t>
        </is>
      </c>
      <c r="T5" s="9" t="inlineStr">
        <is>
          <t>C</t>
        </is>
      </c>
      <c r="U5" t="inlineStr">
        <is>
          <t>[conf C: sd x1.25, p shrink 20%]</t>
        </is>
      </c>
      <c r="V5">
        <f>K5+Assumptions!$J$13*MIN(L5,Assumptions!$H$13)</f>
        <v/>
      </c>
      <c r="W5">
        <f>RANK(V5,$V$5:$V$92)</f>
        <v/>
      </c>
      <c r="Y5">
        <f>N5-IF(T5="C",Assumptions!$B$27,IF(T5="B",Assumptions!$B$26,0))</f>
        <v/>
      </c>
    </row>
    <row r="6">
      <c r="A6" s="9" t="inlineStr">
        <is>
          <t>Kristen Bell</t>
        </is>
      </c>
      <c r="B6" t="inlineStr">
        <is>
          <t>Frozen 3 (Nov 24); Sonic the Hedgehog 4 (Mar 19)</t>
        </is>
      </c>
      <c r="G6" t="inlineStr">
        <is>
          <t>Sonic the Hedgehog 4 (95%); Frozen 3 (93%)</t>
        </is>
      </c>
      <c r="I6" t="n">
        <v>381.9346</v>
      </c>
      <c r="J6" t="n">
        <v>247</v>
      </c>
      <c r="K6" t="n">
        <v>9.054</v>
      </c>
      <c r="L6" t="n">
        <v>0</v>
      </c>
      <c r="M6">
        <f>K6+MIN(L6,Assumptions!$H$13)</f>
        <v/>
      </c>
      <c r="N6">
        <f>M6-Assumptions!$I$13</f>
        <v/>
      </c>
      <c r="O6">
        <f>N6-Assumptions!$B$25*Q6</f>
        <v/>
      </c>
      <c r="P6" t="n">
        <v>1</v>
      </c>
      <c r="Q6" t="n">
        <v>4.104</v>
      </c>
      <c r="R6" t="inlineStr">
        <is>
          <t>Wikipedia 'List of American films of 2027' casts (Actions-runner pull 2026-10-08) x comp-based box office/RT estimates; cast lists are billed leads only (cameos not captured)</t>
        </is>
      </c>
      <c r="S6" t="inlineStr">
        <is>
          <t>2026-10-08</t>
        </is>
      </c>
      <c r="T6" s="9" t="inlineStr">
        <is>
          <t>C</t>
        </is>
      </c>
      <c r="U6" t="inlineStr">
        <is>
          <t>Frozen 3 (Nov 24, ~78% of run in 2027) + Sonic 4  [conf C: sd x1.25, p shrink 20%]</t>
        </is>
      </c>
      <c r="V6">
        <f>K6+Assumptions!$J$13*MIN(L6,Assumptions!$H$13)</f>
        <v/>
      </c>
      <c r="W6">
        <f>RANK(V6,$V$5:$V$92)</f>
        <v/>
      </c>
      <c r="Y6">
        <f>N6-IF(T6="C",Assumptions!$B$27,IF(T6="B",Assumptions!$B$26,0))</f>
        <v/>
      </c>
    </row>
    <row r="7">
      <c r="A7" s="9" t="inlineStr">
        <is>
          <t>Anne Hathaway</t>
        </is>
      </c>
      <c r="B7" t="inlineStr">
        <is>
          <t>Alone at Dawn (Dec 25)</t>
        </is>
      </c>
      <c r="D7" t="n">
        <v>0.905</v>
      </c>
      <c r="E7" t="n">
        <v>0.505</v>
      </c>
      <c r="F7" t="inlineStr">
        <is>
          <t>Best Actress: The Odyssey (lead) (nom 8%, win 1%); Best Supporting Actress: The Odyssey (nom 90%, win 50%)</t>
        </is>
      </c>
      <c r="G7" t="inlineStr">
        <is>
          <t>Alone at Dawn (90%)</t>
        </is>
      </c>
      <c r="I7" t="n">
        <v>34.7146</v>
      </c>
      <c r="J7" t="n">
        <v>10</v>
      </c>
      <c r="K7" t="n">
        <v>1.991</v>
      </c>
      <c r="L7" t="n">
        <v>6</v>
      </c>
      <c r="M7">
        <f>K7+MIN(L7,Assumptions!$H$13)</f>
        <v/>
      </c>
      <c r="N7">
        <f>M7-Assumptions!$I$13</f>
        <v/>
      </c>
      <c r="O7">
        <f>N7-Assumptions!$B$25*Q7</f>
        <v/>
      </c>
      <c r="P7" t="n">
        <v>1</v>
      </c>
      <c r="Q7" t="n">
        <v>0.952</v>
      </c>
      <c r="R7" t="inlineStr">
        <is>
          <t>Wikipedia 'List of American films of 2027' casts (Actions-runner pull 2026-10-08) x comp-based box office/RT estimates; cast lists are billed leads only (cameos not captured)</t>
        </is>
      </c>
      <c r="S7" t="inlineStr">
        <is>
          <t>2026-10-08</t>
        </is>
      </c>
      <c r="T7" s="9" t="inlineStr">
        <is>
          <t>C</t>
        </is>
      </c>
      <c r="U7" t="inlineStr">
        <is>
          <t>Alone at Dawn (Dec 25) opens 6 days before year-end  [conf C: sd x1.25, p shrink 20%]</t>
        </is>
      </c>
      <c r="V7">
        <f>K7+Assumptions!$J$13*MIN(L7,Assumptions!$H$13)</f>
        <v/>
      </c>
      <c r="W7">
        <f>RANK(V7,$V$5:$V$92)</f>
        <v/>
      </c>
      <c r="X7" s="16" t="inlineStr">
        <is>
          <t>Korch</t>
        </is>
      </c>
      <c r="Y7">
        <f>N7-IF(T7="C",Assumptions!$B$27,IF(T7="B",Assumptions!$B$26,0))</f>
        <v/>
      </c>
    </row>
    <row r="8">
      <c r="A8" s="17" t="inlineStr">
        <is>
          <t>Hailee Steinfeld</t>
        </is>
      </c>
      <c r="B8" t="inlineStr">
        <is>
          <t>Spider-Man: Beyond the Spider-Verse (Jun 18)</t>
        </is>
      </c>
      <c r="G8" t="inlineStr">
        <is>
          <t>Spider-Man: Beyond the Spider-Verse (80%)</t>
        </is>
      </c>
      <c r="I8" t="n">
        <v>276.6346</v>
      </c>
      <c r="J8" t="n">
        <v>173.875</v>
      </c>
      <c r="K8" t="n">
        <v>7.42</v>
      </c>
      <c r="L8" t="n">
        <v>0</v>
      </c>
      <c r="M8">
        <f>K8+MIN(L8,Assumptions!$H$13)</f>
        <v/>
      </c>
      <c r="N8">
        <f>M8-Assumptions!$I$13</f>
        <v/>
      </c>
      <c r="O8">
        <f>N8-Assumptions!$B$25*Q8</f>
        <v/>
      </c>
      <c r="P8" t="n">
        <v>2</v>
      </c>
      <c r="Q8" t="n">
        <v>3.777</v>
      </c>
      <c r="R8" t="inlineStr">
        <is>
          <t>Wikipedia 'List of American films of 2027' casts (Actions-runner pull 2026-10-08) x comp-based box office/RT estimates; cast lists are billed leads only (cameos not captured)</t>
        </is>
      </c>
      <c r="S8" t="inlineStr">
        <is>
          <t>2026-10-08</t>
        </is>
      </c>
      <c r="T8" s="9" t="inlineStr">
        <is>
          <t>C</t>
        </is>
      </c>
      <c r="U8" t="inlineStr">
        <is>
          <t>[conf C: sd x1.25, p shrink 20%]</t>
        </is>
      </c>
      <c r="V8">
        <f>K8+Assumptions!$J$13*MIN(L8,Assumptions!$H$13)</f>
        <v/>
      </c>
      <c r="W8">
        <f>RANK(V8,$V$5:$V$92)</f>
        <v/>
      </c>
      <c r="Y8">
        <f>N8-IF(T8="C",Assumptions!$B$27,IF(T8="B",Assumptions!$B$26,0))</f>
        <v/>
      </c>
    </row>
    <row r="9">
      <c r="A9" s="17" t="inlineStr">
        <is>
          <t>Lauren Vélez</t>
        </is>
      </c>
      <c r="B9" t="inlineStr">
        <is>
          <t>Spider-Man: Beyond the Spider-Verse (Jun 18)</t>
        </is>
      </c>
      <c r="G9" t="inlineStr">
        <is>
          <t>Spider-Man: Beyond the Spider-Verse (80%)</t>
        </is>
      </c>
      <c r="I9" t="n">
        <v>276.6346</v>
      </c>
      <c r="J9" t="n">
        <v>173.875</v>
      </c>
      <c r="K9" t="n">
        <v>7.333</v>
      </c>
      <c r="L9" t="n">
        <v>0</v>
      </c>
      <c r="M9">
        <f>K9+MIN(L9,Assumptions!$H$13)</f>
        <v/>
      </c>
      <c r="N9">
        <f>M9-Assumptions!$I$13</f>
        <v/>
      </c>
      <c r="O9">
        <f>N9-Assumptions!$B$25*Q9</f>
        <v/>
      </c>
      <c r="P9" t="n">
        <v>2</v>
      </c>
      <c r="Q9" t="n">
        <v>3.797</v>
      </c>
      <c r="R9" t="inlineStr">
        <is>
          <t>Wikipedia 'List of American films of 2027' casts (Actions-runner pull 2026-10-08) x comp-based box office/RT estimates; cast lists are billed leads only (cameos not captured)</t>
        </is>
      </c>
      <c r="S9" t="inlineStr">
        <is>
          <t>2026-10-08</t>
        </is>
      </c>
      <c r="T9" s="9" t="inlineStr">
        <is>
          <t>C</t>
        </is>
      </c>
      <c r="U9" t="inlineStr">
        <is>
          <t>[conf C: sd x1.25, p shrink 20%]</t>
        </is>
      </c>
      <c r="V9">
        <f>K9+Assumptions!$J$13*MIN(L9,Assumptions!$H$13)</f>
        <v/>
      </c>
      <c r="W9">
        <f>RANK(V9,$V$5:$V$92)</f>
        <v/>
      </c>
      <c r="Y9">
        <f>N9-IF(T9="C",Assumptions!$B$27,IF(T9="B",Assumptions!$B$26,0))</f>
        <v/>
      </c>
    </row>
    <row r="10">
      <c r="A10" s="17" t="inlineStr">
        <is>
          <t>Kimiko Glenn</t>
        </is>
      </c>
      <c r="B10" t="inlineStr">
        <is>
          <t>Spider-Man: Beyond the Spider-Verse (Jun 18)</t>
        </is>
      </c>
      <c r="G10" t="inlineStr">
        <is>
          <t>Spider-Man: Beyond the Spider-Verse (80%)</t>
        </is>
      </c>
      <c r="I10" t="n">
        <v>276.6346</v>
      </c>
      <c r="J10" t="n">
        <v>173.875</v>
      </c>
      <c r="K10" t="n">
        <v>7.298</v>
      </c>
      <c r="L10" t="n">
        <v>0</v>
      </c>
      <c r="M10">
        <f>K10+MIN(L10,Assumptions!$H$13)</f>
        <v/>
      </c>
      <c r="N10">
        <f>M10-Assumptions!$I$13</f>
        <v/>
      </c>
      <c r="O10">
        <f>N10-Assumptions!$B$25*Q10</f>
        <v/>
      </c>
      <c r="P10" t="n">
        <v>2</v>
      </c>
      <c r="Q10" t="n">
        <v>3.818</v>
      </c>
      <c r="R10" t="inlineStr">
        <is>
          <t>Wikipedia 'List of American films of 2027' casts (Actions-runner pull 2026-10-08) x comp-based box office/RT estimates; cast lists are billed leads only (cameos not captured)</t>
        </is>
      </c>
      <c r="S10" t="inlineStr">
        <is>
          <t>2026-10-08</t>
        </is>
      </c>
      <c r="T10" s="9" t="inlineStr">
        <is>
          <t>C</t>
        </is>
      </c>
      <c r="U10" t="inlineStr">
        <is>
          <t>[conf C: sd x1.25, p shrink 20%]</t>
        </is>
      </c>
      <c r="V10">
        <f>K10+Assumptions!$J$13*MIN(L10,Assumptions!$H$13)</f>
        <v/>
      </c>
      <c r="W10">
        <f>RANK(V10,$V$5:$V$92)</f>
        <v/>
      </c>
      <c r="Y10">
        <f>N10-IF(T10="C",Assumptions!$B$27,IF(T10="B",Assumptions!$B$26,0))</f>
        <v/>
      </c>
    </row>
    <row r="11">
      <c r="A11" s="17" t="inlineStr">
        <is>
          <t>Adria Arjona</t>
        </is>
      </c>
      <c r="B11" t="inlineStr">
        <is>
          <t>Man of Tomorrow (Jul 9); The Thomas Crown Affair (Mar 5)</t>
        </is>
      </c>
      <c r="G11" t="inlineStr">
        <is>
          <t>The Thomas Crown Affair (85%); Man of Tomorrow (92%)</t>
        </is>
      </c>
      <c r="I11" t="n">
        <v>268.0846</v>
      </c>
      <c r="J11" t="n">
        <v>167.875</v>
      </c>
      <c r="K11" t="n">
        <v>7.226</v>
      </c>
      <c r="L11" t="n">
        <v>0</v>
      </c>
      <c r="M11">
        <f>K11+MIN(L11,Assumptions!$H$13)</f>
        <v/>
      </c>
      <c r="N11">
        <f>M11-Assumptions!$I$13</f>
        <v/>
      </c>
      <c r="O11">
        <f>N11-Assumptions!$B$25*Q11</f>
        <v/>
      </c>
      <c r="P11" t="n">
        <v>2</v>
      </c>
      <c r="Q11" t="n">
        <v>3.77</v>
      </c>
      <c r="R11" t="inlineStr">
        <is>
          <t>Wikipedia 'List of American films of 2027' casts (Actions-runner pull 2026-10-08) x comp-based box office/RT estimates; cast lists are billed leads only (cameos not captured)</t>
        </is>
      </c>
      <c r="S11" t="inlineStr">
        <is>
          <t>2026-10-08</t>
        </is>
      </c>
      <c r="T11" s="9" t="inlineStr">
        <is>
          <t>C</t>
        </is>
      </c>
      <c r="U11" t="inlineStr">
        <is>
          <t>[conf C: sd x1.25, p shrink 20%]</t>
        </is>
      </c>
      <c r="V11">
        <f>K11+Assumptions!$J$13*MIN(L11,Assumptions!$H$13)</f>
        <v/>
      </c>
      <c r="W11">
        <f>RANK(V11,$V$5:$V$92)</f>
        <v/>
      </c>
      <c r="Y11">
        <f>N11-IF(T11="C",Assumptions!$B$27,IF(T11="B",Assumptions!$B$26,0))</f>
        <v/>
      </c>
    </row>
    <row r="12">
      <c r="A12" s="19" t="inlineStr">
        <is>
          <t>Amy Adams</t>
        </is>
      </c>
      <c r="B12" t="inlineStr">
        <is>
          <t>Starfighter (May 28)</t>
        </is>
      </c>
      <c r="G12" t="inlineStr">
        <is>
          <t>Starfighter (92%)</t>
        </is>
      </c>
      <c r="I12" t="n">
        <v>252.7846</v>
      </c>
      <c r="J12" t="n">
        <v>157.25</v>
      </c>
      <c r="K12" t="n">
        <v>6.912</v>
      </c>
      <c r="L12" t="n">
        <v>0</v>
      </c>
      <c r="M12">
        <f>K12+MIN(L12,Assumptions!$H$13)</f>
        <v/>
      </c>
      <c r="N12">
        <f>M12-Assumptions!$I$13</f>
        <v/>
      </c>
      <c r="O12">
        <f>N12-Assumptions!$B$25*Q12</f>
        <v/>
      </c>
      <c r="P12" t="n">
        <v>3</v>
      </c>
      <c r="Q12" t="n">
        <v>3.652</v>
      </c>
      <c r="R12" t="inlineStr">
        <is>
          <t>Wikipedia 'List of American films of 2027' casts (Actions-runner pull 2026-10-08) x comp-based box office/RT estimates; cast lists are billed leads only (cameos not captured)</t>
        </is>
      </c>
      <c r="S12" t="inlineStr">
        <is>
          <t>2026-10-08</t>
        </is>
      </c>
      <c r="T12" s="9" t="inlineStr">
        <is>
          <t>C</t>
        </is>
      </c>
      <c r="U12" t="inlineStr">
        <is>
          <t>[conf C: sd x1.25, p shrink 20%]</t>
        </is>
      </c>
      <c r="V12">
        <f>K12+Assumptions!$J$13*MIN(L12,Assumptions!$H$13)</f>
        <v/>
      </c>
      <c r="W12">
        <f>RANK(V12,$V$5:$V$92)</f>
        <v/>
      </c>
      <c r="Y12">
        <f>N12-IF(T12="C",Assumptions!$B$27,IF(T12="B",Assumptions!$B$26,0))</f>
        <v/>
      </c>
    </row>
    <row r="13">
      <c r="A13" s="19" t="inlineStr">
        <is>
          <t>Inde Navarrette</t>
        </is>
      </c>
      <c r="B13" t="inlineStr">
        <is>
          <t>no 2027 film found in Wikipedia's cast lists</t>
        </is>
      </c>
      <c r="D13" t="n">
        <v>0.785</v>
      </c>
      <c r="E13" t="n">
        <v>0.2</v>
      </c>
      <c r="F13" t="inlineStr">
        <is>
          <t>Best Actress: Obsession (nom 78%, win 20%)</t>
        </is>
      </c>
      <c r="I13" t="n">
        <v>26.2546</v>
      </c>
      <c r="J13" t="n">
        <v>10</v>
      </c>
      <c r="K13" t="n">
        <v>1.894</v>
      </c>
      <c r="L13" t="n">
        <v>4.94</v>
      </c>
      <c r="M13">
        <f>K13+MIN(L13,Assumptions!$H$13)</f>
        <v/>
      </c>
      <c r="N13">
        <f>M13-Assumptions!$I$13</f>
        <v/>
      </c>
      <c r="O13">
        <f>N13-Assumptions!$B$25*Q13</f>
        <v/>
      </c>
      <c r="P13" t="n">
        <v>3</v>
      </c>
      <c r="Q13" t="n">
        <v>0.913</v>
      </c>
      <c r="R13" t="inlineStr">
        <is>
          <t>Wikipedia 'List of American films of 2027' casts (Actions-runner pull 2026-10-08) x comp-based box office/RT estimates; cast lists are billed leads only (cameos not captured)</t>
        </is>
      </c>
      <c r="S13" t="inlineStr">
        <is>
          <t>2026-10-08</t>
        </is>
      </c>
      <c r="T13" s="9" t="inlineStr">
        <is>
          <t>C</t>
        </is>
      </c>
      <c r="U13" t="inlineStr">
        <is>
          <t>[conf C: sd x1.25, p shrink 20%]</t>
        </is>
      </c>
      <c r="V13">
        <f>K13+Assumptions!$J$13*MIN(L13,Assumptions!$H$13)</f>
        <v/>
      </c>
      <c r="W13">
        <f>RANK(V13,$V$5:$V$92)</f>
        <v/>
      </c>
      <c r="Y13">
        <f>N13-IF(T13="C",Assumptions!$B$27,IF(T13="B",Assumptions!$B$26,0))</f>
        <v/>
      </c>
    </row>
    <row r="14">
      <c r="A14" s="19" t="inlineStr">
        <is>
          <t>Mia Goth</t>
        </is>
      </c>
      <c r="B14" t="inlineStr">
        <is>
          <t>Starfighter (May 28)</t>
        </is>
      </c>
      <c r="G14" t="inlineStr">
        <is>
          <t>Starfighter (92%)</t>
        </is>
      </c>
      <c r="I14" t="n">
        <v>252.7846</v>
      </c>
      <c r="J14" t="n">
        <v>157.25</v>
      </c>
      <c r="K14" t="n">
        <v>6.817</v>
      </c>
      <c r="L14" t="n">
        <v>0</v>
      </c>
      <c r="M14">
        <f>K14+MIN(L14,Assumptions!$H$13)</f>
        <v/>
      </c>
      <c r="N14">
        <f>M14-Assumptions!$I$13</f>
        <v/>
      </c>
      <c r="O14">
        <f>N14-Assumptions!$B$25*Q14</f>
        <v/>
      </c>
      <c r="P14" t="n">
        <v>3</v>
      </c>
      <c r="Q14" t="n">
        <v>3.659</v>
      </c>
      <c r="R14" t="inlineStr">
        <is>
          <t>Wikipedia 'List of American films of 2027' casts (Actions-runner pull 2026-10-08) x comp-based box office/RT estimates; cast lists are billed leads only (cameos not captured)</t>
        </is>
      </c>
      <c r="S14" t="inlineStr">
        <is>
          <t>2026-10-08</t>
        </is>
      </c>
      <c r="T14" s="9" t="inlineStr">
        <is>
          <t>C</t>
        </is>
      </c>
      <c r="U14" t="inlineStr">
        <is>
          <t>[conf C: sd x1.25, p shrink 20%]</t>
        </is>
      </c>
      <c r="V14">
        <f>K14+Assumptions!$J$13*MIN(L14,Assumptions!$H$13)</f>
        <v/>
      </c>
      <c r="W14">
        <f>RANK(V14,$V$5:$V$92)</f>
        <v/>
      </c>
      <c r="Y14">
        <f>N14-IF(T14="C",Assumptions!$B$27,IF(T14="B",Assumptions!$B$26,0))</f>
        <v/>
      </c>
    </row>
    <row r="15">
      <c r="A15" s="19" t="inlineStr">
        <is>
          <t>Rachel Brosnahan</t>
        </is>
      </c>
      <c r="B15" t="inlineStr">
        <is>
          <t>Man of Tomorrow (Jul 9)</t>
        </is>
      </c>
      <c r="G15" t="inlineStr">
        <is>
          <t>Man of Tomorrow (92%)</t>
        </is>
      </c>
      <c r="I15" t="n">
        <v>238.2046</v>
      </c>
      <c r="J15" t="n">
        <v>147.25</v>
      </c>
      <c r="K15" t="n">
        <v>6.571</v>
      </c>
      <c r="L15" t="n">
        <v>0</v>
      </c>
      <c r="M15">
        <f>K15+MIN(L15,Assumptions!$H$13)</f>
        <v/>
      </c>
      <c r="N15">
        <f>M15-Assumptions!$I$13</f>
        <v/>
      </c>
      <c r="O15">
        <f>N15-Assumptions!$B$25*Q15</f>
        <v/>
      </c>
      <c r="P15" t="n">
        <v>3</v>
      </c>
      <c r="Q15" t="n">
        <v>3.55</v>
      </c>
      <c r="R15" t="inlineStr">
        <is>
          <t>Wikipedia 'List of American films of 2027' casts (Actions-runner pull 2026-10-08) x comp-based box office/RT estimates; cast lists are billed leads only (cameos not captured)</t>
        </is>
      </c>
      <c r="S15" t="inlineStr">
        <is>
          <t>2026-10-08</t>
        </is>
      </c>
      <c r="T15" s="9" t="inlineStr">
        <is>
          <t>C</t>
        </is>
      </c>
      <c r="U15" t="inlineStr">
        <is>
          <t>[conf C: sd x1.25, p shrink 20%]</t>
        </is>
      </c>
      <c r="V15">
        <f>K15+Assumptions!$J$13*MIN(L15,Assumptions!$H$13)</f>
        <v/>
      </c>
      <c r="W15">
        <f>RANK(V15,$V$5:$V$92)</f>
        <v/>
      </c>
      <c r="Y15">
        <f>N15-IF(T15="C",Assumptions!$B$27,IF(T15="B",Assumptions!$B$26,0))</f>
        <v/>
      </c>
    </row>
    <row r="16">
      <c r="A16" s="19" t="inlineStr">
        <is>
          <t>Isabela Merced</t>
        </is>
      </c>
      <c r="B16" t="inlineStr">
        <is>
          <t>Man of Tomorrow (Jul 9)</t>
        </is>
      </c>
      <c r="G16" t="inlineStr">
        <is>
          <t>Man of Tomorrow (92%)</t>
        </is>
      </c>
      <c r="I16" t="n">
        <v>238.2046</v>
      </c>
      <c r="J16" t="n">
        <v>147.25</v>
      </c>
      <c r="K16" t="n">
        <v>6.535</v>
      </c>
      <c r="L16" t="n">
        <v>0</v>
      </c>
      <c r="M16">
        <f>K16+MIN(L16,Assumptions!$H$13)</f>
        <v/>
      </c>
      <c r="N16">
        <f>M16-Assumptions!$I$13</f>
        <v/>
      </c>
      <c r="O16">
        <f>N16-Assumptions!$B$25*Q16</f>
        <v/>
      </c>
      <c r="P16" t="n">
        <v>3</v>
      </c>
      <c r="Q16" t="n">
        <v>3.545</v>
      </c>
      <c r="R16" t="inlineStr">
        <is>
          <t>Wikipedia 'List of American films of 2027' casts (Actions-runner pull 2026-10-08) x comp-based box office/RT estimates; cast lists are billed leads only (cameos not captured)</t>
        </is>
      </c>
      <c r="S16" t="inlineStr">
        <is>
          <t>2026-10-08</t>
        </is>
      </c>
      <c r="T16" s="9" t="inlineStr">
        <is>
          <t>C</t>
        </is>
      </c>
      <c r="U16" t="inlineStr">
        <is>
          <t>[conf C: sd x1.25, p shrink 20%]</t>
        </is>
      </c>
      <c r="V16">
        <f>K16+Assumptions!$J$13*MIN(L16,Assumptions!$H$13)</f>
        <v/>
      </c>
      <c r="W16">
        <f>RANK(V16,$V$5:$V$92)</f>
        <v/>
      </c>
      <c r="Y16">
        <f>N16-IF(T16="C",Assumptions!$B$27,IF(T16="B",Assumptions!$B$26,0))</f>
        <v/>
      </c>
    </row>
    <row r="17">
      <c r="A17" s="19" t="inlineStr">
        <is>
          <t>Sara Sampaio</t>
        </is>
      </c>
      <c r="B17" t="inlineStr">
        <is>
          <t>Man of Tomorrow (Jul 9)</t>
        </is>
      </c>
      <c r="G17" t="inlineStr">
        <is>
          <t>Man of Tomorrow (92%)</t>
        </is>
      </c>
      <c r="I17" t="n">
        <v>238.2046</v>
      </c>
      <c r="J17" t="n">
        <v>147.25</v>
      </c>
      <c r="K17" t="n">
        <v>6.519</v>
      </c>
      <c r="L17" t="n">
        <v>0</v>
      </c>
      <c r="M17">
        <f>K17+MIN(L17,Assumptions!$H$13)</f>
        <v/>
      </c>
      <c r="N17">
        <f>M17-Assumptions!$I$13</f>
        <v/>
      </c>
      <c r="O17">
        <f>N17-Assumptions!$B$25*Q17</f>
        <v/>
      </c>
      <c r="P17" t="n">
        <v>3</v>
      </c>
      <c r="Q17" t="n">
        <v>3.522</v>
      </c>
      <c r="R17" t="inlineStr">
        <is>
          <t>Wikipedia 'List of American films of 2027' casts (Actions-runner pull 2026-10-08) x comp-based box office/RT estimates; cast lists are billed leads only (cameos not captured)</t>
        </is>
      </c>
      <c r="S17" t="inlineStr">
        <is>
          <t>2026-10-08</t>
        </is>
      </c>
      <c r="T17" s="9" t="inlineStr">
        <is>
          <t>C</t>
        </is>
      </c>
      <c r="U17" t="inlineStr">
        <is>
          <t>[conf C: sd x1.25, p shrink 20%]</t>
        </is>
      </c>
      <c r="V17">
        <f>K17+Assumptions!$J$13*MIN(L17,Assumptions!$H$13)</f>
        <v/>
      </c>
      <c r="W17">
        <f>RANK(V17,$V$5:$V$92)</f>
        <v/>
      </c>
      <c r="Y17">
        <f>N17-IF(T17="C",Assumptions!$B$27,IF(T17="B",Assumptions!$B$26,0))</f>
        <v/>
      </c>
    </row>
    <row r="18">
      <c r="A18" t="inlineStr">
        <is>
          <t>María Gabriela de Faría</t>
        </is>
      </c>
      <c r="B18" t="inlineStr">
        <is>
          <t>Man of Tomorrow (Jul 9)</t>
        </is>
      </c>
      <c r="G18" t="inlineStr">
        <is>
          <t>Man of Tomorrow (92%)</t>
        </is>
      </c>
      <c r="I18" t="n">
        <v>238.2046</v>
      </c>
      <c r="J18" t="n">
        <v>147.25</v>
      </c>
      <c r="K18" t="n">
        <v>6.513</v>
      </c>
      <c r="L18" t="n">
        <v>0</v>
      </c>
      <c r="M18">
        <f>K18+MIN(L18,Assumptions!$H$13)</f>
        <v/>
      </c>
      <c r="N18">
        <f>M18-Assumptions!$I$13</f>
        <v/>
      </c>
      <c r="O18">
        <f>N18-Assumptions!$B$25*Q18</f>
        <v/>
      </c>
      <c r="P18" t="n">
        <v>4</v>
      </c>
      <c r="Q18" t="n">
        <v>3.524</v>
      </c>
      <c r="R18" t="inlineStr">
        <is>
          <t>Wikipedia 'List of American films of 2027' casts (Actions-runner pull 2026-10-08) x comp-based box office/RT estimates; cast lists are billed leads only (cameos not captured)</t>
        </is>
      </c>
      <c r="S18" t="inlineStr">
        <is>
          <t>2026-10-08</t>
        </is>
      </c>
      <c r="T18" s="9" t="inlineStr">
        <is>
          <t>C</t>
        </is>
      </c>
      <c r="U18" t="inlineStr">
        <is>
          <t>[conf C: sd x1.25, p shrink 20%]</t>
        </is>
      </c>
      <c r="V18">
        <f>K18+Assumptions!$J$13*MIN(L18,Assumptions!$H$13)</f>
        <v/>
      </c>
      <c r="W18">
        <f>RANK(V18,$V$5:$V$92)</f>
        <v/>
      </c>
      <c r="Y18">
        <f>N18-IF(T18="C",Assumptions!$B$27,IF(T18="B",Assumptions!$B$26,0))</f>
        <v/>
      </c>
    </row>
    <row r="19">
      <c r="A19" t="inlineStr">
        <is>
          <t>Milly Alcock</t>
        </is>
      </c>
      <c r="B19" t="inlineStr">
        <is>
          <t>Man of Tomorrow (Jul 9)</t>
        </is>
      </c>
      <c r="G19" t="inlineStr">
        <is>
          <t>Man of Tomorrow (92%)</t>
        </is>
      </c>
      <c r="I19" t="n">
        <v>238.2046</v>
      </c>
      <c r="J19" t="n">
        <v>147.25</v>
      </c>
      <c r="K19" t="n">
        <v>6.506</v>
      </c>
      <c r="L19" t="n">
        <v>0</v>
      </c>
      <c r="M19">
        <f>K19+MIN(L19,Assumptions!$H$13)</f>
        <v/>
      </c>
      <c r="N19">
        <f>M19-Assumptions!$I$13</f>
        <v/>
      </c>
      <c r="O19">
        <f>N19-Assumptions!$B$25*Q19</f>
        <v/>
      </c>
      <c r="P19" t="n">
        <v>4</v>
      </c>
      <c r="Q19" t="n">
        <v>3.547</v>
      </c>
      <c r="R19" t="inlineStr">
        <is>
          <t>Wikipedia 'List of American films of 2027' casts (Actions-runner pull 2026-10-08) x comp-based box office/RT estimates; cast lists are billed leads only (cameos not captured)</t>
        </is>
      </c>
      <c r="S19" t="inlineStr">
        <is>
          <t>2026-10-08</t>
        </is>
      </c>
      <c r="T19" s="9" t="inlineStr">
        <is>
          <t>C</t>
        </is>
      </c>
      <c r="U19" t="inlineStr">
        <is>
          <t>[conf C: sd x1.25, p shrink 20%]</t>
        </is>
      </c>
      <c r="V19">
        <f>K19+Assumptions!$J$13*MIN(L19,Assumptions!$H$13)</f>
        <v/>
      </c>
      <c r="W19">
        <f>RANK(V19,$V$5:$V$92)</f>
        <v/>
      </c>
      <c r="Y19">
        <f>N19-IF(T19="C",Assumptions!$B$27,IF(T19="B",Assumptions!$B$26,0))</f>
        <v/>
      </c>
    </row>
    <row r="20">
      <c r="A20" t="inlineStr">
        <is>
          <t>Idina Menzel</t>
        </is>
      </c>
      <c r="B20" t="inlineStr">
        <is>
          <t>Frozen 3 (Nov 24)</t>
        </is>
      </c>
      <c r="G20" t="inlineStr">
        <is>
          <t>Frozen 3 (93%)</t>
        </is>
      </c>
      <c r="I20" t="n">
        <v>236.5846</v>
      </c>
      <c r="J20" t="n">
        <v>146</v>
      </c>
      <c r="K20" t="n">
        <v>6.444</v>
      </c>
      <c r="L20" t="n">
        <v>0</v>
      </c>
      <c r="M20">
        <f>K20+MIN(L20,Assumptions!$H$13)</f>
        <v/>
      </c>
      <c r="N20">
        <f>M20-Assumptions!$I$13</f>
        <v/>
      </c>
      <c r="O20">
        <f>N20-Assumptions!$B$25*Q20</f>
        <v/>
      </c>
      <c r="P20" t="n">
        <v>4</v>
      </c>
      <c r="Q20" t="n">
        <v>3.496</v>
      </c>
      <c r="R20" t="inlineStr">
        <is>
          <t>Wikipedia 'List of American films of 2027' casts (Actions-runner pull 2026-10-08) x comp-based box office/RT estimates; cast lists are billed leads only (cameos not captured)</t>
        </is>
      </c>
      <c r="S20" t="inlineStr">
        <is>
          <t>2026-10-08</t>
        </is>
      </c>
      <c r="T20" s="9" t="inlineStr">
        <is>
          <t>C</t>
        </is>
      </c>
      <c r="U20" t="inlineStr">
        <is>
          <t>[conf C: sd x1.25, p shrink 20%]</t>
        </is>
      </c>
      <c r="V20">
        <f>K20+Assumptions!$J$13*MIN(L20,Assumptions!$H$13)</f>
        <v/>
      </c>
      <c r="W20">
        <f>RANK(V20,$V$5:$V$92)</f>
        <v/>
      </c>
      <c r="Y20">
        <f>N20-IF(T20="C",Assumptions!$B$27,IF(T20="B",Assumptions!$B$26,0))</f>
        <v/>
      </c>
    </row>
    <row r="21">
      <c r="A21" t="inlineStr">
        <is>
          <t>Zendaya</t>
        </is>
      </c>
      <c r="B21" t="inlineStr">
        <is>
          <t>Shrek 5 (Jun 30)</t>
        </is>
      </c>
      <c r="D21" t="n">
        <v>0.145</v>
      </c>
      <c r="E21" t="n">
        <v>0.05</v>
      </c>
      <c r="F21" t="inlineStr">
        <is>
          <t>Best Supporting Actress: Dune: Part Three / Spider-Man: BND (2026 releases) (nom 14%, win 5%)</t>
        </is>
      </c>
      <c r="G21" t="inlineStr">
        <is>
          <t>Shrek 5 (90%)</t>
        </is>
      </c>
      <c r="I21" t="n">
        <v>202.4746</v>
      </c>
      <c r="J21" t="n">
        <v>122.375</v>
      </c>
      <c r="K21" t="n">
        <v>5.66</v>
      </c>
      <c r="L21" t="n">
        <v>0.6879999999999999</v>
      </c>
      <c r="M21">
        <f>K21+MIN(L21,Assumptions!$H$13)</f>
        <v/>
      </c>
      <c r="N21">
        <f>M21-Assumptions!$I$13</f>
        <v/>
      </c>
      <c r="O21">
        <f>N21-Assumptions!$B$25*Q21</f>
        <v/>
      </c>
      <c r="P21" t="n">
        <v>4</v>
      </c>
      <c r="Q21" t="n">
        <v>3.178</v>
      </c>
      <c r="R21" t="inlineStr">
        <is>
          <t>Wikipedia 'List of American films of 2027' casts (Actions-runner pull 2026-10-08) x comp-based box office/RT estimates; cast lists are billed leads only (cameos not captured)</t>
        </is>
      </c>
      <c r="S21" t="inlineStr">
        <is>
          <t>2026-10-08</t>
        </is>
      </c>
      <c r="T21" s="9" t="inlineStr">
        <is>
          <t>C</t>
        </is>
      </c>
      <c r="U21" t="inlineStr">
        <is>
          <t>Shrek 5 voice (Jun 30). Spider-Man BND and Dune 3 are 2026 -&gt; 0  [conf C: sd x1.25, p shrink 20%]</t>
        </is>
      </c>
      <c r="V21">
        <f>K21+Assumptions!$J$13*MIN(L21,Assumptions!$H$13)</f>
        <v/>
      </c>
      <c r="W21">
        <f>RANK(V21,$V$5:$V$92)</f>
        <v/>
      </c>
      <c r="X21" s="16" t="inlineStr">
        <is>
          <t>Wu</t>
        </is>
      </c>
      <c r="Y21">
        <f>N21-IF(T21="C",Assumptions!$B$27,IF(T21="B",Assumptions!$B$26,0))</f>
        <v/>
      </c>
    </row>
    <row r="22">
      <c r="A22" t="inlineStr">
        <is>
          <t>Amanda Seyfried</t>
        </is>
      </c>
      <c r="B22" t="inlineStr">
        <is>
          <t>no 2027 film found in Wikipedia's cast lists</t>
        </is>
      </c>
      <c r="D22" t="n">
        <v>0.62</v>
      </c>
      <c r="E22" t="n">
        <v>0.43</v>
      </c>
      <c r="F22" t="inlineStr">
        <is>
          <t>Best Supporting Actress: ? (nom 62%, win 43%)</t>
        </is>
      </c>
      <c r="I22" t="n">
        <v>26.2546</v>
      </c>
      <c r="J22" t="n">
        <v>10</v>
      </c>
      <c r="K22" t="n">
        <v>1.929</v>
      </c>
      <c r="L22" t="n">
        <v>4.345</v>
      </c>
      <c r="M22">
        <f>K22+MIN(L22,Assumptions!$H$13)</f>
        <v/>
      </c>
      <c r="N22">
        <f>M22-Assumptions!$I$13</f>
        <v/>
      </c>
      <c r="O22">
        <f>N22-Assumptions!$B$25*Q22</f>
        <v/>
      </c>
      <c r="P22" t="n">
        <v>4</v>
      </c>
      <c r="Q22" t="n">
        <v>0.927</v>
      </c>
      <c r="R22" t="inlineStr">
        <is>
          <t>Wikipedia 'List of American films of 2027' casts (Actions-runner pull 2026-10-08) x comp-based box office/RT estimates; cast lists are billed leads only (cameos not captured)</t>
        </is>
      </c>
      <c r="S22" t="inlineStr">
        <is>
          <t>2026-10-08</t>
        </is>
      </c>
      <c r="T22" s="9" t="inlineStr">
        <is>
          <t>C</t>
        </is>
      </c>
      <c r="U22" t="inlineStr">
        <is>
          <t>[conf C: sd x1.25, p shrink 20%]</t>
        </is>
      </c>
      <c r="V22">
        <f>K22+Assumptions!$J$13*MIN(L22,Assumptions!$H$13)</f>
        <v/>
      </c>
      <c r="W22">
        <f>RANK(V22,$V$5:$V$92)</f>
        <v/>
      </c>
      <c r="X22" s="16" t="inlineStr">
        <is>
          <t>Jens</t>
        </is>
      </c>
      <c r="Y22">
        <f>N22-IF(T22="C",Assumptions!$B$27,IF(T22="B",Assumptions!$B$26,0))</f>
        <v/>
      </c>
    </row>
    <row r="23">
      <c r="A23" t="inlineStr">
        <is>
          <t>Cameron Diaz</t>
        </is>
      </c>
      <c r="B23" t="inlineStr">
        <is>
          <t>Shrek 5 (Jun 30)</t>
        </is>
      </c>
      <c r="G23" t="inlineStr">
        <is>
          <t>Shrek 5 (90%)</t>
        </is>
      </c>
      <c r="I23" t="n">
        <v>202.4746</v>
      </c>
      <c r="J23" t="n">
        <v>122.375</v>
      </c>
      <c r="K23" t="n">
        <v>5.642</v>
      </c>
      <c r="L23" t="n">
        <v>0</v>
      </c>
      <c r="M23">
        <f>K23+MIN(L23,Assumptions!$H$13)</f>
        <v/>
      </c>
      <c r="N23">
        <f>M23-Assumptions!$I$13</f>
        <v/>
      </c>
      <c r="O23">
        <f>N23-Assumptions!$B$25*Q23</f>
        <v/>
      </c>
      <c r="P23" t="n">
        <v>4</v>
      </c>
      <c r="Q23" t="n">
        <v>3.133</v>
      </c>
      <c r="R23" t="inlineStr">
        <is>
          <t>Wikipedia 'List of American films of 2027' casts (Actions-runner pull 2026-10-08) x comp-based box office/RT estimates; cast lists are billed leads only (cameos not captured)</t>
        </is>
      </c>
      <c r="S23" t="inlineStr">
        <is>
          <t>2026-10-08</t>
        </is>
      </c>
      <c r="T23" s="9" t="inlineStr">
        <is>
          <t>C</t>
        </is>
      </c>
      <c r="U23" t="inlineStr">
        <is>
          <t>[conf C: sd x1.25, p shrink 20%]</t>
        </is>
      </c>
      <c r="V23">
        <f>K23+Assumptions!$J$13*MIN(L23,Assumptions!$H$13)</f>
        <v/>
      </c>
      <c r="W23">
        <f>RANK(V23,$V$5:$V$92)</f>
        <v/>
      </c>
      <c r="Y23">
        <f>N23-IF(T23="C",Assumptions!$B$27,IF(T23="B",Assumptions!$B$26,0))</f>
        <v/>
      </c>
    </row>
    <row r="24">
      <c r="A24" t="inlineStr">
        <is>
          <t>Yvonne Strahovski</t>
        </is>
      </c>
      <c r="B24" t="inlineStr">
        <is>
          <t>The Legend of Zelda (Apr 30)</t>
        </is>
      </c>
      <c r="G24" t="inlineStr">
        <is>
          <t>The Legend of Zelda (92%)</t>
        </is>
      </c>
      <c r="I24" t="n">
        <v>190.5046</v>
      </c>
      <c r="J24" t="n">
        <v>114</v>
      </c>
      <c r="K24" t="n">
        <v>5.39</v>
      </c>
      <c r="L24" t="n">
        <v>0</v>
      </c>
      <c r="M24">
        <f>K24+MIN(L24,Assumptions!$H$13)</f>
        <v/>
      </c>
      <c r="N24">
        <f>M24-Assumptions!$I$13</f>
        <v/>
      </c>
      <c r="O24">
        <f>N24-Assumptions!$B$25*Q24</f>
        <v/>
      </c>
      <c r="P24" t="n">
        <v>4</v>
      </c>
      <c r="Q24" t="n">
        <v>3.024</v>
      </c>
      <c r="R24" t="inlineStr">
        <is>
          <t>Wikipedia 'List of American films of 2027' casts (Actions-runner pull 2026-10-08) x comp-based box office/RT estimates; cast lists are billed leads only (cameos not captured)</t>
        </is>
      </c>
      <c r="S24" t="inlineStr">
        <is>
          <t>2026-10-08</t>
        </is>
      </c>
      <c r="T24" s="9" t="inlineStr">
        <is>
          <t>C</t>
        </is>
      </c>
      <c r="U24" t="inlineStr">
        <is>
          <t>[conf C: sd x1.25, p shrink 20%]</t>
        </is>
      </c>
      <c r="V24">
        <f>K24+Assumptions!$J$13*MIN(L24,Assumptions!$H$13)</f>
        <v/>
      </c>
      <c r="W24">
        <f>RANK(V24,$V$5:$V$92)</f>
        <v/>
      </c>
      <c r="Y24">
        <f>N24-IF(T24="C",Assumptions!$B$27,IF(T24="B",Assumptions!$B$26,0))</f>
        <v/>
      </c>
    </row>
    <row r="25">
      <c r="A25" t="inlineStr">
        <is>
          <t>Lydia Peckham</t>
        </is>
      </c>
      <c r="B25" t="inlineStr">
        <is>
          <t>The Legend of Zelda (Apr 30)</t>
        </is>
      </c>
      <c r="G25" t="inlineStr">
        <is>
          <t>The Legend of Zelda (92%)</t>
        </is>
      </c>
      <c r="I25" t="n">
        <v>190.5046</v>
      </c>
      <c r="J25" t="n">
        <v>114</v>
      </c>
      <c r="K25" t="n">
        <v>5.356</v>
      </c>
      <c r="L25" t="n">
        <v>0</v>
      </c>
      <c r="M25">
        <f>K25+MIN(L25,Assumptions!$H$13)</f>
        <v/>
      </c>
      <c r="N25">
        <f>M25-Assumptions!$I$13</f>
        <v/>
      </c>
      <c r="O25">
        <f>N25-Assumptions!$B$25*Q25</f>
        <v/>
      </c>
      <c r="P25" t="n">
        <v>4</v>
      </c>
      <c r="Q25" t="n">
        <v>2.967</v>
      </c>
      <c r="R25" t="inlineStr">
        <is>
          <t>Wikipedia 'List of American films of 2027' casts (Actions-runner pull 2026-10-08) x comp-based box office/RT estimates; cast lists are billed leads only (cameos not captured)</t>
        </is>
      </c>
      <c r="S25" t="inlineStr">
        <is>
          <t>2026-10-08</t>
        </is>
      </c>
      <c r="T25" s="9" t="inlineStr">
        <is>
          <t>C</t>
        </is>
      </c>
      <c r="U25" t="inlineStr">
        <is>
          <t>[conf C: sd x1.25, p shrink 20%]</t>
        </is>
      </c>
      <c r="V25">
        <f>K25+Assumptions!$J$13*MIN(L25,Assumptions!$H$13)</f>
        <v/>
      </c>
      <c r="W25">
        <f>RANK(V25,$V$5:$V$92)</f>
        <v/>
      </c>
      <c r="Y25">
        <f>N25-IF(T25="C",Assumptions!$B$27,IF(T25="B",Assumptions!$B$26,0))</f>
        <v/>
      </c>
    </row>
    <row r="26">
      <c r="A26" t="inlineStr">
        <is>
          <t>Dichen Lachman</t>
        </is>
      </c>
      <c r="B26" t="inlineStr">
        <is>
          <t>The Legend of Zelda (Apr 30)</t>
        </is>
      </c>
      <c r="G26" t="inlineStr">
        <is>
          <t>The Legend of Zelda (92%)</t>
        </is>
      </c>
      <c r="I26" t="n">
        <v>190.5046</v>
      </c>
      <c r="J26" t="n">
        <v>114</v>
      </c>
      <c r="K26" t="n">
        <v>5.329</v>
      </c>
      <c r="L26" t="n">
        <v>0</v>
      </c>
      <c r="M26">
        <f>K26+MIN(L26,Assumptions!$H$13)</f>
        <v/>
      </c>
      <c r="N26">
        <f>M26-Assumptions!$I$13</f>
        <v/>
      </c>
      <c r="O26">
        <f>N26-Assumptions!$B$25*Q26</f>
        <v/>
      </c>
      <c r="P26" t="n">
        <v>4</v>
      </c>
      <c r="Q26" t="n">
        <v>2.999</v>
      </c>
      <c r="R26" t="inlineStr">
        <is>
          <t>Wikipedia 'List of American films of 2027' casts (Actions-runner pull 2026-10-08) x comp-based box office/RT estimates; cast lists are billed leads only (cameos not captured)</t>
        </is>
      </c>
      <c r="S26" t="inlineStr">
        <is>
          <t>2026-10-08</t>
        </is>
      </c>
      <c r="T26" s="9" t="inlineStr">
        <is>
          <t>C</t>
        </is>
      </c>
      <c r="U26" t="inlineStr">
        <is>
          <t>[conf C: sd x1.25, p shrink 20%]</t>
        </is>
      </c>
      <c r="V26">
        <f>K26+Assumptions!$J$13*MIN(L26,Assumptions!$H$13)</f>
        <v/>
      </c>
      <c r="W26">
        <f>RANK(V26,$V$5:$V$92)</f>
        <v/>
      </c>
      <c r="Y26">
        <f>N26-IF(T26="C",Assumptions!$B$27,IF(T26="B",Assumptions!$B$26,0))</f>
        <v/>
      </c>
    </row>
    <row r="27">
      <c r="A27" t="inlineStr">
        <is>
          <t>Bo Bragason</t>
        </is>
      </c>
      <c r="B27" t="inlineStr">
        <is>
          <t>The Legend of Zelda (Apr 30)</t>
        </is>
      </c>
      <c r="G27" t="inlineStr">
        <is>
          <t>The Legend of Zelda (92%)</t>
        </is>
      </c>
      <c r="I27" t="n">
        <v>190.5046</v>
      </c>
      <c r="J27" t="n">
        <v>114</v>
      </c>
      <c r="K27" t="n">
        <v>5.315</v>
      </c>
      <c r="L27" t="n">
        <v>0</v>
      </c>
      <c r="M27">
        <f>K27+MIN(L27,Assumptions!$H$13)</f>
        <v/>
      </c>
      <c r="N27">
        <f>M27-Assumptions!$I$13</f>
        <v/>
      </c>
      <c r="O27">
        <f>N27-Assumptions!$B$25*Q27</f>
        <v/>
      </c>
      <c r="P27" t="n">
        <v>4</v>
      </c>
      <c r="Q27" t="n">
        <v>3.011</v>
      </c>
      <c r="R27" t="inlineStr">
        <is>
          <t>Wikipedia 'List of American films of 2027' casts (Actions-runner pull 2026-10-08) x comp-based box office/RT estimates; cast lists are billed leads only (cameos not captured)</t>
        </is>
      </c>
      <c r="S27" t="inlineStr">
        <is>
          <t>2026-10-08</t>
        </is>
      </c>
      <c r="T27" s="9" t="inlineStr">
        <is>
          <t>C</t>
        </is>
      </c>
      <c r="U27" t="inlineStr">
        <is>
          <t>[conf C: sd x1.25, p shrink 20%]</t>
        </is>
      </c>
      <c r="V27">
        <f>K27+Assumptions!$J$13*MIN(L27,Assumptions!$H$13)</f>
        <v/>
      </c>
      <c r="W27">
        <f>RANK(V27,$V$5:$V$92)</f>
        <v/>
      </c>
      <c r="Y27">
        <f>N27-IF(T27="C",Assumptions!$B$27,IF(T27="B",Assumptions!$B$26,0))</f>
        <v/>
      </c>
    </row>
    <row r="28">
      <c r="A28" t="inlineStr">
        <is>
          <t>Nico Parker</t>
        </is>
      </c>
      <c r="B28" t="inlineStr">
        <is>
          <t>How to Train Your Dragon 2 (Jun 11)</t>
        </is>
      </c>
      <c r="G28" t="inlineStr">
        <is>
          <t>How to Train Your Dragon 2 (92%)</t>
        </is>
      </c>
      <c r="I28" t="n">
        <v>187.7146</v>
      </c>
      <c r="J28" t="n">
        <v>112.125</v>
      </c>
      <c r="K28" t="n">
        <v>5.277</v>
      </c>
      <c r="L28" t="n">
        <v>0</v>
      </c>
      <c r="M28">
        <f>K28+MIN(L28,Assumptions!$H$13)</f>
        <v/>
      </c>
      <c r="N28">
        <f>M28-Assumptions!$I$13</f>
        <v/>
      </c>
      <c r="O28">
        <f>N28-Assumptions!$B$25*Q28</f>
        <v/>
      </c>
      <c r="P28" t="n">
        <v>4</v>
      </c>
      <c r="Q28" t="n">
        <v>2.956</v>
      </c>
      <c r="R28" t="inlineStr">
        <is>
          <t>Wikipedia 'List of American films of 2027' casts (Actions-runner pull 2026-10-08) x comp-based box office/RT estimates; cast lists are billed leads only (cameos not captured)</t>
        </is>
      </c>
      <c r="S28" t="inlineStr">
        <is>
          <t>2026-10-08</t>
        </is>
      </c>
      <c r="T28" s="9" t="inlineStr">
        <is>
          <t>C</t>
        </is>
      </c>
      <c r="U28" t="inlineStr">
        <is>
          <t>[conf C: sd x1.25, p shrink 20%]</t>
        </is>
      </c>
      <c r="V28">
        <f>K28+Assumptions!$J$13*MIN(L28,Assumptions!$H$13)</f>
        <v/>
      </c>
      <c r="W28">
        <f>RANK(V28,$V$5:$V$92)</f>
        <v/>
      </c>
      <c r="Y28">
        <f>N28-IF(T28="C",Assumptions!$B$27,IF(T28="B",Assumptions!$B$26,0))</f>
        <v/>
      </c>
    </row>
    <row r="29">
      <c r="A29" t="inlineStr">
        <is>
          <t>Cate Blanchett</t>
        </is>
      </c>
      <c r="B29" t="inlineStr">
        <is>
          <t>How to Train Your Dragon 2 (Jun 11)</t>
        </is>
      </c>
      <c r="G29" t="inlineStr">
        <is>
          <t>How to Train Your Dragon 2 (92%)</t>
        </is>
      </c>
      <c r="I29" t="n">
        <v>187.7146</v>
      </c>
      <c r="J29" t="n">
        <v>112.125</v>
      </c>
      <c r="K29" t="n">
        <v>5.258</v>
      </c>
      <c r="L29" t="n">
        <v>0</v>
      </c>
      <c r="M29">
        <f>K29+MIN(L29,Assumptions!$H$13)</f>
        <v/>
      </c>
      <c r="N29">
        <f>M29-Assumptions!$I$13</f>
        <v/>
      </c>
      <c r="O29">
        <f>N29-Assumptions!$B$25*Q29</f>
        <v/>
      </c>
      <c r="P29" t="n">
        <v>4</v>
      </c>
      <c r="Q29" t="n">
        <v>2.966</v>
      </c>
      <c r="R29" t="inlineStr">
        <is>
          <t>Wikipedia 'List of American films of 2027' casts (Actions-runner pull 2026-10-08) x comp-based box office/RT estimates; cast lists are billed leads only (cameos not captured)</t>
        </is>
      </c>
      <c r="S29" t="inlineStr">
        <is>
          <t>2026-10-08</t>
        </is>
      </c>
      <c r="T29" s="9" t="inlineStr">
        <is>
          <t>C</t>
        </is>
      </c>
      <c r="U29" t="inlineStr">
        <is>
          <t>[conf C: sd x1.25, p shrink 20%]</t>
        </is>
      </c>
      <c r="V29">
        <f>K29+Assumptions!$J$13*MIN(L29,Assumptions!$H$13)</f>
        <v/>
      </c>
      <c r="W29">
        <f>RANK(V29,$V$5:$V$92)</f>
        <v/>
      </c>
      <c r="Y29">
        <f>N29-IF(T29="C",Assumptions!$B$27,IF(T29="B",Assumptions!$B$26,0))</f>
        <v/>
      </c>
    </row>
    <row r="30">
      <c r="A30" t="inlineStr">
        <is>
          <t>Sandra Hüller</t>
        </is>
      </c>
      <c r="B30" t="inlineStr">
        <is>
          <t>no 2027 film found in Wikipedia's cast lists</t>
        </is>
      </c>
      <c r="D30" t="n">
        <v>0.62</v>
      </c>
      <c r="E30" t="n">
        <v>0.035</v>
      </c>
      <c r="F30" t="inlineStr">
        <is>
          <t>Best Actress: Rose (nom 62%, win 3%); Best Supporting Actress: ? (nom 16%, win 1%)</t>
        </is>
      </c>
      <c r="I30" t="n">
        <v>26.2546</v>
      </c>
      <c r="J30" t="n">
        <v>10</v>
      </c>
      <c r="K30" t="n">
        <v>1.911</v>
      </c>
      <c r="L30" t="n">
        <v>3.272</v>
      </c>
      <c r="M30">
        <f>K30+MIN(L30,Assumptions!$H$13)</f>
        <v/>
      </c>
      <c r="N30">
        <f>M30-Assumptions!$I$13</f>
        <v/>
      </c>
      <c r="O30">
        <f>N30-Assumptions!$B$25*Q30</f>
        <v/>
      </c>
      <c r="P30" t="n">
        <v>4</v>
      </c>
      <c r="Q30" t="n">
        <v>0.917</v>
      </c>
      <c r="R30" t="inlineStr">
        <is>
          <t>Wikipedia 'List of American films of 2027' casts (Actions-runner pull 2026-10-08) x comp-based box office/RT estimates; cast lists are billed leads only (cameos not captured)</t>
        </is>
      </c>
      <c r="S30" t="inlineStr">
        <is>
          <t>2026-10-08</t>
        </is>
      </c>
      <c r="T30" s="9" t="inlineStr">
        <is>
          <t>C</t>
        </is>
      </c>
      <c r="U30" t="inlineStr">
        <is>
          <t>[conf C: sd x1.25, p shrink 20%]</t>
        </is>
      </c>
      <c r="V30">
        <f>K30+Assumptions!$J$13*MIN(L30,Assumptions!$H$13)</f>
        <v/>
      </c>
      <c r="W30">
        <f>RANK(V30,$V$5:$V$92)</f>
        <v/>
      </c>
      <c r="Y30">
        <f>N30-IF(T30="C",Assumptions!$B$27,IF(T30="B",Assumptions!$B$26,0))</f>
        <v/>
      </c>
    </row>
    <row r="31">
      <c r="A31" t="inlineStr">
        <is>
          <t>Olivia Wilde</t>
        </is>
      </c>
      <c r="B31" t="inlineStr">
        <is>
          <t>no 2027 film found in Wikipedia's cast lists</t>
        </is>
      </c>
      <c r="D31" t="n">
        <v>0.73</v>
      </c>
      <c r="E31" t="n">
        <v>0.01</v>
      </c>
      <c r="F31" t="inlineStr">
        <is>
          <t>Best Actress: The Invite (nom 73%, win 1%)</t>
        </is>
      </c>
      <c r="I31" t="n">
        <v>26.2546</v>
      </c>
      <c r="J31" t="n">
        <v>10</v>
      </c>
      <c r="K31" t="n">
        <v>1.898</v>
      </c>
      <c r="L31" t="n">
        <v>3.01</v>
      </c>
      <c r="M31">
        <f>K31+MIN(L31,Assumptions!$H$13)</f>
        <v/>
      </c>
      <c r="N31">
        <f>M31-Assumptions!$I$13</f>
        <v/>
      </c>
      <c r="O31">
        <f>N31-Assumptions!$B$25*Q31</f>
        <v/>
      </c>
      <c r="P31" t="n">
        <v>4</v>
      </c>
      <c r="Q31" t="n">
        <v>0.921</v>
      </c>
      <c r="R31" t="inlineStr">
        <is>
          <t>Wikipedia 'List of American films of 2027' casts (Actions-runner pull 2026-10-08) x comp-based box office/RT estimates; cast lists are billed leads only (cameos not captured)</t>
        </is>
      </c>
      <c r="S31" t="inlineStr">
        <is>
          <t>2026-10-08</t>
        </is>
      </c>
      <c r="T31" s="9" t="inlineStr">
        <is>
          <t>C</t>
        </is>
      </c>
      <c r="U31" t="inlineStr">
        <is>
          <t>[conf C: sd x1.25, p shrink 20%]</t>
        </is>
      </c>
      <c r="V31">
        <f>K31+Assumptions!$J$13*MIN(L31,Assumptions!$H$13)</f>
        <v/>
      </c>
      <c r="W31">
        <f>RANK(V31,$V$5:$V$92)</f>
        <v/>
      </c>
      <c r="Y31">
        <f>N31-IF(T31="C",Assumptions!$B$27,IF(T31="B",Assumptions!$B$26,0))</f>
        <v/>
      </c>
    </row>
    <row r="32">
      <c r="A32" t="inlineStr">
        <is>
          <t>Kirsten Dunst</t>
        </is>
      </c>
      <c r="B32" t="inlineStr">
        <is>
          <t>A Minecraft Movie Squared (Jul 23); The Housemaid's Secret (Dec 17)</t>
        </is>
      </c>
      <c r="G32" t="inlineStr">
        <is>
          <t>A Minecraft Movie Squared (90%); The Housemaid's Secret (75%)</t>
        </is>
      </c>
      <c r="I32" t="n">
        <v>172.8646</v>
      </c>
      <c r="J32" t="n">
        <v>101.875</v>
      </c>
      <c r="K32" t="n">
        <v>4.892</v>
      </c>
      <c r="L32" t="n">
        <v>0</v>
      </c>
      <c r="M32">
        <f>K32+MIN(L32,Assumptions!$H$13)</f>
        <v/>
      </c>
      <c r="N32">
        <f>M32-Assumptions!$I$13</f>
        <v/>
      </c>
      <c r="O32">
        <f>N32-Assumptions!$B$25*Q32</f>
        <v/>
      </c>
      <c r="P32" t="n">
        <v>4</v>
      </c>
      <c r="Q32" t="n">
        <v>2.747</v>
      </c>
      <c r="R32" t="inlineStr">
        <is>
          <t>Wikipedia 'List of American films of 2027' casts (Actions-runner pull 2026-10-08) x comp-based box office/RT estimates; cast lists are billed leads only (cameos not captured)</t>
        </is>
      </c>
      <c r="S32" t="inlineStr">
        <is>
          <t>2026-10-08</t>
        </is>
      </c>
      <c r="T32" s="9" t="inlineStr">
        <is>
          <t>C</t>
        </is>
      </c>
      <c r="U32" t="inlineStr">
        <is>
          <t>[conf C: sd x1.25, p shrink 20%]</t>
        </is>
      </c>
      <c r="V32">
        <f>K32+Assumptions!$J$13*MIN(L32,Assumptions!$H$13)</f>
        <v/>
      </c>
      <c r="W32">
        <f>RANK(V32,$V$5:$V$92)</f>
        <v/>
      </c>
      <c r="Y32">
        <f>N32-IF(T32="C",Assumptions!$B$27,IF(T32="B",Assumptions!$B$26,0))</f>
        <v/>
      </c>
    </row>
    <row r="33">
      <c r="A33" t="inlineStr">
        <is>
          <t>Colleen O'Shaughnessey</t>
        </is>
      </c>
      <c r="B33" t="inlineStr">
        <is>
          <t>Sonic the Hedgehog 4 (Mar 19)</t>
        </is>
      </c>
      <c r="G33" t="inlineStr">
        <is>
          <t>Sonic the Hedgehog 4 (95%)</t>
        </is>
      </c>
      <c r="I33" t="n">
        <v>171.6046</v>
      </c>
      <c r="J33" t="n">
        <v>101</v>
      </c>
      <c r="K33" t="n">
        <v>4.851</v>
      </c>
      <c r="L33" t="n">
        <v>0</v>
      </c>
      <c r="M33">
        <f>K33+MIN(L33,Assumptions!$H$13)</f>
        <v/>
      </c>
      <c r="N33">
        <f>M33-Assumptions!$I$13</f>
        <v/>
      </c>
      <c r="O33">
        <f>N33-Assumptions!$B$25*Q33</f>
        <v/>
      </c>
      <c r="P33" t="n">
        <v>4</v>
      </c>
      <c r="Q33" t="n">
        <v>2.738</v>
      </c>
      <c r="R33" t="inlineStr">
        <is>
          <t>Wikipedia 'List of American films of 2027' casts (Actions-runner pull 2026-10-08) x comp-based box office/RT estimates; cast lists are billed leads only (cameos not captured)</t>
        </is>
      </c>
      <c r="S33" t="inlineStr">
        <is>
          <t>2026-10-08</t>
        </is>
      </c>
      <c r="T33" s="9" t="inlineStr">
        <is>
          <t>C</t>
        </is>
      </c>
      <c r="U33" t="inlineStr">
        <is>
          <t>[conf C: sd x1.25, p shrink 20%]</t>
        </is>
      </c>
      <c r="V33">
        <f>K33+Assumptions!$J$13*MIN(L33,Assumptions!$H$13)</f>
        <v/>
      </c>
      <c r="W33">
        <f>RANK(V33,$V$5:$V$92)</f>
        <v/>
      </c>
      <c r="Y33">
        <f>N33-IF(T33="C",Assumptions!$B$27,IF(T33="B",Assumptions!$B$26,0))</f>
        <v/>
      </c>
    </row>
    <row r="34">
      <c r="A34" t="inlineStr">
        <is>
          <t>Tika Sumpter</t>
        </is>
      </c>
      <c r="B34" t="inlineStr">
        <is>
          <t>Sonic the Hedgehog 4 (Mar 19)</t>
        </is>
      </c>
      <c r="G34" t="inlineStr">
        <is>
          <t>Sonic the Hedgehog 4 (95%)</t>
        </is>
      </c>
      <c r="I34" t="n">
        <v>171.6046</v>
      </c>
      <c r="J34" t="n">
        <v>101</v>
      </c>
      <c r="K34" t="n">
        <v>4.85</v>
      </c>
      <c r="L34" t="n">
        <v>0</v>
      </c>
      <c r="M34">
        <f>K34+MIN(L34,Assumptions!$H$13)</f>
        <v/>
      </c>
      <c r="N34">
        <f>M34-Assumptions!$I$13</f>
        <v/>
      </c>
      <c r="O34">
        <f>N34-Assumptions!$B$25*Q34</f>
        <v/>
      </c>
      <c r="P34" t="n">
        <v>4</v>
      </c>
      <c r="Q34" t="n">
        <v>2.73</v>
      </c>
      <c r="R34" t="inlineStr">
        <is>
          <t>Wikipedia 'List of American films of 2027' casts (Actions-runner pull 2026-10-08) x comp-based box office/RT estimates; cast lists are billed leads only (cameos not captured)</t>
        </is>
      </c>
      <c r="S34" t="inlineStr">
        <is>
          <t>2026-10-08</t>
        </is>
      </c>
      <c r="T34" s="9" t="inlineStr">
        <is>
          <t>C</t>
        </is>
      </c>
      <c r="U34" t="inlineStr">
        <is>
          <t>[conf C: sd x1.25, p shrink 20%]</t>
        </is>
      </c>
      <c r="V34">
        <f>K34+Assumptions!$J$13*MIN(L34,Assumptions!$H$13)</f>
        <v/>
      </c>
      <c r="W34">
        <f>RANK(V34,$V$5:$V$92)</f>
        <v/>
      </c>
      <c r="Y34">
        <f>N34-IF(T34="C",Assumptions!$B$27,IF(T34="B",Assumptions!$B$26,0))</f>
        <v/>
      </c>
    </row>
    <row r="35">
      <c r="A35" t="inlineStr">
        <is>
          <t>Penélope Cruz</t>
        </is>
      </c>
      <c r="B35" t="inlineStr">
        <is>
          <t>Paris Paramount (Dec 25); Day Drinker (Mar 26)</t>
        </is>
      </c>
      <c r="D35" t="n">
        <v>0.75</v>
      </c>
      <c r="E35" t="n">
        <v>0.055</v>
      </c>
      <c r="F35" t="inlineStr">
        <is>
          <t>Best Supporting Actress: ? (nom 75%, win 5%)</t>
        </is>
      </c>
      <c r="G35" t="inlineStr">
        <is>
          <t>Day Drinker (90%); Paris Paramount (90%)</t>
        </is>
      </c>
      <c r="I35" t="n">
        <v>49.2946</v>
      </c>
      <c r="J35" t="n">
        <v>16</v>
      </c>
      <c r="K35" t="n">
        <v>2.163</v>
      </c>
      <c r="L35" t="n">
        <v>2.232</v>
      </c>
      <c r="M35">
        <f>K35+MIN(L35,Assumptions!$H$13)</f>
        <v/>
      </c>
      <c r="N35">
        <f>M35-Assumptions!$I$13</f>
        <v/>
      </c>
      <c r="O35">
        <f>N35-Assumptions!$B$25*Q35</f>
        <v/>
      </c>
      <c r="P35" t="n">
        <v>4</v>
      </c>
      <c r="Q35" t="n">
        <v>1.041</v>
      </c>
      <c r="R35" t="inlineStr">
        <is>
          <t>Wikipedia 'List of American films of 2027' casts (Actions-runner pull 2026-10-08) x comp-based box office/RT estimates; cast lists are billed leads only (cameos not captured)</t>
        </is>
      </c>
      <c r="S35" t="inlineStr">
        <is>
          <t>2026-10-08</t>
        </is>
      </c>
      <c r="T35" s="9" t="inlineStr">
        <is>
          <t>C</t>
        </is>
      </c>
      <c r="U35" t="inlineStr">
        <is>
          <t>[conf C: sd x1.25, p shrink 20%]</t>
        </is>
      </c>
      <c r="V35">
        <f>K35+Assumptions!$J$13*MIN(L35,Assumptions!$H$13)</f>
        <v/>
      </c>
      <c r="W35">
        <f>RANK(V35,$V$5:$V$92)</f>
        <v/>
      </c>
      <c r="Y35">
        <f>N35-IF(T35="C",Assumptions!$B$27,IF(T35="B",Assumptions!$B$26,0))</f>
        <v/>
      </c>
    </row>
    <row r="36">
      <c r="A36" t="inlineStr">
        <is>
          <t>Samantha Morton</t>
        </is>
      </c>
      <c r="B36" t="inlineStr">
        <is>
          <t>no 2027 film found in Wikipedia's cast lists</t>
        </is>
      </c>
      <c r="D36" t="n">
        <v>0.78</v>
      </c>
      <c r="E36" t="n">
        <v>0.08</v>
      </c>
      <c r="F36" t="inlineStr">
        <is>
          <t>Best Supporting Actress: The Odyssey (nom 78%, win 8%)</t>
        </is>
      </c>
      <c r="I36" t="n">
        <v>26.2546</v>
      </c>
      <c r="J36" t="n">
        <v>10</v>
      </c>
      <c r="K36" t="n">
        <v>1.885</v>
      </c>
      <c r="L36" t="n">
        <v>2.47</v>
      </c>
      <c r="M36">
        <f>K36+MIN(L36,Assumptions!$H$13)</f>
        <v/>
      </c>
      <c r="N36">
        <f>M36-Assumptions!$I$13</f>
        <v/>
      </c>
      <c r="O36">
        <f>N36-Assumptions!$B$25*Q36</f>
        <v/>
      </c>
      <c r="P36" t="n">
        <v>4</v>
      </c>
      <c r="Q36" t="n">
        <v>0.912</v>
      </c>
      <c r="R36" t="inlineStr">
        <is>
          <t>Wikipedia 'List of American films of 2027' casts (Actions-runner pull 2026-10-08) x comp-based box office/RT estimates; cast lists are billed leads only (cameos not captured)</t>
        </is>
      </c>
      <c r="S36" t="inlineStr">
        <is>
          <t>2026-10-08</t>
        </is>
      </c>
      <c r="T36" s="9" t="inlineStr">
        <is>
          <t>C</t>
        </is>
      </c>
      <c r="U36" t="inlineStr">
        <is>
          <t>[conf C: sd x1.25, p shrink 20%]</t>
        </is>
      </c>
      <c r="V36">
        <f>K36+Assumptions!$J$13*MIN(L36,Assumptions!$H$13)</f>
        <v/>
      </c>
      <c r="W36">
        <f>RANK(V36,$V$5:$V$92)</f>
        <v/>
      </c>
      <c r="Y36">
        <f>N36-IF(T36="C",Assumptions!$B$27,IF(T36="B",Assumptions!$B$26,0))</f>
        <v/>
      </c>
    </row>
    <row r="37">
      <c r="A37" t="inlineStr">
        <is>
          <t>Danielle Brooks</t>
        </is>
      </c>
      <c r="B37" t="inlineStr">
        <is>
          <t>A Minecraft Movie Squared (Jul 23)</t>
        </is>
      </c>
      <c r="G37" t="inlineStr">
        <is>
          <t>A Minecraft Movie Squared (90%)</t>
        </is>
      </c>
      <c r="I37" t="n">
        <v>148.3846</v>
      </c>
      <c r="J37" t="n">
        <v>84.75</v>
      </c>
      <c r="K37" t="n">
        <v>4.311</v>
      </c>
      <c r="L37" t="n">
        <v>0</v>
      </c>
      <c r="M37">
        <f>K37+MIN(L37,Assumptions!$H$13)</f>
        <v/>
      </c>
      <c r="N37">
        <f>M37-Assumptions!$I$13</f>
        <v/>
      </c>
      <c r="O37">
        <f>N37-Assumptions!$B$25*Q37</f>
        <v/>
      </c>
      <c r="P37" t="n">
        <v>4</v>
      </c>
      <c r="Q37" t="n">
        <v>2.38</v>
      </c>
      <c r="R37" t="inlineStr">
        <is>
          <t>Wikipedia 'List of American films of 2027' casts (Actions-runner pull 2026-10-08) x comp-based box office/RT estimates; cast lists are billed leads only (cameos not captured)</t>
        </is>
      </c>
      <c r="S37" t="inlineStr">
        <is>
          <t>2026-10-08</t>
        </is>
      </c>
      <c r="T37" s="9" t="inlineStr">
        <is>
          <t>C</t>
        </is>
      </c>
      <c r="U37" t="inlineStr">
        <is>
          <t>[conf C: sd x1.25, p shrink 20%]</t>
        </is>
      </c>
      <c r="V37">
        <f>K37+Assumptions!$J$13*MIN(L37,Assumptions!$H$13)</f>
        <v/>
      </c>
      <c r="W37">
        <f>RANK(V37,$V$5:$V$92)</f>
        <v/>
      </c>
      <c r="Y37">
        <f>N37-IF(T37="C",Assumptions!$B$27,IF(T37="B",Assumptions!$B$26,0))</f>
        <v/>
      </c>
    </row>
    <row r="38">
      <c r="A38" t="inlineStr">
        <is>
          <t>Jennifer Coolidge</t>
        </is>
      </c>
      <c r="B38" t="inlineStr">
        <is>
          <t>A Minecraft Movie Squared (Jul 23)</t>
        </is>
      </c>
      <c r="G38" t="inlineStr">
        <is>
          <t>A Minecraft Movie Squared (90%)</t>
        </is>
      </c>
      <c r="I38" t="n">
        <v>148.3846</v>
      </c>
      <c r="J38" t="n">
        <v>84.75</v>
      </c>
      <c r="K38" t="n">
        <v>4.213</v>
      </c>
      <c r="L38" t="n">
        <v>0</v>
      </c>
      <c r="M38">
        <f>K38+MIN(L38,Assumptions!$H$13)</f>
        <v/>
      </c>
      <c r="N38">
        <f>M38-Assumptions!$I$13</f>
        <v/>
      </c>
      <c r="O38">
        <f>N38-Assumptions!$B$25*Q38</f>
        <v/>
      </c>
      <c r="P38" t="n">
        <v>4</v>
      </c>
      <c r="Q38" t="n">
        <v>2.342</v>
      </c>
      <c r="R38" t="inlineStr">
        <is>
          <t>Wikipedia 'List of American films of 2027' casts (Actions-runner pull 2026-10-08) x comp-based box office/RT estimates; cast lists are billed leads only (cameos not captured)</t>
        </is>
      </c>
      <c r="S38" t="inlineStr">
        <is>
          <t>2026-10-08</t>
        </is>
      </c>
      <c r="T38" s="9" t="inlineStr">
        <is>
          <t>C</t>
        </is>
      </c>
      <c r="U38" t="inlineStr">
        <is>
          <t>[conf C: sd x1.25, p shrink 20%]</t>
        </is>
      </c>
      <c r="V38">
        <f>K38+Assumptions!$J$13*MIN(L38,Assumptions!$H$13)</f>
        <v/>
      </c>
      <c r="W38">
        <f>RANK(V38,$V$5:$V$92)</f>
        <v/>
      </c>
      <c r="Y38">
        <f>N38-IF(T38="C",Assumptions!$B$27,IF(T38="B",Assumptions!$B$26,0))</f>
        <v/>
      </c>
    </row>
    <row r="39">
      <c r="A39" t="inlineStr">
        <is>
          <t>Daisy Ridley</t>
        </is>
      </c>
      <c r="B39" t="inlineStr">
        <is>
          <t>Star Wars: New Jedi Order (Dec 17)</t>
        </is>
      </c>
      <c r="G39" t="inlineStr">
        <is>
          <t>Star Wars: New Jedi Order (60%)</t>
        </is>
      </c>
      <c r="I39" t="n">
        <v>139.6546</v>
      </c>
      <c r="J39" t="n">
        <v>78.75</v>
      </c>
      <c r="K39" t="n">
        <v>4.095</v>
      </c>
      <c r="L39" t="n">
        <v>0</v>
      </c>
      <c r="M39">
        <f>K39+MIN(L39,Assumptions!$H$13)</f>
        <v/>
      </c>
      <c r="N39">
        <f>M39-Assumptions!$I$13</f>
        <v/>
      </c>
      <c r="O39">
        <f>N39-Assumptions!$B$25*Q39</f>
        <v/>
      </c>
      <c r="P39" t="n">
        <v>4</v>
      </c>
      <c r="Q39" t="n">
        <v>2.25</v>
      </c>
      <c r="R39" t="inlineStr">
        <is>
          <t>Box Office Mojo 2027 release calendar (Actions-runner pull 2026-10-08) x comp-based box office/RT estimates</t>
        </is>
      </c>
      <c r="S39" t="inlineStr">
        <is>
          <t>2026-10-08</t>
        </is>
      </c>
      <c r="T39" s="9" t="inlineStr">
        <is>
          <t>C</t>
        </is>
      </c>
      <c r="U39" t="inlineStr">
        <is>
          <t>Dec 17 opener: only ~2 weeks of run fall inside 2027; slip to 2028 is plausible  [conf C: sd x1.25, p shrink 20%]</t>
        </is>
      </c>
      <c r="V39">
        <f>K39+Assumptions!$J$13*MIN(L39,Assumptions!$H$13)</f>
        <v/>
      </c>
      <c r="W39">
        <f>RANK(V39,$V$5:$V$92)</f>
        <v/>
      </c>
      <c r="Y39">
        <f>N39-IF(T39="C",Assumptions!$B$27,IF(T39="B",Assumptions!$B$26,0))</f>
        <v/>
      </c>
    </row>
    <row r="40">
      <c r="A40" t="inlineStr">
        <is>
          <t>Renate Reinsve</t>
        </is>
      </c>
      <c r="B40" t="inlineStr">
        <is>
          <t>no 2027 film found in Wikipedia's cast lists</t>
        </is>
      </c>
      <c r="D40" t="n">
        <v>0.485</v>
      </c>
      <c r="E40" t="n">
        <v>0.015</v>
      </c>
      <c r="F40" t="inlineStr">
        <is>
          <t>Best Actress: Fjord (nom 48%, win 1%)</t>
        </is>
      </c>
      <c r="I40" t="n">
        <v>26.2546</v>
      </c>
      <c r="J40" t="n">
        <v>10</v>
      </c>
      <c r="K40" t="n">
        <v>1.906</v>
      </c>
      <c r="L40" t="n">
        <v>2.075</v>
      </c>
      <c r="M40">
        <f>K40+MIN(L40,Assumptions!$H$13)</f>
        <v/>
      </c>
      <c r="N40">
        <f>M40-Assumptions!$I$13</f>
        <v/>
      </c>
      <c r="O40">
        <f>N40-Assumptions!$B$25*Q40</f>
        <v/>
      </c>
      <c r="P40" t="n">
        <v>4</v>
      </c>
      <c r="Q40" t="n">
        <v>0.919</v>
      </c>
      <c r="R40" t="inlineStr">
        <is>
          <t>Wikipedia 'List of American films of 2027' casts (Actions-runner pull 2026-10-08) x comp-based box office/RT estimates; cast lists are billed leads only (cameos not captured)</t>
        </is>
      </c>
      <c r="S40" t="inlineStr">
        <is>
          <t>2026-10-08</t>
        </is>
      </c>
      <c r="T40" s="9" t="inlineStr">
        <is>
          <t>C</t>
        </is>
      </c>
      <c r="U40" t="inlineStr">
        <is>
          <t>[conf C: sd x1.25, p shrink 20%]</t>
        </is>
      </c>
      <c r="V40">
        <f>K40+Assumptions!$J$13*MIN(L40,Assumptions!$H$13)</f>
        <v/>
      </c>
      <c r="W40">
        <f>RANK(V40,$V$5:$V$92)</f>
        <v/>
      </c>
      <c r="Y40">
        <f>N40-IF(T40="C",Assumptions!$B$27,IF(T40="B",Assumptions!$B$26,0))</f>
        <v/>
      </c>
    </row>
    <row r="41">
      <c r="A41" t="inlineStr">
        <is>
          <t>Anya Taylor-Joy</t>
        </is>
      </c>
      <c r="B41" t="inlineStr">
        <is>
          <t>The Lord of the Rings: The Hunt for Gollum (Dec 17)</t>
        </is>
      </c>
      <c r="G41" t="inlineStr">
        <is>
          <t>The Lord of the Rings: The Hunt for Gollum (80%)</t>
        </is>
      </c>
      <c r="I41" t="n">
        <v>128.8546</v>
      </c>
      <c r="J41" t="n">
        <v>71.25</v>
      </c>
      <c r="K41" t="n">
        <v>3.806</v>
      </c>
      <c r="L41" t="n">
        <v>0</v>
      </c>
      <c r="M41">
        <f>K41+MIN(L41,Assumptions!$H$13)</f>
        <v/>
      </c>
      <c r="N41">
        <f>M41-Assumptions!$I$13</f>
        <v/>
      </c>
      <c r="O41">
        <f>N41-Assumptions!$B$25*Q41</f>
        <v/>
      </c>
      <c r="P41" t="n">
        <v>4</v>
      </c>
      <c r="Q41" t="n">
        <v>2.031</v>
      </c>
      <c r="R41" t="inlineStr">
        <is>
          <t>Wikipedia 'List of American films of 2027' casts (Actions-runner pull 2026-10-08) x comp-based box office/RT estimates; cast lists are billed leads only (cameos not captured)</t>
        </is>
      </c>
      <c r="S41" t="inlineStr">
        <is>
          <t>2026-10-08</t>
        </is>
      </c>
      <c r="T41" s="9" t="inlineStr">
        <is>
          <t>C</t>
        </is>
      </c>
      <c r="U41" t="inlineStr">
        <is>
          <t>Hunt for Gollum (Dec 17)  [conf C: sd x1.25, p shrink 20%]</t>
        </is>
      </c>
      <c r="V41">
        <f>K41+Assumptions!$J$13*MIN(L41,Assumptions!$H$13)</f>
        <v/>
      </c>
      <c r="W41">
        <f>RANK(V41,$V$5:$V$92)</f>
        <v/>
      </c>
      <c r="X41" s="16" t="inlineStr">
        <is>
          <t>Buckley</t>
        </is>
      </c>
      <c r="Y41">
        <f>N41-IF(T41="C",Assumptions!$B$27,IF(T41="B",Assumptions!$B$26,0))</f>
        <v/>
      </c>
    </row>
    <row r="42">
      <c r="A42" t="inlineStr">
        <is>
          <t>Kate Winslet</t>
        </is>
      </c>
      <c r="B42" t="inlineStr">
        <is>
          <t>The Lord of the Rings: The Hunt for Gollum (Dec 17); Charlie vs. the Chocolate Factory (Nov 5)</t>
        </is>
      </c>
      <c r="G42" t="inlineStr">
        <is>
          <t>Charlie vs. the Chocolate Factory (0%); The Lord of the Rings: The Hunt for Gollum (80%)</t>
        </is>
      </c>
      <c r="I42" t="n">
        <v>128.8546</v>
      </c>
      <c r="J42" t="n">
        <v>71.25</v>
      </c>
      <c r="K42" t="n">
        <v>3.753</v>
      </c>
      <c r="L42" t="n">
        <v>0</v>
      </c>
      <c r="M42">
        <f>K42+MIN(L42,Assumptions!$H$13)</f>
        <v/>
      </c>
      <c r="N42">
        <f>M42-Assumptions!$I$13</f>
        <v/>
      </c>
      <c r="O42">
        <f>N42-Assumptions!$B$25*Q42</f>
        <v/>
      </c>
      <c r="P42" t="n">
        <v>4</v>
      </c>
      <c r="Q42" t="n">
        <v>2.045</v>
      </c>
      <c r="R42" t="inlineStr">
        <is>
          <t>Wikipedia 'List of American films of 2027' casts (Actions-runner pull 2026-10-08) x comp-based box office/RT estimates; cast lists are billed leads only (cameos not captured)</t>
        </is>
      </c>
      <c r="S42" t="inlineStr">
        <is>
          <t>2026-10-08</t>
        </is>
      </c>
      <c r="T42" s="9" t="inlineStr">
        <is>
          <t>C</t>
        </is>
      </c>
      <c r="U42" t="inlineStr">
        <is>
          <t>[conf C: sd x1.25, p shrink 20%]</t>
        </is>
      </c>
      <c r="V42">
        <f>K42+Assumptions!$J$13*MIN(L42,Assumptions!$H$13)</f>
        <v/>
      </c>
      <c r="W42">
        <f>RANK(V42,$V$5:$V$92)</f>
        <v/>
      </c>
      <c r="Y42">
        <f>N42-IF(T42="C",Assumptions!$B$27,IF(T42="B",Assumptions!$B$26,0))</f>
        <v/>
      </c>
    </row>
    <row r="43">
      <c r="A43" t="inlineStr">
        <is>
          <t>Vanessa Kirby</t>
        </is>
      </c>
      <c r="B43" t="inlineStr">
        <is>
          <t>Avengers: Secret Wars (Dec 17)</t>
        </is>
      </c>
      <c r="G43" t="inlineStr">
        <is>
          <t>Avengers: Secret Wars (50%)</t>
        </is>
      </c>
      <c r="I43" t="n">
        <v>126.8746</v>
      </c>
      <c r="J43" t="n">
        <v>69.875</v>
      </c>
      <c r="K43" t="n">
        <v>3.743</v>
      </c>
      <c r="L43" t="n">
        <v>0</v>
      </c>
      <c r="M43">
        <f>K43+MIN(L43,Assumptions!$H$13)</f>
        <v/>
      </c>
      <c r="N43">
        <f>M43-Assumptions!$I$13</f>
        <v/>
      </c>
      <c r="O43">
        <f>N43-Assumptions!$B$25*Q43</f>
        <v/>
      </c>
      <c r="P43" t="n">
        <v>4</v>
      </c>
      <c r="Q43" t="n">
        <v>2.039</v>
      </c>
      <c r="R43" t="inlineStr">
        <is>
          <t>Wikipedia 'List of American films of 2027' casts (Actions-runner pull 2026-10-08) x comp-based box office/RT estimates; cast lists are billed leads only (cameos not captured)</t>
        </is>
      </c>
      <c r="S43" t="inlineStr">
        <is>
          <t>2026-10-08</t>
        </is>
      </c>
      <c r="T43" s="9" t="inlineStr">
        <is>
          <t>C</t>
        </is>
      </c>
      <c r="U43" t="inlineStr">
        <is>
          <t>[conf C: sd x1.25, p shrink 20%]</t>
        </is>
      </c>
      <c r="V43">
        <f>K43+Assumptions!$J$13*MIN(L43,Assumptions!$H$13)</f>
        <v/>
      </c>
      <c r="W43">
        <f>RANK(V43,$V$5:$V$92)</f>
        <v/>
      </c>
      <c r="Y43">
        <f>N43-IF(T43="C",Assumptions!$B$27,IF(T43="B",Assumptions!$B$26,0))</f>
        <v/>
      </c>
    </row>
    <row r="44">
      <c r="A44" t="inlineStr">
        <is>
          <t>Hayley Atwell</t>
        </is>
      </c>
      <c r="B44" t="inlineStr">
        <is>
          <t>Avengers: Secret Wars (Dec 17)</t>
        </is>
      </c>
      <c r="G44" t="inlineStr">
        <is>
          <t>Avengers: Secret Wars (50%)</t>
        </is>
      </c>
      <c r="I44" t="n">
        <v>126.8746</v>
      </c>
      <c r="J44" t="n">
        <v>69.875</v>
      </c>
      <c r="K44" t="n">
        <v>3.727</v>
      </c>
      <c r="L44" t="n">
        <v>0</v>
      </c>
      <c r="M44">
        <f>K44+MIN(L44,Assumptions!$H$13)</f>
        <v/>
      </c>
      <c r="N44">
        <f>M44-Assumptions!$I$13</f>
        <v/>
      </c>
      <c r="O44">
        <f>N44-Assumptions!$B$25*Q44</f>
        <v/>
      </c>
      <c r="P44" t="n">
        <v>4</v>
      </c>
      <c r="Q44" t="n">
        <v>1.993</v>
      </c>
      <c r="R44" t="inlineStr">
        <is>
          <t>Wikipedia 'List of American films of 2027' casts (Actions-runner pull 2026-10-08) x comp-based box office/RT estimates; cast lists are billed leads only (cameos not captured)</t>
        </is>
      </c>
      <c r="S44" t="inlineStr">
        <is>
          <t>2026-10-08</t>
        </is>
      </c>
      <c r="T44" s="9" t="inlineStr">
        <is>
          <t>C</t>
        </is>
      </c>
      <c r="U44" t="inlineStr">
        <is>
          <t>[conf C: sd x1.25, p shrink 20%]</t>
        </is>
      </c>
      <c r="V44">
        <f>K44+Assumptions!$J$13*MIN(L44,Assumptions!$H$13)</f>
        <v/>
      </c>
      <c r="W44">
        <f>RANK(V44,$V$5:$V$92)</f>
        <v/>
      </c>
      <c r="Y44">
        <f>N44-IF(T44="C",Assumptions!$B$27,IF(T44="B",Assumptions!$B$26,0))</f>
        <v/>
      </c>
    </row>
    <row r="45">
      <c r="A45" t="inlineStr">
        <is>
          <t>Letitia Wright</t>
        </is>
      </c>
      <c r="B45" t="inlineStr">
        <is>
          <t>Avengers: Secret Wars (Dec 17)</t>
        </is>
      </c>
      <c r="G45" t="inlineStr">
        <is>
          <t>Avengers: Secret Wars (50%)</t>
        </is>
      </c>
      <c r="I45" t="n">
        <v>126.8746</v>
      </c>
      <c r="J45" t="n">
        <v>69.875</v>
      </c>
      <c r="K45" t="n">
        <v>3.712</v>
      </c>
      <c r="L45" t="n">
        <v>0</v>
      </c>
      <c r="M45">
        <f>K45+MIN(L45,Assumptions!$H$13)</f>
        <v/>
      </c>
      <c r="N45">
        <f>M45-Assumptions!$I$13</f>
        <v/>
      </c>
      <c r="O45">
        <f>N45-Assumptions!$B$25*Q45</f>
        <v/>
      </c>
      <c r="P45" t="n">
        <v>4</v>
      </c>
      <c r="Q45" t="n">
        <v>2.019</v>
      </c>
      <c r="R45" t="inlineStr">
        <is>
          <t>Wikipedia 'List of American films of 2027' casts (Actions-runner pull 2026-10-08) x comp-based box office/RT estimates; cast lists are billed leads only (cameos not captured)</t>
        </is>
      </c>
      <c r="S45" t="inlineStr">
        <is>
          <t>2026-10-08</t>
        </is>
      </c>
      <c r="T45" s="9" t="inlineStr">
        <is>
          <t>C</t>
        </is>
      </c>
      <c r="U45" t="inlineStr">
        <is>
          <t>[conf C: sd x1.25, p shrink 20%]</t>
        </is>
      </c>
      <c r="V45">
        <f>K45+Assumptions!$J$13*MIN(L45,Assumptions!$H$13)</f>
        <v/>
      </c>
      <c r="W45">
        <f>RANK(V45,$V$5:$V$92)</f>
        <v/>
      </c>
      <c r="Y45">
        <f>N45-IF(T45="C",Assumptions!$B$27,IF(T45="B",Assumptions!$B$26,0))</f>
        <v/>
      </c>
    </row>
    <row r="46">
      <c r="A46" t="inlineStr">
        <is>
          <t>Sadie Sink</t>
        </is>
      </c>
      <c r="B46" t="inlineStr">
        <is>
          <t>Avengers: Secret Wars (Dec 17)</t>
        </is>
      </c>
      <c r="G46" t="inlineStr">
        <is>
          <t>Avengers: Secret Wars (50%)</t>
        </is>
      </c>
      <c r="I46" t="n">
        <v>126.8746</v>
      </c>
      <c r="J46" t="n">
        <v>69.875</v>
      </c>
      <c r="K46" t="n">
        <v>3.708</v>
      </c>
      <c r="L46" t="n">
        <v>0</v>
      </c>
      <c r="M46">
        <f>K46+MIN(L46,Assumptions!$H$13)</f>
        <v/>
      </c>
      <c r="N46">
        <f>M46-Assumptions!$I$13</f>
        <v/>
      </c>
      <c r="O46">
        <f>N46-Assumptions!$B$25*Q46</f>
        <v/>
      </c>
      <c r="P46" t="n">
        <v>4</v>
      </c>
      <c r="Q46" t="n">
        <v>1.984</v>
      </c>
      <c r="R46" t="inlineStr">
        <is>
          <t>Wikipedia 'List of American films of 2027' casts (Actions-runner pull 2026-10-08) x comp-based box office/RT estimates; cast lists are billed leads only (cameos not captured)</t>
        </is>
      </c>
      <c r="S46" t="inlineStr">
        <is>
          <t>2026-10-08</t>
        </is>
      </c>
      <c r="T46" s="9" t="inlineStr">
        <is>
          <t>C</t>
        </is>
      </c>
      <c r="U46" t="inlineStr">
        <is>
          <t>[conf C: sd x1.25, p shrink 20%]</t>
        </is>
      </c>
      <c r="V46">
        <f>K46+Assumptions!$J$13*MIN(L46,Assumptions!$H$13)</f>
        <v/>
      </c>
      <c r="W46">
        <f>RANK(V46,$V$5:$V$92)</f>
        <v/>
      </c>
      <c r="Y46">
        <f>N46-IF(T46="C",Assumptions!$B$27,IF(T46="B",Assumptions!$B$26,0))</f>
        <v/>
      </c>
    </row>
    <row r="47">
      <c r="A47" t="inlineStr">
        <is>
          <t>Tao Okamoto</t>
        </is>
      </c>
      <c r="B47" t="inlineStr">
        <is>
          <t>no 2027 film found in Wikipedia's cast lists</t>
        </is>
      </c>
      <c r="D47" t="n">
        <v>0.655</v>
      </c>
      <c r="E47" t="n">
        <v>0.02</v>
      </c>
      <c r="F47" t="inlineStr">
        <is>
          <t>Best Supporting Actress: All of a Sudden (nom 65%, win 2%)</t>
        </is>
      </c>
      <c r="I47" t="n">
        <v>26.2546</v>
      </c>
      <c r="J47" t="n">
        <v>10</v>
      </c>
      <c r="K47" t="n">
        <v>1.917</v>
      </c>
      <c r="L47" t="n">
        <v>1.767</v>
      </c>
      <c r="M47">
        <f>K47+MIN(L47,Assumptions!$H$13)</f>
        <v/>
      </c>
      <c r="N47">
        <f>M47-Assumptions!$I$13</f>
        <v/>
      </c>
      <c r="O47">
        <f>N47-Assumptions!$B$25*Q47</f>
        <v/>
      </c>
      <c r="P47" t="n">
        <v>4</v>
      </c>
      <c r="Q47" t="n">
        <v>0.925</v>
      </c>
      <c r="R47" t="inlineStr">
        <is>
          <t>Wikipedia 'List of American films of 2027' casts (Actions-runner pull 2026-10-08) x comp-based box office/RT estimates; cast lists are billed leads only (cameos not captured)</t>
        </is>
      </c>
      <c r="S47" t="inlineStr">
        <is>
          <t>2026-10-08</t>
        </is>
      </c>
      <c r="T47" s="9" t="inlineStr">
        <is>
          <t>C</t>
        </is>
      </c>
      <c r="U47" t="inlineStr">
        <is>
          <t>[conf C: sd x1.25, p shrink 20%]</t>
        </is>
      </c>
      <c r="V47">
        <f>K47+Assumptions!$J$13*MIN(L47,Assumptions!$H$13)</f>
        <v/>
      </c>
      <c r="W47">
        <f>RANK(V47,$V$5:$V$92)</f>
        <v/>
      </c>
      <c r="Y47">
        <f>N47-IF(T47="C",Assumptions!$B$27,IF(T47="B",Assumptions!$B$26,0))</f>
        <v/>
      </c>
    </row>
    <row r="48">
      <c r="A48" t="inlineStr">
        <is>
          <t>Kate O'Flynn</t>
        </is>
      </c>
      <c r="B48" t="inlineStr">
        <is>
          <t>no 2027 film found in Wikipedia's cast lists</t>
        </is>
      </c>
      <c r="D48" t="n">
        <v>0.55</v>
      </c>
      <c r="E48" t="n">
        <v>0.025</v>
      </c>
      <c r="F48" t="inlineStr">
        <is>
          <t>Best Supporting Actress: Tender Loving Care (nom 55%, win 2%)</t>
        </is>
      </c>
      <c r="I48" t="n">
        <v>26.2546</v>
      </c>
      <c r="J48" t="n">
        <v>10</v>
      </c>
      <c r="K48" t="n">
        <v>1.89</v>
      </c>
      <c r="L48" t="n">
        <v>1.538</v>
      </c>
      <c r="M48">
        <f>K48+MIN(L48,Assumptions!$H$13)</f>
        <v/>
      </c>
      <c r="N48">
        <f>M48-Assumptions!$I$13</f>
        <v/>
      </c>
      <c r="O48">
        <f>N48-Assumptions!$B$25*Q48</f>
        <v/>
      </c>
      <c r="P48" t="n">
        <v>4</v>
      </c>
      <c r="Q48" t="n">
        <v>0.909</v>
      </c>
      <c r="R48" t="inlineStr">
        <is>
          <t>Wikipedia 'List of American films of 2027' casts (Actions-runner pull 2026-10-08) x comp-based box office/RT estimates; cast lists are billed leads only (cameos not captured)</t>
        </is>
      </c>
      <c r="S48" t="inlineStr">
        <is>
          <t>2026-10-08</t>
        </is>
      </c>
      <c r="T48" s="9" t="inlineStr">
        <is>
          <t>C</t>
        </is>
      </c>
      <c r="U48" t="inlineStr">
        <is>
          <t>[conf C: sd x1.25, p shrink 20%]</t>
        </is>
      </c>
      <c r="V48">
        <f>K48+Assumptions!$J$13*MIN(L48,Assumptions!$H$13)</f>
        <v/>
      </c>
      <c r="W48">
        <f>RANK(V48,$V$5:$V$92)</f>
        <v/>
      </c>
      <c r="Y48">
        <f>N48-IF(T48="C",Assumptions!$B$27,IF(T48="B",Assumptions!$B$26,0))</f>
        <v/>
      </c>
    </row>
    <row r="49">
      <c r="A49" t="inlineStr">
        <is>
          <t>Allison Janney</t>
        </is>
      </c>
      <c r="B49" t="inlineStr">
        <is>
          <t>Not Alone (Apr 16)</t>
        </is>
      </c>
      <c r="G49" t="inlineStr">
        <is>
          <t>Not Alone (90%)</t>
        </is>
      </c>
      <c r="I49" t="n">
        <v>99.9646</v>
      </c>
      <c r="J49" t="n">
        <v>51.25</v>
      </c>
      <c r="K49" t="n">
        <v>3.122</v>
      </c>
      <c r="L49" t="n">
        <v>0</v>
      </c>
      <c r="M49">
        <f>K49+MIN(L49,Assumptions!$H$13)</f>
        <v/>
      </c>
      <c r="N49">
        <f>M49-Assumptions!$I$13</f>
        <v/>
      </c>
      <c r="O49">
        <f>N49-Assumptions!$B$25*Q49</f>
        <v/>
      </c>
      <c r="P49" t="n">
        <v>4</v>
      </c>
      <c r="Q49" t="n">
        <v>1.591</v>
      </c>
      <c r="R49" t="inlineStr">
        <is>
          <t>Wikipedia 'List of American films of 2027' casts (Actions-runner pull 2026-10-08) x comp-based box office/RT estimates; cast lists are billed leads only (cameos not captured)</t>
        </is>
      </c>
      <c r="S49" t="inlineStr">
        <is>
          <t>2026-10-08</t>
        </is>
      </c>
      <c r="T49" s="9" t="inlineStr">
        <is>
          <t>C</t>
        </is>
      </c>
      <c r="U49" t="inlineStr">
        <is>
          <t>[conf C: sd x1.25, p shrink 20%]</t>
        </is>
      </c>
      <c r="V49">
        <f>K49+Assumptions!$J$13*MIN(L49,Assumptions!$H$13)</f>
        <v/>
      </c>
      <c r="W49">
        <f>RANK(V49,$V$5:$V$92)</f>
        <v/>
      </c>
      <c r="Y49">
        <f>N49-IF(T49="C",Assumptions!$B$27,IF(T49="B",Assumptions!$B$26,0))</f>
        <v/>
      </c>
    </row>
    <row r="50">
      <c r="A50" t="inlineStr">
        <is>
          <t>Selena Gomez</t>
        </is>
      </c>
      <c r="B50" t="inlineStr">
        <is>
          <t>Not Alone (Apr 16)</t>
        </is>
      </c>
      <c r="G50" t="inlineStr">
        <is>
          <t>Not Alone (90%)</t>
        </is>
      </c>
      <c r="I50" t="n">
        <v>99.9646</v>
      </c>
      <c r="J50" t="n">
        <v>51.25</v>
      </c>
      <c r="K50" t="n">
        <v>3.063</v>
      </c>
      <c r="L50" t="n">
        <v>0</v>
      </c>
      <c r="M50">
        <f>K50+MIN(L50,Assumptions!$H$13)</f>
        <v/>
      </c>
      <c r="N50">
        <f>M50-Assumptions!$I$13</f>
        <v/>
      </c>
      <c r="O50">
        <f>N50-Assumptions!$B$25*Q50</f>
        <v/>
      </c>
      <c r="P50" t="n">
        <v>4</v>
      </c>
      <c r="Q50" t="n">
        <v>1.584</v>
      </c>
      <c r="R50" t="inlineStr">
        <is>
          <t>Wikipedia 'List of American films of 2027' casts (Actions-runner pull 2026-10-08) x comp-based box office/RT estimates; cast lists are billed leads only (cameos not captured)</t>
        </is>
      </c>
      <c r="S50" t="inlineStr">
        <is>
          <t>2026-10-08</t>
        </is>
      </c>
      <c r="T50" s="9" t="inlineStr">
        <is>
          <t>C</t>
        </is>
      </c>
      <c r="U50" t="inlineStr">
        <is>
          <t>[conf C: sd x1.25, p shrink 20%]</t>
        </is>
      </c>
      <c r="V50">
        <f>K50+Assumptions!$J$13*MIN(L50,Assumptions!$H$13)</f>
        <v/>
      </c>
      <c r="W50">
        <f>RANK(V50,$V$5:$V$92)</f>
        <v/>
      </c>
      <c r="Y50">
        <f>N50-IF(T50="C",Assumptions!$B$27,IF(T50="B",Assumptions!$B$26,0))</f>
        <v/>
      </c>
    </row>
    <row r="51">
      <c r="A51" t="inlineStr">
        <is>
          <t>Katy O'Brian</t>
        </is>
      </c>
      <c r="B51" t="inlineStr">
        <is>
          <t>A Quiet Place Part III (Jul 30)</t>
        </is>
      </c>
      <c r="G51" t="inlineStr">
        <is>
          <t>A Quiet Place Part III (90%)</t>
        </is>
      </c>
      <c r="I51" t="n">
        <v>93.0346</v>
      </c>
      <c r="J51" t="n">
        <v>46.375</v>
      </c>
      <c r="K51" t="n">
        <v>2.956</v>
      </c>
      <c r="L51" t="n">
        <v>0</v>
      </c>
      <c r="M51">
        <f>K51+MIN(L51,Assumptions!$H$13)</f>
        <v/>
      </c>
      <c r="N51">
        <f>M51-Assumptions!$I$13</f>
        <v/>
      </c>
      <c r="O51">
        <f>N51-Assumptions!$B$25*Q51</f>
        <v/>
      </c>
      <c r="P51" t="n">
        <v>4</v>
      </c>
      <c r="Q51" t="n">
        <v>1.496</v>
      </c>
      <c r="R51" t="inlineStr">
        <is>
          <t>Wikipedia 'List of American films of 2027' casts (Actions-runner pull 2026-10-08) x comp-based box office/RT estimates; cast lists are billed leads only (cameos not captured)</t>
        </is>
      </c>
      <c r="S51" t="inlineStr">
        <is>
          <t>2026-10-08</t>
        </is>
      </c>
      <c r="T51" s="9" t="inlineStr">
        <is>
          <t>C</t>
        </is>
      </c>
      <c r="U51" t="inlineStr">
        <is>
          <t>[conf C: sd x1.25, p shrink 20%]</t>
        </is>
      </c>
      <c r="V51">
        <f>K51+Assumptions!$J$13*MIN(L51,Assumptions!$H$13)</f>
        <v/>
      </c>
      <c r="W51">
        <f>RANK(V51,$V$5:$V$92)</f>
        <v/>
      </c>
      <c r="Y51">
        <f>N51-IF(T51="C",Assumptions!$B$27,IF(T51="B",Assumptions!$B$26,0))</f>
        <v/>
      </c>
    </row>
    <row r="52">
      <c r="A52" t="inlineStr">
        <is>
          <t>Millicent Simmonds</t>
        </is>
      </c>
      <c r="B52" t="inlineStr">
        <is>
          <t>A Quiet Place Part III (Jul 30)</t>
        </is>
      </c>
      <c r="G52" t="inlineStr">
        <is>
          <t>A Quiet Place Part III (90%)</t>
        </is>
      </c>
      <c r="I52" t="n">
        <v>93.0346</v>
      </c>
      <c r="J52" t="n">
        <v>46.375</v>
      </c>
      <c r="K52" t="n">
        <v>2.95</v>
      </c>
      <c r="L52" t="n">
        <v>0</v>
      </c>
      <c r="M52">
        <f>K52+MIN(L52,Assumptions!$H$13)</f>
        <v/>
      </c>
      <c r="N52">
        <f>M52-Assumptions!$I$13</f>
        <v/>
      </c>
      <c r="O52">
        <f>N52-Assumptions!$B$25*Q52</f>
        <v/>
      </c>
      <c r="P52" t="n">
        <v>4</v>
      </c>
      <c r="Q52" t="n">
        <v>1.526</v>
      </c>
      <c r="R52" t="inlineStr">
        <is>
          <t>Wikipedia 'List of American films of 2027' casts (Actions-runner pull 2026-10-08) x comp-based box office/RT estimates; cast lists are billed leads only (cameos not captured)</t>
        </is>
      </c>
      <c r="S52" t="inlineStr">
        <is>
          <t>2026-10-08</t>
        </is>
      </c>
      <c r="T52" s="9" t="inlineStr">
        <is>
          <t>C</t>
        </is>
      </c>
      <c r="U52" t="inlineStr">
        <is>
          <t>[conf C: sd x1.25, p shrink 20%]</t>
        </is>
      </c>
      <c r="V52">
        <f>K52+Assumptions!$J$13*MIN(L52,Assumptions!$H$13)</f>
        <v/>
      </c>
      <c r="W52">
        <f>RANK(V52,$V$5:$V$92)</f>
        <v/>
      </c>
      <c r="Y52">
        <f>N52-IF(T52="C",Assumptions!$B$27,IF(T52="B",Assumptions!$B$26,0))</f>
        <v/>
      </c>
    </row>
    <row r="53">
      <c r="A53" t="inlineStr">
        <is>
          <t>Emily Blunt</t>
        </is>
      </c>
      <c r="B53" t="inlineStr">
        <is>
          <t>A Quiet Place Part III (Jul 30)</t>
        </is>
      </c>
      <c r="G53" t="inlineStr">
        <is>
          <t>A Quiet Place Part III (90%)</t>
        </is>
      </c>
      <c r="I53" t="n">
        <v>93.0346</v>
      </c>
      <c r="J53" t="n">
        <v>46.375</v>
      </c>
      <c r="K53" t="n">
        <v>2.946</v>
      </c>
      <c r="L53" t="n">
        <v>0</v>
      </c>
      <c r="M53">
        <f>K53+MIN(L53,Assumptions!$H$13)</f>
        <v/>
      </c>
      <c r="N53">
        <f>M53-Assumptions!$I$13</f>
        <v/>
      </c>
      <c r="O53">
        <f>N53-Assumptions!$B$25*Q53</f>
        <v/>
      </c>
      <c r="P53" t="n">
        <v>4</v>
      </c>
      <c r="Q53" t="n">
        <v>1.5</v>
      </c>
      <c r="R53" t="inlineStr">
        <is>
          <t>Wikipedia 'List of American films of 2027' casts (Actions-runner pull 2026-10-08) x comp-based box office/RT estimates; cast lists are billed leads only (cameos not captured)</t>
        </is>
      </c>
      <c r="S53" t="inlineStr">
        <is>
          <t>2026-10-08</t>
        </is>
      </c>
      <c r="T53" s="9" t="inlineStr">
        <is>
          <t>C</t>
        </is>
      </c>
      <c r="U53" t="inlineStr">
        <is>
          <t>[conf C: sd x1.25, p shrink 20%]</t>
        </is>
      </c>
      <c r="V53">
        <f>K53+Assumptions!$J$13*MIN(L53,Assumptions!$H$13)</f>
        <v/>
      </c>
      <c r="W53">
        <f>RANK(V53,$V$5:$V$92)</f>
        <v/>
      </c>
      <c r="Y53">
        <f>N53-IF(T53="C",Assumptions!$B$27,IF(T53="B",Assumptions!$B$26,0))</f>
        <v/>
      </c>
    </row>
    <row r="54">
      <c r="A54" t="inlineStr">
        <is>
          <t>Cynthia Erivo</t>
        </is>
      </c>
      <c r="B54" t="inlineStr">
        <is>
          <t>Bad Fairies (May 21); Children of Blood and Bone (Jan 15); Karoshi (Jan 29)</t>
        </is>
      </c>
      <c r="G54" t="inlineStr">
        <is>
          <t>Children of Blood and Bone (85%); Karoshi (85%); Bad Fairies (70%)</t>
        </is>
      </c>
      <c r="I54" t="n">
        <v>90.7846</v>
      </c>
      <c r="J54" t="n">
        <v>44.875</v>
      </c>
      <c r="K54" t="n">
        <v>2.909</v>
      </c>
      <c r="L54" t="n">
        <v>0</v>
      </c>
      <c r="M54">
        <f>K54+MIN(L54,Assumptions!$H$13)</f>
        <v/>
      </c>
      <c r="N54">
        <f>M54-Assumptions!$I$13</f>
        <v/>
      </c>
      <c r="O54">
        <f>N54-Assumptions!$B$25*Q54</f>
        <v/>
      </c>
      <c r="P54" t="n">
        <v>4</v>
      </c>
      <c r="Q54" t="n">
        <v>1.454</v>
      </c>
      <c r="R54" t="inlineStr">
        <is>
          <t>Wikipedia 'List of American films of 2027' casts (Actions-runner pull 2026-10-08) x comp-based box office/RT estimates; cast lists are billed leads only (cameos not captured)</t>
        </is>
      </c>
      <c r="S54" t="inlineStr">
        <is>
          <t>2026-10-08</t>
        </is>
      </c>
      <c r="T54" s="9" t="inlineStr">
        <is>
          <t>C</t>
        </is>
      </c>
      <c r="U54" t="inlineStr">
        <is>
          <t>[conf C: sd x1.25, p shrink 20%]</t>
        </is>
      </c>
      <c r="V54">
        <f>K54+Assumptions!$J$13*MIN(L54,Assumptions!$H$13)</f>
        <v/>
      </c>
      <c r="W54">
        <f>RANK(V54,$V$5:$V$92)</f>
        <v/>
      </c>
      <c r="X54" s="16" t="inlineStr">
        <is>
          <t>Feder</t>
        </is>
      </c>
      <c r="Y54">
        <f>N54-IF(T54="C",Assumptions!$B$27,IF(T54="B",Assumptions!$B$26,0))</f>
        <v/>
      </c>
    </row>
    <row r="55">
      <c r="A55" t="inlineStr">
        <is>
          <t>Mariana di Girolamo</t>
        </is>
      </c>
      <c r="B55" t="inlineStr">
        <is>
          <t>no 2027 film found in Wikipedia's cast lists</t>
        </is>
      </c>
      <c r="D55" t="n">
        <v>0.34</v>
      </c>
      <c r="E55" t="n">
        <v>0.01</v>
      </c>
      <c r="F55" t="inlineStr">
        <is>
          <t>Best Supporting Actress: Wild Horse Nine (nom 34%, win 1%)</t>
        </is>
      </c>
      <c r="I55" t="n">
        <v>26.2546</v>
      </c>
      <c r="J55" t="n">
        <v>10</v>
      </c>
      <c r="K55" t="n">
        <v>1.936</v>
      </c>
      <c r="L55" t="n">
        <v>0.915</v>
      </c>
      <c r="M55">
        <f>K55+MIN(L55,Assumptions!$H$13)</f>
        <v/>
      </c>
      <c r="N55">
        <f>M55-Assumptions!$I$13</f>
        <v/>
      </c>
      <c r="O55">
        <f>N55-Assumptions!$B$25*Q55</f>
        <v/>
      </c>
      <c r="P55" t="n">
        <v>4</v>
      </c>
      <c r="Q55" t="n">
        <v>0.931</v>
      </c>
      <c r="R55" t="inlineStr">
        <is>
          <t>Wikipedia 'List of American films of 2027' casts (Actions-runner pull 2026-10-08) x comp-based box office/RT estimates; cast lists are billed leads only (cameos not captured)</t>
        </is>
      </c>
      <c r="S55" t="inlineStr">
        <is>
          <t>2026-10-08</t>
        </is>
      </c>
      <c r="T55" s="9" t="inlineStr">
        <is>
          <t>C</t>
        </is>
      </c>
      <c r="U55" t="inlineStr">
        <is>
          <t>[conf C: sd x1.25, p shrink 20%]</t>
        </is>
      </c>
      <c r="V55">
        <f>K55+Assumptions!$J$13*MIN(L55,Assumptions!$H$13)</f>
        <v/>
      </c>
      <c r="W55">
        <f>RANK(V55,$V$5:$V$92)</f>
        <v/>
      </c>
      <c r="Y55">
        <f>N55-IF(T55="C",Assumptions!$B$27,IF(T55="B",Assumptions!$B$26,0))</f>
        <v/>
      </c>
    </row>
    <row r="56">
      <c r="A56" t="inlineStr">
        <is>
          <t>Kaitlyn Dever</t>
        </is>
      </c>
      <c r="B56" t="inlineStr">
        <is>
          <t>Godzilla x Kong: Supernova (Mar 26)</t>
        </is>
      </c>
      <c r="G56" t="inlineStr">
        <is>
          <t>Godzilla x Kong: Supernova (90%)</t>
        </is>
      </c>
      <c r="I56" t="n">
        <v>87.0046</v>
      </c>
      <c r="J56" t="n">
        <v>42.25</v>
      </c>
      <c r="K56" t="n">
        <v>2.846</v>
      </c>
      <c r="L56" t="n">
        <v>0</v>
      </c>
      <c r="M56">
        <f>K56+MIN(L56,Assumptions!$H$13)</f>
        <v/>
      </c>
      <c r="N56">
        <f>M56-Assumptions!$I$13</f>
        <v/>
      </c>
      <c r="O56">
        <f>N56-Assumptions!$B$25*Q56</f>
        <v/>
      </c>
      <c r="P56" t="n">
        <v>4</v>
      </c>
      <c r="Q56" t="n">
        <v>1.443</v>
      </c>
      <c r="R56" t="inlineStr">
        <is>
          <t>Wikipedia 'List of American films of 2027' casts (Actions-runner pull 2026-10-08) x comp-based box office/RT estimates; cast lists are billed leads only (cameos not captured)</t>
        </is>
      </c>
      <c r="S56" t="inlineStr">
        <is>
          <t>2026-10-08</t>
        </is>
      </c>
      <c r="T56" s="9" t="inlineStr">
        <is>
          <t>C</t>
        </is>
      </c>
      <c r="U56" t="inlineStr">
        <is>
          <t>[conf C: sd x1.25, p shrink 20%]</t>
        </is>
      </c>
      <c r="V56">
        <f>K56+Assumptions!$J$13*MIN(L56,Assumptions!$H$13)</f>
        <v/>
      </c>
      <c r="W56">
        <f>RANK(V56,$V$5:$V$92)</f>
        <v/>
      </c>
      <c r="Y56">
        <f>N56-IF(T56="C",Assumptions!$B$27,IF(T56="B",Assumptions!$B$26,0))</f>
        <v/>
      </c>
    </row>
    <row r="57">
      <c r="A57" t="inlineStr">
        <is>
          <t>Alycia Debnam-Carey</t>
        </is>
      </c>
      <c r="B57" t="inlineStr">
        <is>
          <t>Godzilla x Kong: Supernova (Mar 26)</t>
        </is>
      </c>
      <c r="G57" t="inlineStr">
        <is>
          <t>Godzilla x Kong: Supernova (90%)</t>
        </is>
      </c>
      <c r="I57" t="n">
        <v>87.0046</v>
      </c>
      <c r="J57" t="n">
        <v>42.25</v>
      </c>
      <c r="K57" t="n">
        <v>2.83</v>
      </c>
      <c r="L57" t="n">
        <v>0</v>
      </c>
      <c r="M57">
        <f>K57+MIN(L57,Assumptions!$H$13)</f>
        <v/>
      </c>
      <c r="N57">
        <f>M57-Assumptions!$I$13</f>
        <v/>
      </c>
      <c r="O57">
        <f>N57-Assumptions!$B$25*Q57</f>
        <v/>
      </c>
      <c r="P57" t="n">
        <v>4</v>
      </c>
      <c r="Q57" t="n">
        <v>1.428</v>
      </c>
      <c r="R57" t="inlineStr">
        <is>
          <t>Wikipedia 'List of American films of 2027' casts (Actions-runner pull 2026-10-08) x comp-based box office/RT estimates; cast lists are billed leads only (cameos not captured)</t>
        </is>
      </c>
      <c r="S57" t="inlineStr">
        <is>
          <t>2026-10-08</t>
        </is>
      </c>
      <c r="T57" s="9" t="inlineStr">
        <is>
          <t>C</t>
        </is>
      </c>
      <c r="U57" t="inlineStr">
        <is>
          <t>[conf C: sd x1.25, p shrink 20%]</t>
        </is>
      </c>
      <c r="V57">
        <f>K57+Assumptions!$J$13*MIN(L57,Assumptions!$H$13)</f>
        <v/>
      </c>
      <c r="W57">
        <f>RANK(V57,$V$5:$V$92)</f>
        <v/>
      </c>
      <c r="Y57">
        <f>N57-IF(T57="C",Assumptions!$B$27,IF(T57="B",Assumptions!$B$26,0))</f>
        <v/>
      </c>
    </row>
    <row r="58">
      <c r="A58" t="inlineStr">
        <is>
          <t>Monica Barbaro</t>
        </is>
      </c>
      <c r="B58" t="inlineStr">
        <is>
          <t>Untitled Ocean's Eleven prequel (Jun 25)</t>
        </is>
      </c>
      <c r="G58" t="inlineStr">
        <is>
          <t>Untitled Ocean's Eleven prequel (80%)</t>
        </is>
      </c>
      <c r="I58" t="n">
        <v>83.3146</v>
      </c>
      <c r="J58" t="n">
        <v>39.625</v>
      </c>
      <c r="K58" t="n">
        <v>2.779</v>
      </c>
      <c r="L58" t="n">
        <v>0</v>
      </c>
      <c r="M58">
        <f>K58+MIN(L58,Assumptions!$H$13)</f>
        <v/>
      </c>
      <c r="N58">
        <f>M58-Assumptions!$I$13</f>
        <v/>
      </c>
      <c r="O58">
        <f>N58-Assumptions!$B$25*Q58</f>
        <v/>
      </c>
      <c r="P58" t="n">
        <v>4</v>
      </c>
      <c r="Q58" t="n">
        <v>1.396</v>
      </c>
      <c r="R58" t="inlineStr">
        <is>
          <t>Wikipedia 'List of American films of 2027' casts (Actions-runner pull 2026-10-08) x comp-based box office/RT estimates; cast lists are billed leads only (cameos not captured)</t>
        </is>
      </c>
      <c r="S58" t="inlineStr">
        <is>
          <t>2026-10-08</t>
        </is>
      </c>
      <c r="T58" s="9" t="inlineStr">
        <is>
          <t>C</t>
        </is>
      </c>
      <c r="U58" t="inlineStr">
        <is>
          <t>[conf C: sd x1.25, p shrink 20%]</t>
        </is>
      </c>
      <c r="V58">
        <f>K58+Assumptions!$J$13*MIN(L58,Assumptions!$H$13)</f>
        <v/>
      </c>
      <c r="W58">
        <f>RANK(V58,$V$5:$V$92)</f>
        <v/>
      </c>
      <c r="Y58">
        <f>N58-IF(T58="C",Assumptions!$B$27,IF(T58="B",Assumptions!$B$26,0))</f>
        <v/>
      </c>
    </row>
    <row r="59">
      <c r="A59" t="inlineStr">
        <is>
          <t>Lauren Ridloff</t>
        </is>
      </c>
      <c r="B59" t="inlineStr">
        <is>
          <t>Untitled Ocean's Eleven prequel (Jun 25)</t>
        </is>
      </c>
      <c r="G59" t="inlineStr">
        <is>
          <t>Untitled Ocean's Eleven prequel (80%)</t>
        </is>
      </c>
      <c r="I59" t="n">
        <v>83.3146</v>
      </c>
      <c r="J59" t="n">
        <v>39.625</v>
      </c>
      <c r="K59" t="n">
        <v>2.761</v>
      </c>
      <c r="L59" t="n">
        <v>0</v>
      </c>
      <c r="M59">
        <f>K59+MIN(L59,Assumptions!$H$13)</f>
        <v/>
      </c>
      <c r="N59">
        <f>M59-Assumptions!$I$13</f>
        <v/>
      </c>
      <c r="O59">
        <f>N59-Assumptions!$B$25*Q59</f>
        <v/>
      </c>
      <c r="P59" t="n">
        <v>4</v>
      </c>
      <c r="Q59" t="n">
        <v>1.388</v>
      </c>
      <c r="R59" t="inlineStr">
        <is>
          <t>Wikipedia 'List of American films of 2027' casts (Actions-runner pull 2026-10-08) x comp-based box office/RT estimates; cast lists are billed leads only (cameos not captured)</t>
        </is>
      </c>
      <c r="S59" t="inlineStr">
        <is>
          <t>2026-10-08</t>
        </is>
      </c>
      <c r="T59" s="9" t="inlineStr">
        <is>
          <t>C</t>
        </is>
      </c>
      <c r="U59" t="inlineStr">
        <is>
          <t>[conf C: sd x1.25, p shrink 20%]</t>
        </is>
      </c>
      <c r="V59">
        <f>K59+Assumptions!$J$13*MIN(L59,Assumptions!$H$13)</f>
        <v/>
      </c>
      <c r="W59">
        <f>RANK(V59,$V$5:$V$92)</f>
        <v/>
      </c>
      <c r="Y59">
        <f>N59-IF(T59="C",Assumptions!$B$27,IF(T59="B",Assumptions!$B$26,0))</f>
        <v/>
      </c>
    </row>
    <row r="60">
      <c r="A60" t="inlineStr">
        <is>
          <t>Vicky Krieps</t>
        </is>
      </c>
      <c r="B60" t="inlineStr">
        <is>
          <t>Untitled Ocean's Eleven prequel (Jun 25)</t>
        </is>
      </c>
      <c r="G60" t="inlineStr">
        <is>
          <t>Untitled Ocean's Eleven prequel (80%)</t>
        </is>
      </c>
      <c r="I60" t="n">
        <v>83.3146</v>
      </c>
      <c r="J60" t="n">
        <v>39.625</v>
      </c>
      <c r="K60" t="n">
        <v>2.743</v>
      </c>
      <c r="L60" t="n">
        <v>0</v>
      </c>
      <c r="M60">
        <f>K60+MIN(L60,Assumptions!$H$13)</f>
        <v/>
      </c>
      <c r="N60">
        <f>M60-Assumptions!$I$13</f>
        <v/>
      </c>
      <c r="O60">
        <f>N60-Assumptions!$B$25*Q60</f>
        <v/>
      </c>
      <c r="P60" t="n">
        <v>4</v>
      </c>
      <c r="Q60" t="n">
        <v>1.389</v>
      </c>
      <c r="R60" t="inlineStr">
        <is>
          <t>Wikipedia 'List of American films of 2027' casts (Actions-runner pull 2026-10-08) x comp-based box office/RT estimates; cast lists are billed leads only (cameos not captured)</t>
        </is>
      </c>
      <c r="S60" t="inlineStr">
        <is>
          <t>2026-10-08</t>
        </is>
      </c>
      <c r="T60" s="9" t="inlineStr">
        <is>
          <t>C</t>
        </is>
      </c>
      <c r="U60" t="inlineStr">
        <is>
          <t>[conf C: sd x1.25, p shrink 20%]</t>
        </is>
      </c>
      <c r="V60">
        <f>K60+Assumptions!$J$13*MIN(L60,Assumptions!$H$13)</f>
        <v/>
      </c>
      <c r="W60">
        <f>RANK(V60,$V$5:$V$92)</f>
        <v/>
      </c>
      <c r="Y60">
        <f>N60-IF(T60="C",Assumptions!$B$27,IF(T60="B",Assumptions!$B$26,0))</f>
        <v/>
      </c>
    </row>
    <row r="61">
      <c r="A61" t="inlineStr">
        <is>
          <t>Margot Robbie</t>
        </is>
      </c>
      <c r="B61" t="inlineStr">
        <is>
          <t>Untitled Ocean's Eleven prequel (Jun 25)</t>
        </is>
      </c>
      <c r="G61" t="inlineStr">
        <is>
          <t>Untitled Ocean's Eleven prequel (80%)</t>
        </is>
      </c>
      <c r="I61" t="n">
        <v>83.3146</v>
      </c>
      <c r="J61" t="n">
        <v>39.625</v>
      </c>
      <c r="K61" t="n">
        <v>2.723</v>
      </c>
      <c r="L61" t="n">
        <v>0</v>
      </c>
      <c r="M61">
        <f>K61+MIN(L61,Assumptions!$H$13)</f>
        <v/>
      </c>
      <c r="N61">
        <f>M61-Assumptions!$I$13</f>
        <v/>
      </c>
      <c r="O61">
        <f>N61-Assumptions!$B$25*Q61</f>
        <v/>
      </c>
      <c r="P61" t="n">
        <v>4</v>
      </c>
      <c r="Q61" t="n">
        <v>1.377</v>
      </c>
      <c r="R61" t="inlineStr">
        <is>
          <t>Wikipedia 'List of American films of 2027' casts (Actions-runner pull 2026-10-08) x comp-based box office/RT estimates; cast lists are billed leads only (cameos not captured)</t>
        </is>
      </c>
      <c r="S61" t="inlineStr">
        <is>
          <t>2026-10-08</t>
        </is>
      </c>
      <c r="T61" s="9" t="inlineStr">
        <is>
          <t>C</t>
        </is>
      </c>
      <c r="U61" t="inlineStr">
        <is>
          <t>[conf C: sd x1.25, p shrink 20%]</t>
        </is>
      </c>
      <c r="V61">
        <f>K61+Assumptions!$J$13*MIN(L61,Assumptions!$H$13)</f>
        <v/>
      </c>
      <c r="W61">
        <f>RANK(V61,$V$5:$V$92)</f>
        <v/>
      </c>
      <c r="Y61">
        <f>N61-IF(T61="C",Assumptions!$B$27,IF(T61="B",Assumptions!$B$26,0))</f>
        <v/>
      </c>
    </row>
    <row r="62">
      <c r="A62" t="inlineStr">
        <is>
          <t>Emma Mackey</t>
        </is>
      </c>
      <c r="B62" t="inlineStr">
        <is>
          <t>The Great Beyond (Oct 1); Narnia: The Magician's Nephew (Feb 12)</t>
        </is>
      </c>
      <c r="G62" t="inlineStr">
        <is>
          <t>Narnia: The Magician's Nephew (60%); The Great Beyond (85%)</t>
        </is>
      </c>
      <c r="I62" t="n">
        <v>77.8246</v>
      </c>
      <c r="J62" t="n">
        <v>35.75</v>
      </c>
      <c r="K62" t="n">
        <v>2.63</v>
      </c>
      <c r="L62" t="n">
        <v>0</v>
      </c>
      <c r="M62">
        <f>K62+MIN(L62,Assumptions!$H$13)</f>
        <v/>
      </c>
      <c r="N62">
        <f>M62-Assumptions!$I$13</f>
        <v/>
      </c>
      <c r="O62">
        <f>N62-Assumptions!$B$25*Q62</f>
        <v/>
      </c>
      <c r="P62" t="n">
        <v>4</v>
      </c>
      <c r="Q62" t="n">
        <v>1.289</v>
      </c>
      <c r="R62" t="inlineStr">
        <is>
          <t>Wikipedia 'List of American films of 2027' casts (Actions-runner pull 2026-10-08) x comp-based box office/RT estimates; cast lists are billed leads only (cameos not captured)</t>
        </is>
      </c>
      <c r="S62" t="inlineStr">
        <is>
          <t>2026-10-08</t>
        </is>
      </c>
      <c r="T62" s="9" t="inlineStr">
        <is>
          <t>C</t>
        </is>
      </c>
      <c r="U62" t="inlineStr">
        <is>
          <t>[conf C: sd x1.25, p shrink 20%]</t>
        </is>
      </c>
      <c r="V62">
        <f>K62+Assumptions!$J$13*MIN(L62,Assumptions!$H$13)</f>
        <v/>
      </c>
      <c r="W62">
        <f>RANK(V62,$V$5:$V$92)</f>
        <v/>
      </c>
      <c r="Y62">
        <f>N62-IF(T62="C",Assumptions!$B$27,IF(T62="B",Assumptions!$B$26,0))</f>
        <v/>
      </c>
    </row>
    <row r="63">
      <c r="A63" t="inlineStr">
        <is>
          <t>Sandra Oh</t>
        </is>
      </c>
      <c r="B63" t="inlineStr">
        <is>
          <t>Untitled Daniels film (Nov 19)</t>
        </is>
      </c>
      <c r="G63" t="inlineStr">
        <is>
          <t>Untitled Daniels film (65%)</t>
        </is>
      </c>
      <c r="I63" t="n">
        <v>71.88460000000001</v>
      </c>
      <c r="J63" t="n">
        <v>31.75</v>
      </c>
      <c r="K63" t="n">
        <v>2.529</v>
      </c>
      <c r="L63" t="n">
        <v>0</v>
      </c>
      <c r="M63">
        <f>K63+MIN(L63,Assumptions!$H$13)</f>
        <v/>
      </c>
      <c r="N63">
        <f>M63-Assumptions!$I$13</f>
        <v/>
      </c>
      <c r="O63">
        <f>N63-Assumptions!$B$25*Q63</f>
        <v/>
      </c>
      <c r="P63" t="n">
        <v>4</v>
      </c>
      <c r="Q63" t="n">
        <v>1.235</v>
      </c>
      <c r="R63" t="inlineStr">
        <is>
          <t>Wikipedia 'List of American films of 2027' casts (Actions-runner pull 2026-10-08) x comp-based box office/RT estimates; cast lists are billed leads only (cameos not captured)</t>
        </is>
      </c>
      <c r="S63" t="inlineStr">
        <is>
          <t>2026-10-08</t>
        </is>
      </c>
      <c r="T63" s="9" t="inlineStr">
        <is>
          <t>C</t>
        </is>
      </c>
      <c r="U63" t="inlineStr">
        <is>
          <t>[conf C: sd x1.25, p shrink 20%]</t>
        </is>
      </c>
      <c r="V63">
        <f>K63+Assumptions!$J$13*MIN(L63,Assumptions!$H$13)</f>
        <v/>
      </c>
      <c r="W63">
        <f>RANK(V63,$V$5:$V$92)</f>
        <v/>
      </c>
      <c r="Y63">
        <f>N63-IF(T63="C",Assumptions!$B$27,IF(T63="B",Assumptions!$B$26,0))</f>
        <v/>
      </c>
    </row>
    <row r="64">
      <c r="A64" t="inlineStr">
        <is>
          <t>Emma Stone</t>
        </is>
      </c>
      <c r="B64" t="inlineStr">
        <is>
          <t>The Catch (May 21)</t>
        </is>
      </c>
      <c r="G64" t="inlineStr">
        <is>
          <t>The Catch (90%)</t>
        </is>
      </c>
      <c r="I64" t="n">
        <v>65.94459999999999</v>
      </c>
      <c r="J64" t="n">
        <v>27.625</v>
      </c>
      <c r="K64" t="n">
        <v>2.467</v>
      </c>
      <c r="L64" t="n">
        <v>0</v>
      </c>
      <c r="M64">
        <f>K64+MIN(L64,Assumptions!$H$13)</f>
        <v/>
      </c>
      <c r="N64">
        <f>M64-Assumptions!$I$13</f>
        <v/>
      </c>
      <c r="O64">
        <f>N64-Assumptions!$B$25*Q64</f>
        <v/>
      </c>
      <c r="P64" t="n">
        <v>4</v>
      </c>
      <c r="Q64" t="n">
        <v>1.188</v>
      </c>
      <c r="R64" t="inlineStr">
        <is>
          <t>Wikipedia 'List of American films of 2027' casts (Actions-runner pull 2026-10-08) x comp-based box office/RT estimates; cast lists are billed leads only (cameos not captured)</t>
        </is>
      </c>
      <c r="S64" t="inlineStr">
        <is>
          <t>2026-10-08</t>
        </is>
      </c>
      <c r="T64" s="9" t="inlineStr">
        <is>
          <t>C</t>
        </is>
      </c>
      <c r="U64" t="inlineStr">
        <is>
          <t>[conf C: sd x1.25, p shrink 20%]</t>
        </is>
      </c>
      <c r="V64">
        <f>K64+Assumptions!$J$13*MIN(L64,Assumptions!$H$13)</f>
        <v/>
      </c>
      <c r="W64">
        <f>RANK(V64,$V$5:$V$92)</f>
        <v/>
      </c>
      <c r="X64" s="16" t="inlineStr">
        <is>
          <t>Jamzee</t>
        </is>
      </c>
      <c r="Y64">
        <f>N64-IF(T64="C",Assumptions!$B$27,IF(T64="B",Assumptions!$B$26,0))</f>
        <v/>
      </c>
    </row>
    <row r="65">
      <c r="A65" t="inlineStr">
        <is>
          <t>Ashley Padilla</t>
        </is>
      </c>
      <c r="B65" t="inlineStr">
        <is>
          <t>The Catch (May 21)</t>
        </is>
      </c>
      <c r="G65" t="inlineStr">
        <is>
          <t>The Catch (90%)</t>
        </is>
      </c>
      <c r="I65" t="n">
        <v>65.94459999999999</v>
      </c>
      <c r="J65" t="n">
        <v>27.625</v>
      </c>
      <c r="K65" t="n">
        <v>2.462</v>
      </c>
      <c r="L65" t="n">
        <v>0</v>
      </c>
      <c r="M65">
        <f>K65+MIN(L65,Assumptions!$H$13)</f>
        <v/>
      </c>
      <c r="N65">
        <f>M65-Assumptions!$I$13</f>
        <v/>
      </c>
      <c r="O65">
        <f>N65-Assumptions!$B$25*Q65</f>
        <v/>
      </c>
      <c r="P65" t="n">
        <v>4</v>
      </c>
      <c r="Q65" t="n">
        <v>1.172</v>
      </c>
      <c r="R65" t="inlineStr">
        <is>
          <t>Wikipedia 'List of American films of 2027' casts (Actions-runner pull 2026-10-08) x comp-based box office/RT estimates; cast lists are billed leads only (cameos not captured)</t>
        </is>
      </c>
      <c r="S65" t="inlineStr">
        <is>
          <t>2026-10-08</t>
        </is>
      </c>
      <c r="T65" s="9" t="inlineStr">
        <is>
          <t>C</t>
        </is>
      </c>
      <c r="U65" t="inlineStr">
        <is>
          <t>[conf C: sd x1.25, p shrink 20%]</t>
        </is>
      </c>
      <c r="V65">
        <f>K65+Assumptions!$J$13*MIN(L65,Assumptions!$H$13)</f>
        <v/>
      </c>
      <c r="W65">
        <f>RANK(V65,$V$5:$V$92)</f>
        <v/>
      </c>
      <c r="Y65">
        <f>N65-IF(T65="C",Assumptions!$B$27,IF(T65="B",Assumptions!$B$26,0))</f>
        <v/>
      </c>
    </row>
    <row r="66">
      <c r="A66" t="inlineStr">
        <is>
          <t>Sissy Spacek</t>
        </is>
      </c>
      <c r="B66" t="inlineStr">
        <is>
          <t>The Catch (May 21)</t>
        </is>
      </c>
      <c r="G66" t="inlineStr">
        <is>
          <t>The Catch (90%)</t>
        </is>
      </c>
      <c r="I66" t="n">
        <v>65.94459999999999</v>
      </c>
      <c r="J66" t="n">
        <v>27.625</v>
      </c>
      <c r="K66" t="n">
        <v>2.445</v>
      </c>
      <c r="L66" t="n">
        <v>0</v>
      </c>
      <c r="M66">
        <f>K66+MIN(L66,Assumptions!$H$13)</f>
        <v/>
      </c>
      <c r="N66">
        <f>M66-Assumptions!$I$13</f>
        <v/>
      </c>
      <c r="O66">
        <f>N66-Assumptions!$B$25*Q66</f>
        <v/>
      </c>
      <c r="P66" t="n">
        <v>4</v>
      </c>
      <c r="Q66" t="n">
        <v>1.196</v>
      </c>
      <c r="R66" t="inlineStr">
        <is>
          <t>Wikipedia 'List of American films of 2027' casts (Actions-runner pull 2026-10-08) x comp-based box office/RT estimates; cast lists are billed leads only (cameos not captured)</t>
        </is>
      </c>
      <c r="S66" t="inlineStr">
        <is>
          <t>2026-10-08</t>
        </is>
      </c>
      <c r="T66" s="9" t="inlineStr">
        <is>
          <t>C</t>
        </is>
      </c>
      <c r="U66" t="inlineStr">
        <is>
          <t>[conf C: sd x1.25, p shrink 20%]</t>
        </is>
      </c>
      <c r="V66">
        <f>K66+Assumptions!$J$13*MIN(L66,Assumptions!$H$13)</f>
        <v/>
      </c>
      <c r="W66">
        <f>RANK(V66,$V$5:$V$92)</f>
        <v/>
      </c>
      <c r="Y66">
        <f>N66-IF(T66="C",Assumptions!$B$27,IF(T66="B",Assumptions!$B$26,0))</f>
        <v/>
      </c>
    </row>
    <row r="67">
      <c r="A67" t="inlineStr">
        <is>
          <t>Tig Notaro</t>
        </is>
      </c>
      <c r="B67" t="inlineStr">
        <is>
          <t>The Comeback King (Feb 5); Beach Read (May 7)</t>
        </is>
      </c>
      <c r="G67" t="inlineStr">
        <is>
          <t>The Comeback King (90%); Beach Read (90%)</t>
        </is>
      </c>
      <c r="I67" t="n">
        <v>64.77460000000001</v>
      </c>
      <c r="J67" t="n">
        <v>26.75</v>
      </c>
      <c r="K67" t="n">
        <v>2.416</v>
      </c>
      <c r="L67" t="n">
        <v>0</v>
      </c>
      <c r="M67">
        <f>K67+MIN(L67,Assumptions!$H$13)</f>
        <v/>
      </c>
      <c r="N67">
        <f>M67-Assumptions!$I$13</f>
        <v/>
      </c>
      <c r="O67">
        <f>N67-Assumptions!$B$25*Q67</f>
        <v/>
      </c>
      <c r="P67" t="n">
        <v>4</v>
      </c>
      <c r="Q67" t="n">
        <v>1.168</v>
      </c>
      <c r="R67" t="inlineStr">
        <is>
          <t>Wikipedia 'List of American films of 2027' casts (Actions-runner pull 2026-10-08) x comp-based box office/RT estimates; cast lists are billed leads only (cameos not captured)</t>
        </is>
      </c>
      <c r="S67" t="inlineStr">
        <is>
          <t>2026-10-08</t>
        </is>
      </c>
      <c r="T67" s="9" t="inlineStr">
        <is>
          <t>C</t>
        </is>
      </c>
      <c r="U67" t="inlineStr">
        <is>
          <t>[conf C: sd x1.25, p shrink 20%]</t>
        </is>
      </c>
      <c r="V67">
        <f>K67+Assumptions!$J$13*MIN(L67,Assumptions!$H$13)</f>
        <v/>
      </c>
      <c r="W67">
        <f>RANK(V67,$V$5:$V$92)</f>
        <v/>
      </c>
      <c r="Y67">
        <f>N67-IF(T67="C",Assumptions!$B$27,IF(T67="B",Assumptions!$B$26,0))</f>
        <v/>
      </c>
    </row>
    <row r="68">
      <c r="A68" t="inlineStr">
        <is>
          <t>Madelyn Cline</t>
        </is>
      </c>
      <c r="B68" t="inlineStr">
        <is>
          <t>The Comeback King (Feb 5); Day Drinker (Mar 26)</t>
        </is>
      </c>
      <c r="G68" t="inlineStr">
        <is>
          <t>The Comeback King (90%); Day Drinker (90%)</t>
        </is>
      </c>
      <c r="I68" t="n">
        <v>58.6546</v>
      </c>
      <c r="J68" t="n">
        <v>22.5</v>
      </c>
      <c r="K68" t="n">
        <v>2.328</v>
      </c>
      <c r="L68" t="n">
        <v>0</v>
      </c>
      <c r="M68">
        <f>K68+MIN(L68,Assumptions!$H$13)</f>
        <v/>
      </c>
      <c r="N68">
        <f>M68-Assumptions!$I$13</f>
        <v/>
      </c>
      <c r="O68">
        <f>N68-Assumptions!$B$25*Q68</f>
        <v/>
      </c>
      <c r="P68" t="n">
        <v>4</v>
      </c>
      <c r="Q68" t="n">
        <v>1.123</v>
      </c>
      <c r="R68" t="inlineStr">
        <is>
          <t>Wikipedia 'List of American films of 2027' casts (Actions-runner pull 2026-10-08) x comp-based box office/RT estimates; cast lists are billed leads only (cameos not captured)</t>
        </is>
      </c>
      <c r="S68" t="inlineStr">
        <is>
          <t>2026-10-08</t>
        </is>
      </c>
      <c r="T68" s="9" t="inlineStr">
        <is>
          <t>C</t>
        </is>
      </c>
      <c r="U68" t="inlineStr">
        <is>
          <t>[conf C: sd x1.25, p shrink 20%]</t>
        </is>
      </c>
      <c r="V68">
        <f>K68+Assumptions!$J$13*MIN(L68,Assumptions!$H$13)</f>
        <v/>
      </c>
      <c r="W68">
        <f>RANK(V68,$V$5:$V$92)</f>
        <v/>
      </c>
      <c r="Y68">
        <f>N68-IF(T68="C",Assumptions!$B$27,IF(T68="B",Assumptions!$B$26,0))</f>
        <v/>
      </c>
    </row>
    <row r="69">
      <c r="A69" t="inlineStr">
        <is>
          <t>Scarlett Johansson</t>
        </is>
      </c>
      <c r="B69" t="inlineStr">
        <is>
          <t>The Exorcist: Martyrs (Mar 12)</t>
        </is>
      </c>
      <c r="G69" t="inlineStr">
        <is>
          <t>The Exorcist: Martyrs (80%)</t>
        </is>
      </c>
      <c r="I69" t="n">
        <v>57.9346</v>
      </c>
      <c r="J69" t="n">
        <v>22</v>
      </c>
      <c r="K69" t="n">
        <v>2.322</v>
      </c>
      <c r="L69" t="n">
        <v>0</v>
      </c>
      <c r="M69">
        <f>K69+MIN(L69,Assumptions!$H$13)</f>
        <v/>
      </c>
      <c r="N69">
        <f>M69-Assumptions!$I$13</f>
        <v/>
      </c>
      <c r="O69">
        <f>N69-Assumptions!$B$25*Q69</f>
        <v/>
      </c>
      <c r="P69" t="n">
        <v>4</v>
      </c>
      <c r="Q69" t="n">
        <v>1.118</v>
      </c>
      <c r="R69" t="inlineStr">
        <is>
          <t>Wikipedia 'List of American films of 2027' casts (Actions-runner pull 2026-10-08) x comp-based box office/RT estimates; cast lists are billed leads only (cameos not captured)</t>
        </is>
      </c>
      <c r="S69" t="inlineStr">
        <is>
          <t>2026-10-08</t>
        </is>
      </c>
      <c r="T69" s="9" t="inlineStr">
        <is>
          <t>C</t>
        </is>
      </c>
      <c r="U69" t="inlineStr">
        <is>
          <t>[conf C: sd x1.25, p shrink 20%]</t>
        </is>
      </c>
      <c r="V69">
        <f>K69+Assumptions!$J$13*MIN(L69,Assumptions!$H$13)</f>
        <v/>
      </c>
      <c r="W69">
        <f>RANK(V69,$V$5:$V$92)</f>
        <v/>
      </c>
      <c r="Y69">
        <f>N69-IF(T69="C",Assumptions!$B$27,IF(T69="B",Assumptions!$B$26,0))</f>
        <v/>
      </c>
    </row>
    <row r="70">
      <c r="A70" t="inlineStr">
        <is>
          <t>Jenna Ortega</t>
        </is>
      </c>
      <c r="B70" t="inlineStr">
        <is>
          <t>The Great Beyond (Oct 1)</t>
        </is>
      </c>
      <c r="G70" t="inlineStr">
        <is>
          <t>The Great Beyond (85%)</t>
        </is>
      </c>
      <c r="I70" t="n">
        <v>58.3846</v>
      </c>
      <c r="J70" t="n">
        <v>22.375</v>
      </c>
      <c r="K70" t="n">
        <v>2.314</v>
      </c>
      <c r="L70" t="n">
        <v>0</v>
      </c>
      <c r="M70">
        <f>K70+MIN(L70,Assumptions!$H$13)</f>
        <v/>
      </c>
      <c r="N70">
        <f>M70-Assumptions!$I$13</f>
        <v/>
      </c>
      <c r="O70">
        <f>N70-Assumptions!$B$25*Q70</f>
        <v/>
      </c>
      <c r="P70" t="n">
        <v>4</v>
      </c>
      <c r="Q70" t="n">
        <v>1.12</v>
      </c>
      <c r="R70" t="inlineStr">
        <is>
          <t>Wikipedia 'List of American films of 2027' casts (Actions-runner pull 2026-10-08) x comp-based box office/RT estimates; cast lists are billed leads only (cameos not captured)</t>
        </is>
      </c>
      <c r="S70" t="inlineStr">
        <is>
          <t>2026-10-08</t>
        </is>
      </c>
      <c r="T70" s="9" t="inlineStr">
        <is>
          <t>C</t>
        </is>
      </c>
      <c r="U70" t="inlineStr">
        <is>
          <t>[conf C: sd x1.25, p shrink 20%]</t>
        </is>
      </c>
      <c r="V70">
        <f>K70+Assumptions!$J$13*MIN(L70,Assumptions!$H$13)</f>
        <v/>
      </c>
      <c r="W70">
        <f>RANK(V70,$V$5:$V$92)</f>
        <v/>
      </c>
      <c r="Y70">
        <f>N70-IF(T70="C",Assumptions!$B$27,IF(T70="B",Assumptions!$B$26,0))</f>
        <v/>
      </c>
    </row>
    <row r="71">
      <c r="A71" t="inlineStr">
        <is>
          <t>Sasha Calle</t>
        </is>
      </c>
      <c r="B71" t="inlineStr">
        <is>
          <t>The Exorcist: Martyrs (Mar 12)</t>
        </is>
      </c>
      <c r="G71" t="inlineStr">
        <is>
          <t>The Exorcist: Martyrs (80%)</t>
        </is>
      </c>
      <c r="I71" t="n">
        <v>57.9346</v>
      </c>
      <c r="J71" t="n">
        <v>22</v>
      </c>
      <c r="K71" t="n">
        <v>2.311</v>
      </c>
      <c r="L71" t="n">
        <v>0</v>
      </c>
      <c r="M71">
        <f>K71+MIN(L71,Assumptions!$H$13)</f>
        <v/>
      </c>
      <c r="N71">
        <f>M71-Assumptions!$I$13</f>
        <v/>
      </c>
      <c r="O71">
        <f>N71-Assumptions!$B$25*Q71</f>
        <v/>
      </c>
      <c r="P71" t="n">
        <v>4</v>
      </c>
      <c r="Q71" t="n">
        <v>1.103</v>
      </c>
      <c r="R71" t="inlineStr">
        <is>
          <t>Wikipedia 'List of American films of 2027' casts (Actions-runner pull 2026-10-08) x comp-based box office/RT estimates; cast lists are billed leads only (cameos not captured)</t>
        </is>
      </c>
      <c r="S71" t="inlineStr">
        <is>
          <t>2026-10-08</t>
        </is>
      </c>
      <c r="T71" s="9" t="inlineStr">
        <is>
          <t>C</t>
        </is>
      </c>
      <c r="U71" t="inlineStr">
        <is>
          <t>[conf C: sd x1.25, p shrink 20%]</t>
        </is>
      </c>
      <c r="V71">
        <f>K71+Assumptions!$J$13*MIN(L71,Assumptions!$H$13)</f>
        <v/>
      </c>
      <c r="W71">
        <f>RANK(V71,$V$5:$V$92)</f>
        <v/>
      </c>
      <c r="Y71">
        <f>N71-IF(T71="C",Assumptions!$B$27,IF(T71="B",Assumptions!$B$26,0))</f>
        <v/>
      </c>
    </row>
    <row r="72">
      <c r="A72" t="inlineStr">
        <is>
          <t>Merritt Wever</t>
        </is>
      </c>
      <c r="B72" t="inlineStr">
        <is>
          <t>The Great Beyond (Oct 1)</t>
        </is>
      </c>
      <c r="G72" t="inlineStr">
        <is>
          <t>The Great Beyond (85%)</t>
        </is>
      </c>
      <c r="I72" t="n">
        <v>58.3846</v>
      </c>
      <c r="J72" t="n">
        <v>22.375</v>
      </c>
      <c r="K72" t="n">
        <v>2.305</v>
      </c>
      <c r="L72" t="n">
        <v>0</v>
      </c>
      <c r="M72">
        <f>K72+MIN(L72,Assumptions!$H$13)</f>
        <v/>
      </c>
      <c r="N72">
        <f>M72-Assumptions!$I$13</f>
        <v/>
      </c>
      <c r="O72">
        <f>N72-Assumptions!$B$25*Q72</f>
        <v/>
      </c>
      <c r="P72" t="n">
        <v>4</v>
      </c>
      <c r="Q72" t="n">
        <v>1.101</v>
      </c>
      <c r="R72" t="inlineStr">
        <is>
          <t>Wikipedia 'List of American films of 2027' casts (Actions-runner pull 2026-10-08) x comp-based box office/RT estimates; cast lists are billed leads only (cameos not captured)</t>
        </is>
      </c>
      <c r="S72" t="inlineStr">
        <is>
          <t>2026-10-08</t>
        </is>
      </c>
      <c r="T72" s="9" t="inlineStr">
        <is>
          <t>C</t>
        </is>
      </c>
      <c r="U72" t="inlineStr">
        <is>
          <t>[conf C: sd x1.25, p shrink 20%]</t>
        </is>
      </c>
      <c r="V72">
        <f>K72+Assumptions!$J$13*MIN(L72,Assumptions!$H$13)</f>
        <v/>
      </c>
      <c r="W72">
        <f>RANK(V72,$V$5:$V$92)</f>
        <v/>
      </c>
      <c r="Y72">
        <f>N72-IF(T72="C",Assumptions!$B$27,IF(T72="B",Assumptions!$B$26,0))</f>
        <v/>
      </c>
    </row>
    <row r="73">
      <c r="A73" t="inlineStr">
        <is>
          <t>Sophie Okonedo</t>
        </is>
      </c>
      <c r="B73" t="inlineStr">
        <is>
          <t>The Great Beyond (Oct 1)</t>
        </is>
      </c>
      <c r="G73" t="inlineStr">
        <is>
          <t>The Great Beyond (85%)</t>
        </is>
      </c>
      <c r="I73" t="n">
        <v>58.3846</v>
      </c>
      <c r="J73" t="n">
        <v>22.375</v>
      </c>
      <c r="K73" t="n">
        <v>2.297</v>
      </c>
      <c r="L73" t="n">
        <v>0</v>
      </c>
      <c r="M73">
        <f>K73+MIN(L73,Assumptions!$H$13)</f>
        <v/>
      </c>
      <c r="N73">
        <f>M73-Assumptions!$I$13</f>
        <v/>
      </c>
      <c r="O73">
        <f>N73-Assumptions!$B$25*Q73</f>
        <v/>
      </c>
      <c r="P73" t="n">
        <v>4</v>
      </c>
      <c r="Q73" t="n">
        <v>1.111</v>
      </c>
      <c r="R73" t="inlineStr">
        <is>
          <t>Wikipedia 'List of American films of 2027' casts (Actions-runner pull 2026-10-08) x comp-based box office/RT estimates; cast lists are billed leads only (cameos not captured)</t>
        </is>
      </c>
      <c r="S73" t="inlineStr">
        <is>
          <t>2026-10-08</t>
        </is>
      </c>
      <c r="T73" s="9" t="inlineStr">
        <is>
          <t>C</t>
        </is>
      </c>
      <c r="U73" t="inlineStr">
        <is>
          <t>[conf C: sd x1.25, p shrink 20%]</t>
        </is>
      </c>
      <c r="V73">
        <f>K73+Assumptions!$J$13*MIN(L73,Assumptions!$H$13)</f>
        <v/>
      </c>
      <c r="W73">
        <f>RANK(V73,$V$5:$V$92)</f>
        <v/>
      </c>
      <c r="Y73">
        <f>N73-IF(T73="C",Assumptions!$B$27,IF(T73="B",Assumptions!$B$26,0))</f>
        <v/>
      </c>
    </row>
    <row r="74">
      <c r="A74" t="inlineStr">
        <is>
          <t>Rachel Weisz</t>
        </is>
      </c>
      <c r="B74" t="inlineStr">
        <is>
          <t>Untitled The Mummy Returns sequel (Oct 15)</t>
        </is>
      </c>
      <c r="G74" t="inlineStr">
        <is>
          <t>Untitled The Mummy Returns sequel (80%)</t>
        </is>
      </c>
      <c r="I74" t="n">
        <v>56.4946</v>
      </c>
      <c r="J74" t="n">
        <v>21</v>
      </c>
      <c r="K74" t="n">
        <v>2.295</v>
      </c>
      <c r="L74" t="n">
        <v>0</v>
      </c>
      <c r="M74">
        <f>K74+MIN(L74,Assumptions!$H$13)</f>
        <v/>
      </c>
      <c r="N74">
        <f>M74-Assumptions!$I$13</f>
        <v/>
      </c>
      <c r="O74">
        <f>N74-Assumptions!$B$25*Q74</f>
        <v/>
      </c>
      <c r="P74" t="n">
        <v>4</v>
      </c>
      <c r="Q74" t="n">
        <v>1.096</v>
      </c>
      <c r="R74" t="inlineStr">
        <is>
          <t>Wikipedia 'List of American films of 2027' casts (Actions-runner pull 2026-10-08) x comp-based box office/RT estimates; cast lists are billed leads only (cameos not captured)</t>
        </is>
      </c>
      <c r="S74" t="inlineStr">
        <is>
          <t>2026-10-08</t>
        </is>
      </c>
      <c r="T74" s="9" t="inlineStr">
        <is>
          <t>C</t>
        </is>
      </c>
      <c r="U74" t="inlineStr">
        <is>
          <t>[conf C: sd x1.25, p shrink 20%]</t>
        </is>
      </c>
      <c r="V74">
        <f>K74+Assumptions!$J$13*MIN(L74,Assumptions!$H$13)</f>
        <v/>
      </c>
      <c r="W74">
        <f>RANK(V74,$V$5:$V$92)</f>
        <v/>
      </c>
      <c r="Y74">
        <f>N74-IF(T74="C",Assumptions!$B$27,IF(T74="B",Assumptions!$B$26,0))</f>
        <v/>
      </c>
    </row>
    <row r="75">
      <c r="A75" t="inlineStr">
        <is>
          <t>Lily Gladstone</t>
        </is>
      </c>
      <c r="B75" t="inlineStr">
        <is>
          <t>The Thomas Crown Affair (Mar 5)</t>
        </is>
      </c>
      <c r="G75" t="inlineStr">
        <is>
          <t>The Thomas Crown Affair (85%)</t>
        </is>
      </c>
      <c r="I75" t="n">
        <v>56.0446</v>
      </c>
      <c r="J75" t="n">
        <v>20.75</v>
      </c>
      <c r="K75" t="n">
        <v>2.282</v>
      </c>
      <c r="L75" t="n">
        <v>0</v>
      </c>
      <c r="M75">
        <f>K75+MIN(L75,Assumptions!$H$13)</f>
        <v/>
      </c>
      <c r="N75">
        <f>M75-Assumptions!$I$13</f>
        <v/>
      </c>
      <c r="O75">
        <f>N75-Assumptions!$B$25*Q75</f>
        <v/>
      </c>
      <c r="P75" t="n">
        <v>4</v>
      </c>
      <c r="Q75" t="n">
        <v>1.105</v>
      </c>
      <c r="R75" t="inlineStr">
        <is>
          <t>Wikipedia 'List of American films of 2027' casts (Actions-runner pull 2026-10-08) x comp-based box office/RT estimates; cast lists are billed leads only (cameos not captured)</t>
        </is>
      </c>
      <c r="S75" t="inlineStr">
        <is>
          <t>2026-10-08</t>
        </is>
      </c>
      <c r="T75" s="9" t="inlineStr">
        <is>
          <t>C</t>
        </is>
      </c>
      <c r="U75" t="inlineStr">
        <is>
          <t>[conf C: sd x1.25, p shrink 20%]</t>
        </is>
      </c>
      <c r="V75">
        <f>K75+Assumptions!$J$13*MIN(L75,Assumptions!$H$13)</f>
        <v/>
      </c>
      <c r="W75">
        <f>RANK(V75,$V$5:$V$92)</f>
        <v/>
      </c>
      <c r="Y75">
        <f>N75-IF(T75="C",Assumptions!$B$27,IF(T75="B",Assumptions!$B$26,0))</f>
        <v/>
      </c>
    </row>
    <row r="76">
      <c r="A76" t="inlineStr">
        <is>
          <t>Danai Gurira</t>
        </is>
      </c>
      <c r="B76" t="inlineStr">
        <is>
          <t>The Thomas Crown Affair (Mar 5)</t>
        </is>
      </c>
      <c r="G76" t="inlineStr">
        <is>
          <t>The Thomas Crown Affair (85%)</t>
        </is>
      </c>
      <c r="I76" t="n">
        <v>56.0446</v>
      </c>
      <c r="J76" t="n">
        <v>20.75</v>
      </c>
      <c r="K76" t="n">
        <v>2.268</v>
      </c>
      <c r="L76" t="n">
        <v>0</v>
      </c>
      <c r="M76">
        <f>K76+MIN(L76,Assumptions!$H$13)</f>
        <v/>
      </c>
      <c r="N76">
        <f>M76-Assumptions!$I$13</f>
        <v/>
      </c>
      <c r="O76">
        <f>N76-Assumptions!$B$25*Q76</f>
        <v/>
      </c>
      <c r="P76" t="n">
        <v>4</v>
      </c>
      <c r="Q76" t="n">
        <v>1.095</v>
      </c>
      <c r="R76" t="inlineStr">
        <is>
          <t>Wikipedia 'List of American films of 2027' casts (Actions-runner pull 2026-10-08) x comp-based box office/RT estimates; cast lists are billed leads only (cameos not captured)</t>
        </is>
      </c>
      <c r="S76" t="inlineStr">
        <is>
          <t>2026-10-08</t>
        </is>
      </c>
      <c r="T76" s="9" t="inlineStr">
        <is>
          <t>C</t>
        </is>
      </c>
      <c r="U76" t="inlineStr">
        <is>
          <t>[conf C: sd x1.25, p shrink 20%]</t>
        </is>
      </c>
      <c r="V76">
        <f>K76+Assumptions!$J$13*MIN(L76,Assumptions!$H$13)</f>
        <v/>
      </c>
      <c r="W76">
        <f>RANK(V76,$V$5:$V$92)</f>
        <v/>
      </c>
      <c r="Y76">
        <f>N76-IF(T76="C",Assumptions!$B$27,IF(T76="B",Assumptions!$B$26,0))</f>
        <v/>
      </c>
    </row>
    <row r="77">
      <c r="A77" t="inlineStr">
        <is>
          <t>Yara Shahidi</t>
        </is>
      </c>
      <c r="B77" t="inlineStr">
        <is>
          <t>The Beekeeper 2 (Jan 15)</t>
        </is>
      </c>
      <c r="G77" t="inlineStr">
        <is>
          <t>The Beekeeper 2 (90%)</t>
        </is>
      </c>
      <c r="I77" t="n">
        <v>52.9846</v>
      </c>
      <c r="J77" t="n">
        <v>18.5</v>
      </c>
      <c r="K77" t="n">
        <v>2.262</v>
      </c>
      <c r="L77" t="n">
        <v>0</v>
      </c>
      <c r="M77">
        <f>K77+MIN(L77,Assumptions!$H$13)</f>
        <v/>
      </c>
      <c r="N77">
        <f>M77-Assumptions!$I$13</f>
        <v/>
      </c>
      <c r="O77">
        <f>N77-Assumptions!$B$25*Q77</f>
        <v/>
      </c>
      <c r="P77" t="n">
        <v>4</v>
      </c>
      <c r="Q77" t="n">
        <v>1.103</v>
      </c>
      <c r="R77" t="inlineStr">
        <is>
          <t>Wikipedia 'List of American films of 2027' casts (Actions-runner pull 2026-10-08) x comp-based box office/RT estimates; cast lists are billed leads only (cameos not captured)</t>
        </is>
      </c>
      <c r="S77" t="inlineStr">
        <is>
          <t>2026-10-08</t>
        </is>
      </c>
      <c r="T77" s="9" t="inlineStr">
        <is>
          <t>C</t>
        </is>
      </c>
      <c r="U77" t="inlineStr">
        <is>
          <t>[conf C: sd x1.25, p shrink 20%]</t>
        </is>
      </c>
      <c r="V77">
        <f>K77+Assumptions!$J$13*MIN(L77,Assumptions!$H$13)</f>
        <v/>
      </c>
      <c r="W77">
        <f>RANK(V77,$V$5:$V$92)</f>
        <v/>
      </c>
      <c r="Y77">
        <f>N77-IF(T77="C",Assumptions!$B$27,IF(T77="B",Assumptions!$B$26,0))</f>
        <v/>
      </c>
    </row>
    <row r="78">
      <c r="A78" t="inlineStr">
        <is>
          <t>Vanessa Bayer</t>
        </is>
      </c>
      <c r="B78" t="inlineStr">
        <is>
          <t>The Comeback King (Feb 5)</t>
        </is>
      </c>
      <c r="G78" t="inlineStr">
        <is>
          <t>The Comeback King (90%)</t>
        </is>
      </c>
      <c r="I78" t="n">
        <v>52.6246</v>
      </c>
      <c r="J78" t="n">
        <v>18.375</v>
      </c>
      <c r="K78" t="n">
        <v>2.243</v>
      </c>
      <c r="L78" t="n">
        <v>0</v>
      </c>
      <c r="M78">
        <f>K78+MIN(L78,Assumptions!$H$13)</f>
        <v/>
      </c>
      <c r="N78">
        <f>M78-Assumptions!$I$13</f>
        <v/>
      </c>
      <c r="O78">
        <f>N78-Assumptions!$B$25*Q78</f>
        <v/>
      </c>
      <c r="P78" t="n">
        <v>4</v>
      </c>
      <c r="Q78" t="n">
        <v>1.08</v>
      </c>
      <c r="R78" t="inlineStr">
        <is>
          <t>Wikipedia 'List of American films of 2027' casts (Actions-runner pull 2026-10-08) x comp-based box office/RT estimates; cast lists are billed leads only (cameos not captured)</t>
        </is>
      </c>
      <c r="S78" t="inlineStr">
        <is>
          <t>2026-10-08</t>
        </is>
      </c>
      <c r="T78" s="9" t="inlineStr">
        <is>
          <t>C</t>
        </is>
      </c>
      <c r="U78" t="inlineStr">
        <is>
          <t>[conf C: sd x1.25, p shrink 20%]</t>
        </is>
      </c>
      <c r="V78">
        <f>K78+Assumptions!$J$13*MIN(L78,Assumptions!$H$13)</f>
        <v/>
      </c>
      <c r="W78">
        <f>RANK(V78,$V$5:$V$92)</f>
        <v/>
      </c>
      <c r="Y78">
        <f>N78-IF(T78="C",Assumptions!$B$27,IF(T78="B",Assumptions!$B$26,0))</f>
        <v/>
      </c>
    </row>
    <row r="79">
      <c r="A79" t="inlineStr">
        <is>
          <t>Phoebe Dynevor</t>
        </is>
      </c>
      <c r="B79" t="inlineStr">
        <is>
          <t>Remain (Feb 5); Beach Read (May 7); Pendulum (Jan 1)</t>
        </is>
      </c>
      <c r="G79" t="inlineStr">
        <is>
          <t>Pendulum (90%); Remain (90%); Beach Read (90%)</t>
        </is>
      </c>
      <c r="I79" t="n">
        <v>53.1646</v>
      </c>
      <c r="J79" t="n">
        <v>18.625</v>
      </c>
      <c r="K79" t="n">
        <v>2.238</v>
      </c>
      <c r="L79" t="n">
        <v>0</v>
      </c>
      <c r="M79">
        <f>K79+MIN(L79,Assumptions!$H$13)</f>
        <v/>
      </c>
      <c r="N79">
        <f>M79-Assumptions!$I$13</f>
        <v/>
      </c>
      <c r="O79">
        <f>N79-Assumptions!$B$25*Q79</f>
        <v/>
      </c>
      <c r="P79" t="n">
        <v>4</v>
      </c>
      <c r="Q79" t="n">
        <v>1.068</v>
      </c>
      <c r="R79" t="inlineStr">
        <is>
          <t>Wikipedia 'List of American films of 2027' casts (Actions-runner pull 2026-10-08) x comp-based box office/RT estimates; cast lists are billed leads only (cameos not captured)</t>
        </is>
      </c>
      <c r="S79" t="inlineStr">
        <is>
          <t>2026-10-08</t>
        </is>
      </c>
      <c r="T79" s="9" t="inlineStr">
        <is>
          <t>C</t>
        </is>
      </c>
      <c r="U79" t="inlineStr">
        <is>
          <t>[conf C: sd x1.25, p shrink 20%]</t>
        </is>
      </c>
      <c r="V79">
        <f>K79+Assumptions!$J$13*MIN(L79,Assumptions!$H$13)</f>
        <v/>
      </c>
      <c r="W79">
        <f>RANK(V79,$V$5:$V$92)</f>
        <v/>
      </c>
      <c r="Y79">
        <f>N79-IF(T79="C",Assumptions!$B$27,IF(T79="B",Assumptions!$B$26,0))</f>
        <v/>
      </c>
    </row>
    <row r="80">
      <c r="A80" t="inlineStr">
        <is>
          <t>Pom Klementieff</t>
        </is>
      </c>
      <c r="B80" t="inlineStr">
        <is>
          <t>The Beekeeper 2 (Jan 15)</t>
        </is>
      </c>
      <c r="G80" t="inlineStr">
        <is>
          <t>The Beekeeper 2 (90%)</t>
        </is>
      </c>
      <c r="I80" t="n">
        <v>52.9846</v>
      </c>
      <c r="J80" t="n">
        <v>18.5</v>
      </c>
      <c r="K80" t="n">
        <v>2.234</v>
      </c>
      <c r="L80" t="n">
        <v>0</v>
      </c>
      <c r="M80">
        <f>K80+MIN(L80,Assumptions!$H$13)</f>
        <v/>
      </c>
      <c r="N80">
        <f>M80-Assumptions!$I$13</f>
        <v/>
      </c>
      <c r="O80">
        <f>N80-Assumptions!$B$25*Q80</f>
        <v/>
      </c>
      <c r="P80" t="n">
        <v>4</v>
      </c>
      <c r="Q80" t="n">
        <v>1.075</v>
      </c>
      <c r="R80" t="inlineStr">
        <is>
          <t>Wikipedia 'List of American films of 2027' casts (Actions-runner pull 2026-10-08) x comp-based box office/RT estimates; cast lists are billed leads only (cameos not captured)</t>
        </is>
      </c>
      <c r="S80" t="inlineStr">
        <is>
          <t>2026-10-08</t>
        </is>
      </c>
      <c r="T80" s="9" t="inlineStr">
        <is>
          <t>C</t>
        </is>
      </c>
      <c r="U80" t="inlineStr">
        <is>
          <t>[conf C: sd x1.25, p shrink 20%]</t>
        </is>
      </c>
      <c r="V80">
        <f>K80+Assumptions!$J$13*MIN(L80,Assumptions!$H$13)</f>
        <v/>
      </c>
      <c r="W80">
        <f>RANK(V80,$V$5:$V$92)</f>
        <v/>
      </c>
      <c r="Y80">
        <f>N80-IF(T80="C",Assumptions!$B$27,IF(T80="B",Assumptions!$B$26,0))</f>
        <v/>
      </c>
    </row>
    <row r="81">
      <c r="A81" t="inlineStr">
        <is>
          <t>Emmy Raver-Lampman</t>
        </is>
      </c>
      <c r="B81" t="inlineStr">
        <is>
          <t>The Beekeeper 2 (Jan 15)</t>
        </is>
      </c>
      <c r="G81" t="inlineStr">
        <is>
          <t>The Beekeeper 2 (90%)</t>
        </is>
      </c>
      <c r="I81" t="n">
        <v>52.9846</v>
      </c>
      <c r="J81" t="n">
        <v>18.5</v>
      </c>
      <c r="K81" t="n">
        <v>2.226</v>
      </c>
      <c r="L81" t="n">
        <v>0</v>
      </c>
      <c r="M81">
        <f>K81+MIN(L81,Assumptions!$H$13)</f>
        <v/>
      </c>
      <c r="N81">
        <f>M81-Assumptions!$I$13</f>
        <v/>
      </c>
      <c r="O81">
        <f>N81-Assumptions!$B$25*Q81</f>
        <v/>
      </c>
      <c r="P81" t="n">
        <v>4</v>
      </c>
      <c r="Q81" t="n">
        <v>1.07</v>
      </c>
      <c r="R81" t="inlineStr">
        <is>
          <t>Wikipedia 'List of American films of 2027' casts (Actions-runner pull 2026-10-08) x comp-based box office/RT estimates; cast lists are billed leads only (cameos not captured)</t>
        </is>
      </c>
      <c r="S81" t="inlineStr">
        <is>
          <t>2026-10-08</t>
        </is>
      </c>
      <c r="T81" s="9" t="inlineStr">
        <is>
          <t>C</t>
        </is>
      </c>
      <c r="U81" t="inlineStr">
        <is>
          <t>[conf C: sd x1.25, p shrink 20%]</t>
        </is>
      </c>
      <c r="V81">
        <f>K81+Assumptions!$J$13*MIN(L81,Assumptions!$H$13)</f>
        <v/>
      </c>
      <c r="W81">
        <f>RANK(V81,$V$5:$V$92)</f>
        <v/>
      </c>
      <c r="Y81">
        <f>N81-IF(T81="C",Assumptions!$B$27,IF(T81="B",Assumptions!$B$26,0))</f>
        <v/>
      </c>
    </row>
    <row r="82">
      <c r="A82" t="inlineStr">
        <is>
          <t>Brittany Snow</t>
        </is>
      </c>
      <c r="B82" t="inlineStr">
        <is>
          <t>The Housemaid's Secret (Dec 17)</t>
        </is>
      </c>
      <c r="G82" t="inlineStr">
        <is>
          <t>The Housemaid's Secret (75%)</t>
        </is>
      </c>
      <c r="I82" t="n">
        <v>50.7346</v>
      </c>
      <c r="J82" t="n">
        <v>17</v>
      </c>
      <c r="K82" t="n">
        <v>2.224</v>
      </c>
      <c r="L82" t="n">
        <v>0</v>
      </c>
      <c r="M82">
        <f>K82+MIN(L82,Assumptions!$H$13)</f>
        <v/>
      </c>
      <c r="N82">
        <f>M82-Assumptions!$I$13</f>
        <v/>
      </c>
      <c r="O82">
        <f>N82-Assumptions!$B$25*Q82</f>
        <v/>
      </c>
      <c r="P82" t="n">
        <v>4</v>
      </c>
      <c r="Q82" t="n">
        <v>1.076</v>
      </c>
      <c r="R82" t="inlineStr">
        <is>
          <t>Wikipedia 'List of American films of 2027' casts (Actions-runner pull 2026-10-08) x comp-based box office/RT estimates; cast lists are billed leads only (cameos not captured)</t>
        </is>
      </c>
      <c r="S82" t="inlineStr">
        <is>
          <t>2026-10-08</t>
        </is>
      </c>
      <c r="T82" s="9" t="inlineStr">
        <is>
          <t>C</t>
        </is>
      </c>
      <c r="U82" t="inlineStr">
        <is>
          <t>[conf C: sd x1.25, p shrink 20%]</t>
        </is>
      </c>
      <c r="V82">
        <f>K82+Assumptions!$J$13*MIN(L82,Assumptions!$H$13)</f>
        <v/>
      </c>
      <c r="W82">
        <f>RANK(V82,$V$5:$V$92)</f>
        <v/>
      </c>
      <c r="Y82">
        <f>N82-IF(T82="C",Assumptions!$B$27,IF(T82="B",Assumptions!$B$26,0))</f>
        <v/>
      </c>
    </row>
    <row r="83">
      <c r="A83" t="inlineStr">
        <is>
          <t>Cristin Milioti</t>
        </is>
      </c>
      <c r="B83" t="inlineStr">
        <is>
          <t>The Comeback King (Feb 5)</t>
        </is>
      </c>
      <c r="G83" t="inlineStr">
        <is>
          <t>The Comeback King (90%)</t>
        </is>
      </c>
      <c r="I83" t="n">
        <v>52.6246</v>
      </c>
      <c r="J83" t="n">
        <v>18.375</v>
      </c>
      <c r="K83" t="n">
        <v>2.219</v>
      </c>
      <c r="L83" t="n">
        <v>0</v>
      </c>
      <c r="M83">
        <f>K83+MIN(L83,Assumptions!$H$13)</f>
        <v/>
      </c>
      <c r="N83">
        <f>M83-Assumptions!$I$13</f>
        <v/>
      </c>
      <c r="O83">
        <f>N83-Assumptions!$B$25*Q83</f>
        <v/>
      </c>
      <c r="P83" t="n">
        <v>4</v>
      </c>
      <c r="Q83" t="n">
        <v>1.058</v>
      </c>
      <c r="R83" t="inlineStr">
        <is>
          <t>Wikipedia 'List of American films of 2027' casts (Actions-runner pull 2026-10-08) x comp-based box office/RT estimates; cast lists are billed leads only (cameos not captured)</t>
        </is>
      </c>
      <c r="S83" t="inlineStr">
        <is>
          <t>2026-10-08</t>
        </is>
      </c>
      <c r="T83" s="9" t="inlineStr">
        <is>
          <t>C</t>
        </is>
      </c>
      <c r="U83" t="inlineStr">
        <is>
          <t>[conf C: sd x1.25, p shrink 20%]</t>
        </is>
      </c>
      <c r="V83">
        <f>K83+Assumptions!$J$13*MIN(L83,Assumptions!$H$13)</f>
        <v/>
      </c>
      <c r="W83">
        <f>RANK(V83,$V$5:$V$92)</f>
        <v/>
      </c>
      <c r="Y83">
        <f>N83-IF(T83="C",Assumptions!$B$27,IF(T83="B",Assumptions!$B$26,0))</f>
        <v/>
      </c>
    </row>
    <row r="84">
      <c r="A84" t="inlineStr">
        <is>
          <t>Sydney Sweeney</t>
        </is>
      </c>
      <c r="B84" t="inlineStr">
        <is>
          <t>The Housemaid's Secret (Dec 17)</t>
        </is>
      </c>
      <c r="G84" t="inlineStr">
        <is>
          <t>The Housemaid's Secret (75%)</t>
        </is>
      </c>
      <c r="I84" t="n">
        <v>50.7346</v>
      </c>
      <c r="J84" t="n">
        <v>17</v>
      </c>
      <c r="K84" t="n">
        <v>2.21</v>
      </c>
      <c r="L84" t="n">
        <v>0</v>
      </c>
      <c r="M84">
        <f>K84+MIN(L84,Assumptions!$H$13)</f>
        <v/>
      </c>
      <c r="N84">
        <f>M84-Assumptions!$I$13</f>
        <v/>
      </c>
      <c r="O84">
        <f>N84-Assumptions!$B$25*Q84</f>
        <v/>
      </c>
      <c r="P84" t="n">
        <v>4</v>
      </c>
      <c r="Q84" t="n">
        <v>1.078</v>
      </c>
      <c r="R84" t="inlineStr">
        <is>
          <t>Wikipedia 'List of American films of 2027' casts (Actions-runner pull 2026-10-08) x comp-based box office/RT estimates; cast lists are billed leads only (cameos not captured)</t>
        </is>
      </c>
      <c r="S84" t="inlineStr">
        <is>
          <t>2026-10-08</t>
        </is>
      </c>
      <c r="T84" s="9" t="inlineStr">
        <is>
          <t>C</t>
        </is>
      </c>
      <c r="U84" t="inlineStr">
        <is>
          <t>[conf C: sd x1.25, p shrink 20%]</t>
        </is>
      </c>
      <c r="V84">
        <f>K84+Assumptions!$J$13*MIN(L84,Assumptions!$H$13)</f>
        <v/>
      </c>
      <c r="W84">
        <f>RANK(V84,$V$5:$V$92)</f>
        <v/>
      </c>
      <c r="X84" s="16" t="inlineStr">
        <is>
          <t>Theo</t>
        </is>
      </c>
      <c r="Y84">
        <f>N84-IF(T84="C",Assumptions!$B$27,IF(T84="B",Assumptions!$B$26,0))</f>
        <v/>
      </c>
    </row>
    <row r="85">
      <c r="A85" t="inlineStr">
        <is>
          <t>Amy Madigan</t>
        </is>
      </c>
      <c r="B85" t="inlineStr">
        <is>
          <t>The Comebacker (Jul 30)</t>
        </is>
      </c>
      <c r="G85" t="inlineStr">
        <is>
          <t>The Comebacker (85%)</t>
        </is>
      </c>
      <c r="I85" t="n">
        <v>49.2046</v>
      </c>
      <c r="J85" t="n">
        <v>16</v>
      </c>
      <c r="K85" t="n">
        <v>2.181</v>
      </c>
      <c r="L85" t="n">
        <v>0</v>
      </c>
      <c r="M85">
        <f>K85+MIN(L85,Assumptions!$H$13)</f>
        <v/>
      </c>
      <c r="N85">
        <f>M85-Assumptions!$I$13</f>
        <v/>
      </c>
      <c r="O85">
        <f>N85-Assumptions!$B$25*Q85</f>
        <v/>
      </c>
      <c r="P85" t="n">
        <v>4</v>
      </c>
      <c r="Q85" t="n">
        <v>1.032</v>
      </c>
      <c r="R85" t="inlineStr">
        <is>
          <t>Wikipedia 'List of American films of 2027' casts (Actions-runner pull 2026-10-08) x comp-based box office/RT estimates; cast lists are billed leads only (cameos not captured)</t>
        </is>
      </c>
      <c r="S85" t="inlineStr">
        <is>
          <t>2026-10-08</t>
        </is>
      </c>
      <c r="T85" s="9" t="inlineStr">
        <is>
          <t>C</t>
        </is>
      </c>
      <c r="U85" t="inlineStr">
        <is>
          <t>[conf C: sd x1.25, p shrink 20%]</t>
        </is>
      </c>
      <c r="V85">
        <f>K85+Assumptions!$J$13*MIN(L85,Assumptions!$H$13)</f>
        <v/>
      </c>
      <c r="W85">
        <f>RANK(V85,$V$5:$V$92)</f>
        <v/>
      </c>
      <c r="Y85">
        <f>N85-IF(T85="C",Assumptions!$B$27,IF(T85="B",Assumptions!$B$26,0))</f>
        <v/>
      </c>
    </row>
    <row r="86">
      <c r="A86" t="inlineStr">
        <is>
          <t>Julia Roberts</t>
        </is>
      </c>
      <c r="B86" t="inlineStr">
        <is>
          <t>Panic Carefully (Apr 9)</t>
        </is>
      </c>
      <c r="G86" t="inlineStr">
        <is>
          <t>Panic Carefully (90%)</t>
        </is>
      </c>
      <c r="I86" t="n">
        <v>48.9346</v>
      </c>
      <c r="J86" t="n">
        <v>15.75</v>
      </c>
      <c r="K86" t="n">
        <v>2.159</v>
      </c>
      <c r="L86" t="n">
        <v>0</v>
      </c>
      <c r="M86">
        <f>K86+MIN(L86,Assumptions!$H$13)</f>
        <v/>
      </c>
      <c r="N86">
        <f>M86-Assumptions!$I$13</f>
        <v/>
      </c>
      <c r="O86">
        <f>N86-Assumptions!$B$25*Q86</f>
        <v/>
      </c>
      <c r="P86" t="n">
        <v>4</v>
      </c>
      <c r="Q86" t="n">
        <v>1.055</v>
      </c>
      <c r="R86" t="inlineStr">
        <is>
          <t>Wikipedia 'List of American films of 2027' casts (Actions-runner pull 2026-10-08) x comp-based box office/RT estimates; cast lists are billed leads only (cameos not captured)</t>
        </is>
      </c>
      <c r="S86" t="inlineStr">
        <is>
          <t>2026-10-08</t>
        </is>
      </c>
      <c r="T86" s="9" t="inlineStr">
        <is>
          <t>C</t>
        </is>
      </c>
      <c r="U86" t="inlineStr">
        <is>
          <t>[conf C: sd x1.25, p shrink 20%]</t>
        </is>
      </c>
      <c r="V86">
        <f>K86+Assumptions!$J$13*MIN(L86,Assumptions!$H$13)</f>
        <v/>
      </c>
      <c r="W86">
        <f>RANK(V86,$V$5:$V$92)</f>
        <v/>
      </c>
      <c r="Y86">
        <f>N86-IF(T86="C",Assumptions!$B$27,IF(T86="B",Assumptions!$B$26,0))</f>
        <v/>
      </c>
    </row>
    <row r="87">
      <c r="A87" t="inlineStr">
        <is>
          <t>Tessa Thompson</t>
        </is>
      </c>
      <c r="B87" t="inlineStr">
        <is>
          <t>no 2027 film found in Wikipedia's cast lists</t>
        </is>
      </c>
      <c r="I87" t="n">
        <v>26.2546</v>
      </c>
      <c r="J87" t="n">
        <v>10</v>
      </c>
      <c r="K87" t="n">
        <v>1.92</v>
      </c>
      <c r="L87" t="n">
        <v>0</v>
      </c>
      <c r="M87">
        <f>K87+MIN(L87,Assumptions!$H$13)</f>
        <v/>
      </c>
      <c r="N87">
        <f>M87-Assumptions!$I$13</f>
        <v/>
      </c>
      <c r="O87">
        <f>N87-Assumptions!$B$25*Q87</f>
        <v/>
      </c>
      <c r="P87" t="n">
        <v>4</v>
      </c>
      <c r="Q87" t="n">
        <v>0.922</v>
      </c>
      <c r="R87" t="inlineStr">
        <is>
          <t>Wikipedia 'List of American films of 2027' casts (Actions-runner pull 2026-10-08) x comp-based box office/RT estimates; cast lists are billed leads only (cameos not captured)</t>
        </is>
      </c>
      <c r="S87" t="inlineStr">
        <is>
          <t>2026-10-08</t>
        </is>
      </c>
      <c r="T87" s="9" t="inlineStr">
        <is>
          <t>C</t>
        </is>
      </c>
      <c r="U87" t="inlineStr">
        <is>
          <t>[conf C: sd x1.25, p shrink 20%]</t>
        </is>
      </c>
      <c r="V87">
        <f>K87+Assumptions!$J$13*MIN(L87,Assumptions!$H$13)</f>
        <v/>
      </c>
      <c r="W87">
        <f>RANK(V87,$V$5:$V$92)</f>
        <v/>
      </c>
      <c r="X87" s="16" t="inlineStr">
        <is>
          <t>Shep</t>
        </is>
      </c>
      <c r="Y87">
        <f>N87-IF(T87="C",Assumptions!$B$27,IF(T87="B",Assumptions!$B$26,0))</f>
        <v/>
      </c>
    </row>
    <row r="88">
      <c r="A88" t="inlineStr">
        <is>
          <t>Florence Pugh</t>
        </is>
      </c>
      <c r="B88" t="inlineStr">
        <is>
          <t>no 2027 film found in Wikipedia's cast lists</t>
        </is>
      </c>
      <c r="I88" t="n">
        <v>26.2546</v>
      </c>
      <c r="J88" t="n">
        <v>10</v>
      </c>
      <c r="K88" t="n">
        <v>1.909</v>
      </c>
      <c r="L88" t="n">
        <v>0</v>
      </c>
      <c r="M88">
        <f>K88+MIN(L88,Assumptions!$H$13)</f>
        <v/>
      </c>
      <c r="N88">
        <f>M88-Assumptions!$I$13</f>
        <v/>
      </c>
      <c r="O88">
        <f>N88-Assumptions!$B$25*Q88</f>
        <v/>
      </c>
      <c r="P88" t="n">
        <v>4</v>
      </c>
      <c r="Q88" t="n">
        <v>0.924</v>
      </c>
      <c r="R88" t="inlineStr">
        <is>
          <t>Wikipedia 'List of American films of 2027' casts (Actions-runner pull 2026-10-08) x comp-based box office/RT estimates; cast lists are billed leads only (cameos not captured)</t>
        </is>
      </c>
      <c r="S88" t="inlineStr">
        <is>
          <t>2026-10-08</t>
        </is>
      </c>
      <c r="T88" s="9" t="inlineStr">
        <is>
          <t>C</t>
        </is>
      </c>
      <c r="U88" t="inlineStr">
        <is>
          <t>[conf C: sd x1.25, p shrink 20%]</t>
        </is>
      </c>
      <c r="V88">
        <f>K88+Assumptions!$J$13*MIN(L88,Assumptions!$H$13)</f>
        <v/>
      </c>
      <c r="W88">
        <f>RANK(V88,$V$5:$V$92)</f>
        <v/>
      </c>
      <c r="X88" s="16" t="inlineStr">
        <is>
          <t>Fryar</t>
        </is>
      </c>
      <c r="Y88">
        <f>N88-IF(T88="C",Assumptions!$B$27,IF(T88="B",Assumptions!$B$26,0))</f>
        <v/>
      </c>
    </row>
    <row r="89">
      <c r="A89" t="inlineStr">
        <is>
          <t>Teyana Taylor</t>
        </is>
      </c>
      <c r="B89" t="inlineStr">
        <is>
          <t>no 2027 film found in Wikipedia's cast lists</t>
        </is>
      </c>
      <c r="I89" t="n">
        <v>26.2546</v>
      </c>
      <c r="J89" t="n">
        <v>10</v>
      </c>
      <c r="K89" t="n">
        <v>1.899</v>
      </c>
      <c r="L89" t="n">
        <v>0</v>
      </c>
      <c r="M89">
        <f>K89+MIN(L89,Assumptions!$H$13)</f>
        <v/>
      </c>
      <c r="N89">
        <f>M89-Assumptions!$I$13</f>
        <v/>
      </c>
      <c r="O89">
        <f>N89-Assumptions!$B$25*Q89</f>
        <v/>
      </c>
      <c r="P89" t="n">
        <v>4</v>
      </c>
      <c r="Q89" t="n">
        <v>0.9350000000000001</v>
      </c>
      <c r="R89" t="inlineStr">
        <is>
          <t>Wikipedia 'List of American films of 2027' casts (Actions-runner pull 2026-10-08) x comp-based box office/RT estimates; cast lists are billed leads only (cameos not captured)</t>
        </is>
      </c>
      <c r="S89" t="inlineStr">
        <is>
          <t>2026-10-08</t>
        </is>
      </c>
      <c r="T89" s="9" t="inlineStr">
        <is>
          <t>C</t>
        </is>
      </c>
      <c r="U89" t="inlineStr">
        <is>
          <t>[conf C: sd x1.25, p shrink 20%]</t>
        </is>
      </c>
      <c r="V89">
        <f>K89+Assumptions!$J$13*MIN(L89,Assumptions!$H$13)</f>
        <v/>
      </c>
      <c r="W89">
        <f>RANK(V89,$V$5:$V$92)</f>
        <v/>
      </c>
      <c r="X89" s="16" t="inlineStr">
        <is>
          <t>Todd</t>
        </is>
      </c>
      <c r="Y89">
        <f>N89-IF(T89="C",Assumptions!$B$27,IF(T89="B",Assumptions!$B$26,0))</f>
        <v/>
      </c>
    </row>
    <row r="90">
      <c r="A90" t="inlineStr">
        <is>
          <t>Charlize Theron</t>
        </is>
      </c>
      <c r="B90" t="inlineStr">
        <is>
          <t>no 2027 film found in Wikipedia's cast lists</t>
        </is>
      </c>
      <c r="I90" t="n">
        <v>26.2546</v>
      </c>
      <c r="J90" t="n">
        <v>10</v>
      </c>
      <c r="K90" t="n">
        <v>1.899</v>
      </c>
      <c r="L90" t="n">
        <v>0</v>
      </c>
      <c r="M90">
        <f>K90+MIN(L90,Assumptions!$H$13)</f>
        <v/>
      </c>
      <c r="N90">
        <f>M90-Assumptions!$I$13</f>
        <v/>
      </c>
      <c r="O90">
        <f>N90-Assumptions!$B$25*Q90</f>
        <v/>
      </c>
      <c r="P90" t="n">
        <v>4</v>
      </c>
      <c r="Q90" t="n">
        <v>0.904</v>
      </c>
      <c r="R90" t="inlineStr">
        <is>
          <t>Wikipedia 'List of American films of 2027' casts (Actions-runner pull 2026-10-08) x comp-based box office/RT estimates; cast lists are billed leads only (cameos not captured)</t>
        </is>
      </c>
      <c r="S90" t="inlineStr">
        <is>
          <t>2026-10-08</t>
        </is>
      </c>
      <c r="T90" s="9" t="inlineStr">
        <is>
          <t>C</t>
        </is>
      </c>
      <c r="U90" t="inlineStr">
        <is>
          <t>[conf C: sd x1.25, p shrink 20%]</t>
        </is>
      </c>
      <c r="V90">
        <f>K90+Assumptions!$J$13*MIN(L90,Assumptions!$H$13)</f>
        <v/>
      </c>
      <c r="W90">
        <f>RANK(V90,$V$5:$V$92)</f>
        <v/>
      </c>
      <c r="X90" s="16" t="inlineStr">
        <is>
          <t>Mitchell</t>
        </is>
      </c>
      <c r="Y90">
        <f>N90-IF(T90="C",Assumptions!$B$27,IF(T90="B",Assumptions!$B$26,0))</f>
        <v/>
      </c>
    </row>
    <row r="91">
      <c r="A91" t="inlineStr">
        <is>
          <t>Jessie Buckley</t>
        </is>
      </c>
      <c r="B91" t="inlineStr">
        <is>
          <t>no 2027 film found in Wikipedia's cast lists</t>
        </is>
      </c>
      <c r="I91" t="n">
        <v>26.2546</v>
      </c>
      <c r="J91" t="n">
        <v>10</v>
      </c>
      <c r="K91" t="n">
        <v>1.895</v>
      </c>
      <c r="L91" t="n">
        <v>0</v>
      </c>
      <c r="M91">
        <f>K91+MIN(L91,Assumptions!$H$13)</f>
        <v/>
      </c>
      <c r="N91">
        <f>M91-Assumptions!$I$13</f>
        <v/>
      </c>
      <c r="O91">
        <f>N91-Assumptions!$B$25*Q91</f>
        <v/>
      </c>
      <c r="P91" t="n">
        <v>4</v>
      </c>
      <c r="Q91" t="n">
        <v>0.917</v>
      </c>
      <c r="R91" t="inlineStr">
        <is>
          <t>Wikipedia 'List of American films of 2027' casts (Actions-runner pull 2026-10-08) x comp-based box office/RT estimates; cast lists are billed leads only (cameos not captured)</t>
        </is>
      </c>
      <c r="S91" t="inlineStr">
        <is>
          <t>2026-10-08</t>
        </is>
      </c>
      <c r="T91" s="9" t="inlineStr">
        <is>
          <t>C</t>
        </is>
      </c>
      <c r="U91" t="inlineStr">
        <is>
          <t>[conf C: sd x1.25, p shrink 20%]</t>
        </is>
      </c>
      <c r="V91">
        <f>K91+Assumptions!$J$13*MIN(L91,Assumptions!$H$13)</f>
        <v/>
      </c>
      <c r="W91">
        <f>RANK(V91,$V$5:$V$92)</f>
        <v/>
      </c>
      <c r="X91" s="16" t="inlineStr">
        <is>
          <t>Molmen</t>
        </is>
      </c>
      <c r="Y91">
        <f>N91-IF(T91="C",Assumptions!$B$27,IF(T91="B",Assumptions!$B$26,0))</f>
        <v/>
      </c>
    </row>
    <row r="92">
      <c r="A92" t="inlineStr">
        <is>
          <t>Ariana Grande</t>
        </is>
      </c>
      <c r="B92" t="inlineStr">
        <is>
          <t>no 2027 film found in Wikipedia's cast lists</t>
        </is>
      </c>
      <c r="I92" t="n">
        <v>26.2546</v>
      </c>
      <c r="J92" t="n">
        <v>10</v>
      </c>
      <c r="K92" t="n">
        <v>1.891</v>
      </c>
      <c r="L92" t="n">
        <v>0</v>
      </c>
      <c r="M92">
        <f>K92+MIN(L92,Assumptions!$H$13)</f>
        <v/>
      </c>
      <c r="N92">
        <f>M92-Assumptions!$I$13</f>
        <v/>
      </c>
      <c r="O92">
        <f>N92-Assumptions!$B$25*Q92</f>
        <v/>
      </c>
      <c r="P92" t="n">
        <v>4</v>
      </c>
      <c r="Q92" t="n">
        <v>0.908</v>
      </c>
      <c r="R92" t="inlineStr">
        <is>
          <t>Wikipedia 'List of American films of 2027' casts (Actions-runner pull 2026-10-08) x comp-based box office/RT estimates; cast lists are billed leads only (cameos not captured)</t>
        </is>
      </c>
      <c r="S92" t="inlineStr">
        <is>
          <t>2026-10-08</t>
        </is>
      </c>
      <c r="T92" s="9" t="inlineStr">
        <is>
          <t>C</t>
        </is>
      </c>
      <c r="U92" t="inlineStr">
        <is>
          <t>[conf C: sd x1.25, p shrink 20%]</t>
        </is>
      </c>
      <c r="V92">
        <f>K92+Assumptions!$J$13*MIN(L92,Assumptions!$H$13)</f>
        <v/>
      </c>
      <c r="W92">
        <f>RANK(V92,$V$5:$V$92)</f>
        <v/>
      </c>
      <c r="X92" s="16" t="inlineStr">
        <is>
          <t>Tim</t>
        </is>
      </c>
      <c r="Y92">
        <f>N92-IF(T92="C",Assumptions!$B$27,IF(T92="B",Assumptions!$B$26,0))</f>
        <v/>
      </c>
    </row>
    <row r="94">
      <c r="A94" s="8" t="inlineStr">
        <is>
          <t>Replacement-level EV (Nth best)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Y3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36" customWidth="1" min="2" max="2"/>
    <col width="22" customWidth="1" min="3" max="3"/>
    <col width="11" customWidth="1" min="4" max="4"/>
    <col width="11" customWidth="1" min="5" max="5"/>
    <col width="11" customWidth="1" min="6" max="6"/>
    <col width="11" customWidth="1" min="7" max="7"/>
    <col width="11" customWidth="1" min="8" max="8"/>
    <col width="9" customWidth="1" min="9" max="9"/>
    <col width="9" customWidth="1" min="10" max="10"/>
    <col width="11" customWidth="1" min="11" max="11"/>
    <col width="10" customWidth="1" min="12" max="12"/>
    <col width="10" customWidth="1" min="13" max="13"/>
    <col width="9" customWidth="1" min="14" max="14"/>
    <col width="11" customWidth="1" min="15" max="15"/>
    <col width="6" customWidth="1" min="16" max="16"/>
    <col width="9" customWidth="1" min="17" max="17"/>
    <col width="38" customWidth="1" min="18" max="18"/>
    <col width="11" customWidth="1" min="19" max="19"/>
    <col width="6" customWidth="1" min="20" max="20"/>
    <col width="60" customWidth="1" min="21" max="21"/>
    <col width="12" customWidth="1" min="22" max="22"/>
    <col width="9" customWidth="1" min="23" max="23"/>
    <col width="11" customWidth="1" min="24" max="24"/>
    <col width="11" customWidth="1" min="25" max="25"/>
  </cols>
  <sheetData>
    <row r="1">
      <c r="A1" s="18" t="inlineStr">
        <is>
          <t>Musician — 2027 draft research (EV model; see README)</t>
        </is>
      </c>
    </row>
    <row r="2">
      <c r="A2" t="inlineStr">
        <is>
          <t>As of 2026-10-22. Sorted by E[total]. Yellow = inferred / low-confidence (C).</t>
        </is>
      </c>
    </row>
    <row r="4">
      <c r="A4" s="7" t="inlineStr">
        <is>
          <t>Candidate</t>
        </is>
      </c>
      <c r="B4" s="7" t="inlineStr">
        <is>
          <t>Detail</t>
        </is>
      </c>
      <c r="C4" s="7" t="inlineStr">
        <is>
          <t>Odds / price</t>
        </is>
      </c>
      <c r="D4" s="7" t="inlineStr">
        <is>
          <t>Grammy EV</t>
        </is>
      </c>
      <c r="E4" s="7" t="inlineStr">
        <is>
          <t>p(big-4 win)</t>
        </is>
      </c>
      <c r="F4" s="7" t="inlineStr">
        <is>
          <t>exp. noms</t>
        </is>
      </c>
      <c r="G4" s="7" t="inlineStr"/>
      <c r="H4" s="7" t="inlineStr"/>
      <c r="I4" s="7" t="inlineStr">
        <is>
          <t>mu</t>
        </is>
      </c>
      <c r="J4" s="7" t="inlineStr">
        <is>
          <t>sd</t>
        </is>
      </c>
      <c r="K4" s="7" t="inlineStr">
        <is>
          <t>E[rank pts] (MC)</t>
        </is>
      </c>
      <c r="L4" s="7" t="inlineStr">
        <is>
          <t>E[bonus]</t>
        </is>
      </c>
      <c r="M4" s="7" t="inlineStr">
        <is>
          <t>E[total]</t>
        </is>
      </c>
      <c r="N4" s="7" t="inlineStr">
        <is>
          <t>VOR</t>
        </is>
      </c>
      <c r="O4" s="7" t="inlineStr">
        <is>
          <t>Risk-adj VOR</t>
        </is>
      </c>
      <c r="P4" s="7" t="inlineStr">
        <is>
          <t>Tier</t>
        </is>
      </c>
      <c r="Q4" s="7" t="inlineStr">
        <is>
          <t>SD rank pts</t>
        </is>
      </c>
      <c r="R4" s="7" t="inlineStr">
        <is>
          <t>Source</t>
        </is>
      </c>
      <c r="S4" s="7" t="inlineStr">
        <is>
          <t>As of</t>
        </is>
      </c>
      <c r="T4" s="7" t="inlineStr">
        <is>
          <t>Conf</t>
        </is>
      </c>
      <c r="U4" s="7" t="inlineStr">
        <is>
          <t>Notes</t>
        </is>
      </c>
      <c r="V4" s="7" t="inlineStr">
        <is>
          <t>Field draft score</t>
        </is>
      </c>
      <c r="W4" s="7" t="inlineStr">
        <is>
          <t>Field rank</t>
        </is>
      </c>
      <c r="X4" s="7" t="inlineStr">
        <is>
          <t>Owner</t>
        </is>
      </c>
      <c r="Y4" s="7" t="inlineStr">
        <is>
          <t>Conf-adj VOR</t>
        </is>
      </c>
    </row>
    <row r="5">
      <c r="A5" s="9" t="inlineStr">
        <is>
          <t>Ella Langley</t>
        </is>
      </c>
      <c r="B5" t="inlineStr">
        <is>
          <t>2026 raw 128; charting now: Choosin' Texas (#2); Be Her (#13); Loving Life Again (#16); carry-over 9.0 + new hits 8.9 (lambda 1.10, P(~0) 12%)</t>
        </is>
      </c>
      <c r="C5" t="inlineStr">
        <is>
          <t>Grammy EV 10.8 (raw 12.8, P(cap) 50%)</t>
        </is>
      </c>
      <c r="D5" t="n">
        <v>10.79</v>
      </c>
      <c r="I5" t="n">
        <v>17.8</v>
      </c>
      <c r="J5" t="n">
        <v>20.7</v>
      </c>
      <c r="K5" t="n">
        <v>9.26</v>
      </c>
      <c r="L5" t="n">
        <v>10.79</v>
      </c>
      <c r="M5">
        <f>K5+MIN(L5,Assumptions!$H$14)</f>
        <v/>
      </c>
      <c r="N5">
        <f>M5-Assumptions!$I$14</f>
        <v/>
      </c>
      <c r="O5">
        <f>N5-Assumptions!$B$25*Q5</f>
        <v/>
      </c>
      <c r="P5" t="n">
        <v>1</v>
      </c>
      <c r="Q5" t="n">
        <v>2.884</v>
      </c>
      <c r="R5" t="inlineStr">
        <is>
          <t>2027 Hot 100 baseline = my estimate; Grammy: Kalshi KXGRAM*-69 prices (A) + estimates for other categories (C)</t>
        </is>
      </c>
      <c r="S5" t="inlineStr">
        <is>
          <t>2026-10-08</t>
        </is>
      </c>
      <c r="T5" s="9" t="inlineStr">
        <is>
          <t>C</t>
        </is>
      </c>
      <c r="U5" t="inlineStr">
        <is>
          <t>Grammy figures: BNA win 65.5%, ROTY nom 91.5%, SOTY nom 85% (Kalshi); ROTY/SOTY win shares are estimates  [conf C: sd x1.25, p shrink 20%]</t>
        </is>
      </c>
      <c r="V5">
        <f>K5+Assumptions!$J$14*MIN(L5,Assumptions!$H$14)</f>
        <v/>
      </c>
      <c r="W5">
        <f>RANK(V5,$V$5:$V$36)</f>
        <v/>
      </c>
      <c r="Y5">
        <f>N5-IF(T5="C",Assumptions!$B$27,IF(T5="B",Assumptions!$B$26,0))</f>
        <v/>
      </c>
    </row>
    <row r="6">
      <c r="A6" s="9" t="inlineStr">
        <is>
          <t>Olivia Rodrigo</t>
        </is>
      </c>
      <c r="B6" t="inlineStr">
        <is>
          <t>2026 raw 17; charting now: Drop Dead (#23); The Cure (#22); Stupid Song (#8); carry-over 6.1 + new hits 8.9 (lambda 1.10, P(~0) 17%)</t>
        </is>
      </c>
      <c r="C6" t="inlineStr">
        <is>
          <t>Grammy EV 9.4 (raw 10.3, P(cap) 31%)</t>
        </is>
      </c>
      <c r="D6" t="n">
        <v>9.359999999999999</v>
      </c>
      <c r="I6" t="n">
        <v>15.1</v>
      </c>
      <c r="J6" t="n">
        <v>19.5</v>
      </c>
      <c r="K6" t="n">
        <v>8.667999999999999</v>
      </c>
      <c r="L6" t="n">
        <v>9.359999999999999</v>
      </c>
      <c r="M6">
        <f>K6+MIN(L6,Assumptions!$H$14)</f>
        <v/>
      </c>
      <c r="N6">
        <f>M6-Assumptions!$I$14</f>
        <v/>
      </c>
      <c r="O6">
        <f>N6-Assumptions!$B$25*Q6</f>
        <v/>
      </c>
      <c r="P6" t="n">
        <v>1</v>
      </c>
      <c r="Q6" t="n">
        <v>3.018</v>
      </c>
      <c r="R6" t="inlineStr">
        <is>
          <t>2027 Hot 100 baseline = my estimate; Grammy: Kalshi KXGRAM*-69 prices (A) + estimates for other categories (C)</t>
        </is>
      </c>
      <c r="S6" t="inlineStr">
        <is>
          <t>2026-10-08</t>
        </is>
      </c>
      <c r="T6" s="9" t="inlineStr">
        <is>
          <t>C</t>
        </is>
      </c>
      <c r="U6" t="inlineStr">
        <is>
          <t>AOTY win 47.5% (Kalshi): the market favourite  [conf C: sd x1.25, p shrink 20%]</t>
        </is>
      </c>
      <c r="V6">
        <f>K6+Assumptions!$J$14*MIN(L6,Assumptions!$H$14)</f>
        <v/>
      </c>
      <c r="W6">
        <f>RANK(V6,$V$5:$V$36)</f>
        <v/>
      </c>
      <c r="X6" s="16" t="inlineStr">
        <is>
          <t>Todd</t>
        </is>
      </c>
      <c r="Y6">
        <f>N6-IF(T6="C",Assumptions!$B$27,IF(T6="B",Assumptions!$B$26,0))</f>
        <v/>
      </c>
    </row>
    <row r="7">
      <c r="A7" s="9" t="inlineStr">
        <is>
          <t>Olivia Dean</t>
        </is>
      </c>
      <c r="B7" t="inlineStr">
        <is>
          <t>2026 raw 61; charting now: none charting; carry-over 0.0 + new hits 9.0 (lambda 1.10, P(~0) 33%)</t>
        </is>
      </c>
      <c r="C7" t="inlineStr">
        <is>
          <t>Grammy EV 8.5 (raw 9.2, P(cap) 23%)</t>
        </is>
      </c>
      <c r="D7" t="n">
        <v>8.49</v>
      </c>
      <c r="I7" t="n">
        <v>9</v>
      </c>
      <c r="J7" t="n">
        <v>16.2</v>
      </c>
      <c r="K7" t="n">
        <v>7.272</v>
      </c>
      <c r="L7" t="n">
        <v>8.49</v>
      </c>
      <c r="M7">
        <f>K7+MIN(L7,Assumptions!$H$14)</f>
        <v/>
      </c>
      <c r="N7">
        <f>M7-Assumptions!$I$14</f>
        <v/>
      </c>
      <c r="O7">
        <f>N7-Assumptions!$B$25*Q7</f>
        <v/>
      </c>
      <c r="P7" t="n">
        <v>1</v>
      </c>
      <c r="Q7" t="n">
        <v>3.002</v>
      </c>
      <c r="R7" t="inlineStr">
        <is>
          <t>2027 Hot 100 baseline = my estimate; Grammy: Kalshi KXGRAM*-69 prices (A) + estimates for other categories (C)</t>
        </is>
      </c>
      <c r="S7" t="inlineStr">
        <is>
          <t>2026-10-08</t>
        </is>
      </c>
      <c r="T7" s="9" t="inlineStr">
        <is>
          <t>C</t>
        </is>
      </c>
      <c r="U7" t="inlineStr">
        <is>
          <t>Best New Artist won in Feb 2026, so ineligible  [conf C: sd x1.25, p shrink 20%]</t>
        </is>
      </c>
      <c r="V7">
        <f>K7+Assumptions!$J$14*MIN(L7,Assumptions!$H$14)</f>
        <v/>
      </c>
      <c r="W7">
        <f>RANK(V7,$V$5:$V$36)</f>
        <v/>
      </c>
      <c r="Y7">
        <f>N7-IF(T7="C",Assumptions!$B$27,IF(T7="B",Assumptions!$B$26,0))</f>
        <v/>
      </c>
    </row>
    <row r="8">
      <c r="A8" s="17" t="inlineStr">
        <is>
          <t>Bruno Mars</t>
        </is>
      </c>
      <c r="B8" t="inlineStr">
        <is>
          <t>2026 raw 34; charting now: I Just Might (#11); Risk It All (#14); carry-over 2.9 + new hits 8.9 (lambda 1.10, P(~0) 24%)</t>
        </is>
      </c>
      <c r="C8" t="inlineStr">
        <is>
          <t>Grammy EV 7.0 (raw 7.3, P(cap) 11%)</t>
        </is>
      </c>
      <c r="D8" t="n">
        <v>7.04</v>
      </c>
      <c r="I8" t="n">
        <v>11.8</v>
      </c>
      <c r="J8" t="n">
        <v>17.6</v>
      </c>
      <c r="K8" t="n">
        <v>8.045999999999999</v>
      </c>
      <c r="L8" t="n">
        <v>7.04</v>
      </c>
      <c r="M8">
        <f>K8+MIN(L8,Assumptions!$H$14)</f>
        <v/>
      </c>
      <c r="N8">
        <f>M8-Assumptions!$I$14</f>
        <v/>
      </c>
      <c r="O8">
        <f>N8-Assumptions!$B$25*Q8</f>
        <v/>
      </c>
      <c r="P8" t="n">
        <v>2</v>
      </c>
      <c r="Q8" t="n">
        <v>3.068</v>
      </c>
      <c r="R8" t="inlineStr">
        <is>
          <t>2027 Hot 100 baseline = my estimate; Grammy: Kalshi KXGRAM*-69 prices (A) + estimates for other categories (C)</t>
        </is>
      </c>
      <c r="S8" t="inlineStr">
        <is>
          <t>2026-10-08</t>
        </is>
      </c>
      <c r="T8" s="9" t="inlineStr">
        <is>
          <t>C</t>
        </is>
      </c>
      <c r="U8" t="inlineStr">
        <is>
          <t>[conf C: sd x1.25, p shrink 20%]</t>
        </is>
      </c>
      <c r="V8">
        <f>K8+Assumptions!$J$14*MIN(L8,Assumptions!$H$14)</f>
        <v/>
      </c>
      <c r="W8">
        <f>RANK(V8,$V$5:$V$36)</f>
        <v/>
      </c>
      <c r="Y8">
        <f>N8-IF(T8="C",Assumptions!$B$27,IF(T8="B",Assumptions!$B$26,0))</f>
        <v/>
      </c>
    </row>
    <row r="9">
      <c r="A9" s="17" t="inlineStr">
        <is>
          <t>Taylor Swift</t>
        </is>
      </c>
      <c r="B9" t="inlineStr">
        <is>
          <t>2026 raw 61; charting now: Patient Zero (#1); carry-over 1.6 + new hits 8.8 (lambda 1.10, P(~0) 27%)</t>
        </is>
      </c>
      <c r="C9" t="inlineStr">
        <is>
          <t>Grammy EV 7.4 (raw 7.7, P(cap) 13%)</t>
        </is>
      </c>
      <c r="D9" t="n">
        <v>7.4</v>
      </c>
      <c r="I9" t="n">
        <v>10.4</v>
      </c>
      <c r="J9" t="n">
        <v>16.7</v>
      </c>
      <c r="K9" t="n">
        <v>7.661</v>
      </c>
      <c r="L9" t="n">
        <v>7.4</v>
      </c>
      <c r="M9">
        <f>K9+MIN(L9,Assumptions!$H$14)</f>
        <v/>
      </c>
      <c r="N9">
        <f>M9-Assumptions!$I$14</f>
        <v/>
      </c>
      <c r="O9">
        <f>N9-Assumptions!$B$25*Q9</f>
        <v/>
      </c>
      <c r="P9" t="n">
        <v>2</v>
      </c>
      <c r="Q9" t="n">
        <v>3.043</v>
      </c>
      <c r="R9" t="inlineStr">
        <is>
          <t>2027 Hot 100 baseline = my estimate; Grammy: Kalshi KXGRAM*-69 prices (A) + estimates for other categories (C)</t>
        </is>
      </c>
      <c r="S9" t="inlineStr">
        <is>
          <t>2026-10-08</t>
        </is>
      </c>
      <c r="T9" s="9" t="inlineStr">
        <is>
          <t>C</t>
        </is>
      </c>
      <c r="U9" t="inlineStr">
        <is>
          <t>Showgirl AOTY nom 82%, Fate of Ophelia ROTY nom 88.5% (Kalshi)  [conf C: sd x1.25, p shrink 20%]</t>
        </is>
      </c>
      <c r="V9">
        <f>K9+Assumptions!$J$14*MIN(L9,Assumptions!$H$14)</f>
        <v/>
      </c>
      <c r="W9">
        <f>RANK(V9,$V$5:$V$36)</f>
        <v/>
      </c>
      <c r="X9" s="16" t="inlineStr">
        <is>
          <t>Molmen</t>
        </is>
      </c>
      <c r="Y9">
        <f>N9-IF(T9="C",Assumptions!$B$27,IF(T9="B",Assumptions!$B$26,0))</f>
        <v/>
      </c>
    </row>
    <row r="10">
      <c r="A10" s="17" t="inlineStr">
        <is>
          <t>Rosalía</t>
        </is>
      </c>
      <c r="B10" t="inlineStr">
        <is>
          <t>2026 raw 0; charting now: none charting; carry-over 0.0 + new hits 1.2 (lambda 0.15, P(~0) 86%)</t>
        </is>
      </c>
      <c r="C10" t="inlineStr">
        <is>
          <t>Grammy EV 6.6 (raw 6.8, P(cap) 9%)</t>
        </is>
      </c>
      <c r="D10" t="n">
        <v>6.59</v>
      </c>
      <c r="I10" t="n">
        <v>1.2</v>
      </c>
      <c r="J10" t="n">
        <v>6.1</v>
      </c>
      <c r="K10" t="n">
        <v>4.563</v>
      </c>
      <c r="L10" t="n">
        <v>6.59</v>
      </c>
      <c r="M10">
        <f>K10+MIN(L10,Assumptions!$H$14)</f>
        <v/>
      </c>
      <c r="N10">
        <f>M10-Assumptions!$I$14</f>
        <v/>
      </c>
      <c r="O10">
        <f>N10-Assumptions!$B$25*Q10</f>
        <v/>
      </c>
      <c r="P10" t="n">
        <v>2</v>
      </c>
      <c r="Q10" t="n">
        <v>2.066</v>
      </c>
      <c r="R10" t="inlineStr">
        <is>
          <t>2027 Hot 100 baseline = my estimate; Grammy: Kalshi KXGRAM*-69 prices (A) + estimates for other categories (C)</t>
        </is>
      </c>
      <c r="S10" t="inlineStr">
        <is>
          <t>2026-10-08</t>
        </is>
      </c>
      <c r="T10" s="9" t="inlineStr">
        <is>
          <t>C</t>
        </is>
      </c>
      <c r="U10" t="inlineStr">
        <is>
          <t>[conf C: sd x1.25, p shrink 20%]</t>
        </is>
      </c>
      <c r="V10">
        <f>K10+Assumptions!$J$14*MIN(L10,Assumptions!$H$14)</f>
        <v/>
      </c>
      <c r="W10">
        <f>RANK(V10,$V$5:$V$36)</f>
        <v/>
      </c>
      <c r="Y10">
        <f>N10-IF(T10="C",Assumptions!$B$27,IF(T10="B",Assumptions!$B$26,0))</f>
        <v/>
      </c>
    </row>
    <row r="11">
      <c r="A11" s="17" t="inlineStr">
        <is>
          <t>Harry Styles</t>
        </is>
      </c>
      <c r="B11" t="inlineStr">
        <is>
          <t>2026 raw 6; charting now: none charting; carry-over 0.0 + new hits 8.9 (lambda 1.10, P(~0) 33%)</t>
        </is>
      </c>
      <c r="C11" t="inlineStr">
        <is>
          <t>Grammy EV 3.5 (raw 3.5, P(cap) 1%)</t>
        </is>
      </c>
      <c r="D11" t="n">
        <v>3.47</v>
      </c>
      <c r="I11" t="n">
        <v>8.9</v>
      </c>
      <c r="J11" t="n">
        <v>15.8</v>
      </c>
      <c r="K11" t="n">
        <v>7.262</v>
      </c>
      <c r="L11" t="n">
        <v>3.47</v>
      </c>
      <c r="M11">
        <f>K11+MIN(L11,Assumptions!$H$14)</f>
        <v/>
      </c>
      <c r="N11">
        <f>M11-Assumptions!$I$14</f>
        <v/>
      </c>
      <c r="O11">
        <f>N11-Assumptions!$B$25*Q11</f>
        <v/>
      </c>
      <c r="P11" t="n">
        <v>2</v>
      </c>
      <c r="Q11" t="n">
        <v>3.005</v>
      </c>
      <c r="R11" t="inlineStr">
        <is>
          <t>2027 Hot 100 baseline = my estimate; Grammy: Kalshi KXGRAM*-69 prices (A) + estimates for other categories (C)</t>
        </is>
      </c>
      <c r="S11" t="inlineStr">
        <is>
          <t>2026-10-08</t>
        </is>
      </c>
      <c r="T11" s="9" t="inlineStr">
        <is>
          <t>C</t>
        </is>
      </c>
      <c r="U11" t="inlineStr">
        <is>
          <t>[conf C: sd x1.25, p shrink 20%]</t>
        </is>
      </c>
      <c r="V11">
        <f>K11+Assumptions!$J$14*MIN(L11,Assumptions!$H$14)</f>
        <v/>
      </c>
      <c r="W11">
        <f>RANK(V11,$V$5:$V$36)</f>
        <v/>
      </c>
      <c r="Y11">
        <f>N11-IF(T11="C",Assumptions!$B$27,IF(T11="B",Assumptions!$B$26,0))</f>
        <v/>
      </c>
    </row>
    <row r="12">
      <c r="A12" s="19" t="inlineStr">
        <is>
          <t>Ariana Grande</t>
        </is>
      </c>
      <c r="B12" t="inlineStr">
        <is>
          <t>2026 raw 24; charting now: Hate That I Made You Love Me (#7); carry-over 3.1 + new hits 9.0 (lambda 1.10, P(~0) 23%)</t>
        </is>
      </c>
      <c r="C12" t="inlineStr">
        <is>
          <t>Grammy EV 2.7 (raw 2.7, P(cap) 0%)</t>
        </is>
      </c>
      <c r="D12" t="n">
        <v>2.72</v>
      </c>
      <c r="I12" t="n">
        <v>12.2</v>
      </c>
      <c r="J12" t="n">
        <v>18.1</v>
      </c>
      <c r="K12" t="n">
        <v>7.989</v>
      </c>
      <c r="L12" t="n">
        <v>2.72</v>
      </c>
      <c r="M12">
        <f>K12+MIN(L12,Assumptions!$H$14)</f>
        <v/>
      </c>
      <c r="N12">
        <f>M12-Assumptions!$I$14</f>
        <v/>
      </c>
      <c r="O12">
        <f>N12-Assumptions!$B$25*Q12</f>
        <v/>
      </c>
      <c r="P12" t="n">
        <v>3</v>
      </c>
      <c r="Q12" t="n">
        <v>3.043</v>
      </c>
      <c r="R12" t="inlineStr">
        <is>
          <t>2027 Hot 100 baseline = my estimate; Grammy: Kalshi KXGRAM*-69 prices (A) + estimates for other categories (C)</t>
        </is>
      </c>
      <c r="S12" t="inlineStr">
        <is>
          <t>2026-10-08</t>
        </is>
      </c>
      <c r="T12" s="9" t="inlineStr">
        <is>
          <t>C</t>
        </is>
      </c>
      <c r="U12" t="inlineStr">
        <is>
          <t>[conf C: sd x1.25, p shrink 20%]</t>
        </is>
      </c>
      <c r="V12">
        <f>K12+Assumptions!$J$14*MIN(L12,Assumptions!$H$14)</f>
        <v/>
      </c>
      <c r="W12">
        <f>RANK(V12,$V$5:$V$36)</f>
        <v/>
      </c>
      <c r="Y12">
        <f>N12-IF(T12="C",Assumptions!$B$27,IF(T12="B",Assumptions!$B$26,0))</f>
        <v/>
      </c>
    </row>
    <row r="13">
      <c r="A13" s="19" t="inlineStr">
        <is>
          <t>Raye</t>
        </is>
      </c>
      <c r="B13" t="inlineStr">
        <is>
          <t>2026 raw 0; charting now: none charting; carry-over 0.0 + new hits 1.2 (lambda 0.15, P(~0) 86%)</t>
        </is>
      </c>
      <c r="C13" t="inlineStr">
        <is>
          <t>Grammy EV 5.8 (raw 5.9, P(cap) 6%)</t>
        </is>
      </c>
      <c r="D13" t="n">
        <v>5.8</v>
      </c>
      <c r="I13" t="n">
        <v>1.2</v>
      </c>
      <c r="J13" t="n">
        <v>5.6</v>
      </c>
      <c r="K13" t="n">
        <v>4.623</v>
      </c>
      <c r="L13" t="n">
        <v>5.8</v>
      </c>
      <c r="M13">
        <f>K13+MIN(L13,Assumptions!$H$14)</f>
        <v/>
      </c>
      <c r="N13">
        <f>M13-Assumptions!$I$14</f>
        <v/>
      </c>
      <c r="O13">
        <f>N13-Assumptions!$B$25*Q13</f>
        <v/>
      </c>
      <c r="P13" t="n">
        <v>3</v>
      </c>
      <c r="Q13" t="n">
        <v>2.088</v>
      </c>
      <c r="R13" t="inlineStr">
        <is>
          <t>2027 Hot 100 baseline = my estimate; Grammy: Kalshi KXGRAM*-69 prices (A) + estimates for other categories (C)</t>
        </is>
      </c>
      <c r="S13" t="inlineStr">
        <is>
          <t>2026-10-08</t>
        </is>
      </c>
      <c r="T13" s="9" t="inlineStr">
        <is>
          <t>C</t>
        </is>
      </c>
      <c r="U13" t="inlineStr">
        <is>
          <t>[conf C: sd x1.25, p shrink 20%]</t>
        </is>
      </c>
      <c r="V13">
        <f>K13+Assumptions!$J$14*MIN(L13,Assumptions!$H$14)</f>
        <v/>
      </c>
      <c r="W13">
        <f>RANK(V13,$V$5:$V$36)</f>
        <v/>
      </c>
      <c r="Y13">
        <f>N13-IF(T13="C",Assumptions!$B$27,IF(T13="B",Assumptions!$B$26,0))</f>
        <v/>
      </c>
    </row>
    <row r="14">
      <c r="A14" s="19" t="inlineStr">
        <is>
          <t>BTS</t>
        </is>
      </c>
      <c r="B14" t="inlineStr">
        <is>
          <t>2026 raw 6; charting now: none charting; carry-over 0.0 + new hits 9.0 (lambda 1.10, P(~0) 33%)</t>
        </is>
      </c>
      <c r="C14" t="inlineStr">
        <is>
          <t>Grammy EV 2.6</t>
        </is>
      </c>
      <c r="D14" t="n">
        <v>2.6</v>
      </c>
      <c r="I14" t="n">
        <v>9</v>
      </c>
      <c r="J14" t="n">
        <v>16</v>
      </c>
      <c r="K14" t="n">
        <v>7.292</v>
      </c>
      <c r="L14" t="n">
        <v>2.6</v>
      </c>
      <c r="M14">
        <f>K14+MIN(L14,Assumptions!$H$14)</f>
        <v/>
      </c>
      <c r="N14">
        <f>M14-Assumptions!$I$14</f>
        <v/>
      </c>
      <c r="O14">
        <f>N14-Assumptions!$B$25*Q14</f>
        <v/>
      </c>
      <c r="P14" t="n">
        <v>3</v>
      </c>
      <c r="Q14" t="n">
        <v>3.005</v>
      </c>
      <c r="R14" t="inlineStr">
        <is>
          <t>2027 Hot 100 baseline = my estimate; Grammy: estimate (C)</t>
        </is>
      </c>
      <c r="S14" t="inlineStr">
        <is>
          <t>2026-10-08</t>
        </is>
      </c>
      <c r="T14" s="9" t="inlineStr">
        <is>
          <t>C</t>
        </is>
      </c>
      <c r="U14" t="inlineStr">
        <is>
          <t>Grammy EV is an estimate  [conf C: sd x1.25, p shrink 20%]</t>
        </is>
      </c>
      <c r="V14">
        <f>K14+Assumptions!$J$14*MIN(L14,Assumptions!$H$14)</f>
        <v/>
      </c>
      <c r="W14">
        <f>RANK(V14,$V$5:$V$36)</f>
        <v/>
      </c>
      <c r="X14" s="16" t="inlineStr">
        <is>
          <t>Theo</t>
        </is>
      </c>
      <c r="Y14">
        <f>N14-IF(T14="C",Assumptions!$B$27,IF(T14="B",Assumptions!$B$26,0))</f>
        <v/>
      </c>
    </row>
    <row r="15">
      <c r="A15" s="19" t="inlineStr">
        <is>
          <t>Morgan Wallen</t>
        </is>
      </c>
      <c r="B15" t="inlineStr">
        <is>
          <t>2026 raw 27; charting now: I Can't Love You Anymore (#20); Been By Now (#4); Last Thing You Need (#15); carry-over 4.9 + new hits 8.8 (lambda 1.10, P(~0) 20%)</t>
        </is>
      </c>
      <c r="C15" t="inlineStr">
        <is>
          <t>Grammy EV 0.8</t>
        </is>
      </c>
      <c r="D15" t="n">
        <v>0.8</v>
      </c>
      <c r="I15" t="n">
        <v>13.7</v>
      </c>
      <c r="J15" t="n">
        <v>18.7</v>
      </c>
      <c r="K15" t="n">
        <v>8.432</v>
      </c>
      <c r="L15" t="n">
        <v>0.8</v>
      </c>
      <c r="M15">
        <f>K15+MIN(L15,Assumptions!$H$14)</f>
        <v/>
      </c>
      <c r="N15">
        <f>M15-Assumptions!$I$14</f>
        <v/>
      </c>
      <c r="O15">
        <f>N15-Assumptions!$B$25*Q15</f>
        <v/>
      </c>
      <c r="P15" t="n">
        <v>3</v>
      </c>
      <c r="Q15" t="n">
        <v>3.016</v>
      </c>
      <c r="R15" t="inlineStr">
        <is>
          <t>2027 Hot 100 baseline = my estimate; Grammy: estimate (C)</t>
        </is>
      </c>
      <c r="S15" t="inlineStr">
        <is>
          <t>2026-10-08</t>
        </is>
      </c>
      <c r="T15" s="9" t="inlineStr">
        <is>
          <t>C</t>
        </is>
      </c>
      <c r="U15" t="inlineStr">
        <is>
          <t>[conf C: sd x1.25, p shrink 20%]</t>
        </is>
      </c>
      <c r="V15">
        <f>K15+Assumptions!$J$14*MIN(L15,Assumptions!$H$14)</f>
        <v/>
      </c>
      <c r="W15">
        <f>RANK(V15,$V$5:$V$36)</f>
        <v/>
      </c>
      <c r="Y15">
        <f>N15-IF(T15="C",Assumptions!$B$27,IF(T15="B",Assumptions!$B$26,0))</f>
        <v/>
      </c>
    </row>
    <row r="16">
      <c r="A16" s="19" t="inlineStr">
        <is>
          <t>Drake</t>
        </is>
      </c>
      <c r="B16" t="inlineStr">
        <is>
          <t>2026 raw 23; charting now: Janice STFU (#21); Solar Eclipse (#19); Quebec (#25); carry-over 1.9 + new hits 8.7 (lambda 1.10, P(~0) 27%)</t>
        </is>
      </c>
      <c r="C16" t="inlineStr">
        <is>
          <t>Grammy EV 1.4</t>
        </is>
      </c>
      <c r="D16" t="n">
        <v>1.4</v>
      </c>
      <c r="I16" t="n">
        <v>10.6</v>
      </c>
      <c r="J16" t="n">
        <v>16.8</v>
      </c>
      <c r="K16" t="n">
        <v>7.753</v>
      </c>
      <c r="L16" t="n">
        <v>1.4</v>
      </c>
      <c r="M16">
        <f>K16+MIN(L16,Assumptions!$H$14)</f>
        <v/>
      </c>
      <c r="N16">
        <f>M16-Assumptions!$I$14</f>
        <v/>
      </c>
      <c r="O16">
        <f>N16-Assumptions!$B$25*Q16</f>
        <v/>
      </c>
      <c r="P16" t="n">
        <v>3</v>
      </c>
      <c r="Q16" t="n">
        <v>3.009</v>
      </c>
      <c r="R16" t="inlineStr">
        <is>
          <t>2027 Hot 100 baseline = my estimate; Grammy: estimate (C)</t>
        </is>
      </c>
      <c r="S16" t="inlineStr">
        <is>
          <t>2026-10-08</t>
        </is>
      </c>
      <c r="T16" s="9" t="inlineStr">
        <is>
          <t>C</t>
        </is>
      </c>
      <c r="U16" t="inlineStr">
        <is>
          <t>2027 release unconfirmed; boycotts Grammys but PartyNextDoor collab was nominated  [conf C: sd x1.25, p shrink 20%]</t>
        </is>
      </c>
      <c r="V16">
        <f>K16+Assumptions!$J$14*MIN(L16,Assumptions!$H$14)</f>
        <v/>
      </c>
      <c r="W16">
        <f>RANK(V16,$V$5:$V$36)</f>
        <v/>
      </c>
      <c r="X16" s="16" t="inlineStr">
        <is>
          <t>Shep</t>
        </is>
      </c>
      <c r="Y16">
        <f>N16-IF(T16="C",Assumptions!$B$27,IF(T16="B",Assumptions!$B$26,0))</f>
        <v/>
      </c>
    </row>
    <row r="17">
      <c r="A17" s="19" t="inlineStr">
        <is>
          <t>Bad Bunny</t>
        </is>
      </c>
      <c r="B17" t="inlineStr">
        <is>
          <t>2026 raw 11; charting now: none charting; carry-over 0.0 + new hits 8.8 (lambda 1.10, P(~0) 34%)</t>
        </is>
      </c>
      <c r="C17" t="inlineStr">
        <is>
          <t>Grammy EV 1.1</t>
        </is>
      </c>
      <c r="D17" t="n">
        <v>1.1</v>
      </c>
      <c r="I17" t="n">
        <v>8.800000000000001</v>
      </c>
      <c r="J17" t="n">
        <v>15.8</v>
      </c>
      <c r="K17" t="n">
        <v>7.249</v>
      </c>
      <c r="L17" t="n">
        <v>1.1</v>
      </c>
      <c r="M17">
        <f>K17+MIN(L17,Assumptions!$H$14)</f>
        <v/>
      </c>
      <c r="N17">
        <f>M17-Assumptions!$I$14</f>
        <v/>
      </c>
      <c r="O17">
        <f>N17-Assumptions!$B$25*Q17</f>
        <v/>
      </c>
      <c r="P17" t="n">
        <v>3</v>
      </c>
      <c r="Q17" t="n">
        <v>3.038</v>
      </c>
      <c r="R17" t="inlineStr">
        <is>
          <t>2027 Hot 100 baseline = my estimate; Grammy: estimate (C)</t>
        </is>
      </c>
      <c r="S17" t="inlineStr">
        <is>
          <t>2026-10-08</t>
        </is>
      </c>
      <c r="T17" s="9" t="inlineStr">
        <is>
          <t>C</t>
        </is>
      </c>
      <c r="U17" t="inlineStr">
        <is>
          <t>[conf C: sd x1.25, p shrink 20%]</t>
        </is>
      </c>
      <c r="V17">
        <f>K17+Assumptions!$J$14*MIN(L17,Assumptions!$H$14)</f>
        <v/>
      </c>
      <c r="W17">
        <f>RANK(V17,$V$5:$V$36)</f>
        <v/>
      </c>
      <c r="X17" s="16" t="inlineStr">
        <is>
          <t>Mitchell</t>
        </is>
      </c>
      <c r="Y17">
        <f>N17-IF(T17="C",Assumptions!$B$27,IF(T17="B",Assumptions!$B$26,0))</f>
        <v/>
      </c>
    </row>
    <row r="18">
      <c r="A18" t="inlineStr">
        <is>
          <t>Phoebe Bridgers</t>
        </is>
      </c>
      <c r="B18" t="inlineStr">
        <is>
          <t>2026 raw 0; charting now: none charting; carry-over 0.0 + new hits 1.2 (lambda 0.15, P(~0) 86%)</t>
        </is>
      </c>
      <c r="C18" t="inlineStr">
        <is>
          <t>Grammy EV 3.7 (raw 3.7, P(cap) 1%)</t>
        </is>
      </c>
      <c r="D18" t="n">
        <v>3.65</v>
      </c>
      <c r="I18" t="n">
        <v>1.2</v>
      </c>
      <c r="J18" t="n">
        <v>5.9</v>
      </c>
      <c r="K18" t="n">
        <v>4.611</v>
      </c>
      <c r="L18" t="n">
        <v>3.65</v>
      </c>
      <c r="M18">
        <f>K18+MIN(L18,Assumptions!$H$14)</f>
        <v/>
      </c>
      <c r="N18">
        <f>M18-Assumptions!$I$14</f>
        <v/>
      </c>
      <c r="O18">
        <f>N18-Assumptions!$B$25*Q18</f>
        <v/>
      </c>
      <c r="P18" t="n">
        <v>4</v>
      </c>
      <c r="Q18" t="n">
        <v>2.108</v>
      </c>
      <c r="R18" t="inlineStr">
        <is>
          <t>2027 Hot 100 baseline = my estimate; Grammy: Kalshi KXGRAM*-69 prices (A) + estimates for other categories (C)</t>
        </is>
      </c>
      <c r="S18" t="inlineStr">
        <is>
          <t>2026-10-08</t>
        </is>
      </c>
      <c r="T18" s="9" t="inlineStr">
        <is>
          <t>C</t>
        </is>
      </c>
      <c r="U18" t="inlineStr">
        <is>
          <t>[conf C: sd x1.25, p shrink 20%]</t>
        </is>
      </c>
      <c r="V18">
        <f>K18+Assumptions!$J$14*MIN(L18,Assumptions!$H$14)</f>
        <v/>
      </c>
      <c r="W18">
        <f>RANK(V18,$V$5:$V$36)</f>
        <v/>
      </c>
      <c r="Y18">
        <f>N18-IF(T18="C",Assumptions!$B$27,IF(T18="B",Assumptions!$B$26,0))</f>
        <v/>
      </c>
    </row>
    <row r="19">
      <c r="A19" t="inlineStr">
        <is>
          <t>Justin Bieber</t>
        </is>
      </c>
      <c r="B19" t="inlineStr">
        <is>
          <t>2026 raw 2; charting now: none charting; carry-over 0.0 + new hits 9.0 (lambda 1.10, P(~0) 34%)</t>
        </is>
      </c>
      <c r="C19" t="inlineStr">
        <is>
          <t>Grammy EV 0.3</t>
        </is>
      </c>
      <c r="D19" t="n">
        <v>0.3</v>
      </c>
      <c r="I19" t="n">
        <v>9</v>
      </c>
      <c r="J19" t="n">
        <v>16.2</v>
      </c>
      <c r="K19" t="n">
        <v>7.283</v>
      </c>
      <c r="L19" t="n">
        <v>0.3</v>
      </c>
      <c r="M19">
        <f>K19+MIN(L19,Assumptions!$H$14)</f>
        <v/>
      </c>
      <c r="N19">
        <f>M19-Assumptions!$I$14</f>
        <v/>
      </c>
      <c r="O19">
        <f>N19-Assumptions!$B$25*Q19</f>
        <v/>
      </c>
      <c r="P19" t="n">
        <v>4</v>
      </c>
      <c r="Q19" t="n">
        <v>3.021</v>
      </c>
      <c r="R19" t="inlineStr">
        <is>
          <t>2027 Hot 100 baseline = my estimate; Grammy: estimate (C)</t>
        </is>
      </c>
      <c r="S19" t="inlineStr">
        <is>
          <t>2026-10-08</t>
        </is>
      </c>
      <c r="T19" s="9" t="inlineStr">
        <is>
          <t>C</t>
        </is>
      </c>
      <c r="U19" t="inlineStr">
        <is>
          <t>[conf C: sd x1.25, p shrink 20%]</t>
        </is>
      </c>
      <c r="V19">
        <f>K19+Assumptions!$J$14*MIN(L19,Assumptions!$H$14)</f>
        <v/>
      </c>
      <c r="W19">
        <f>RANK(V19,$V$5:$V$36)</f>
        <v/>
      </c>
      <c r="X19" s="16" t="inlineStr">
        <is>
          <t>Fryar</t>
        </is>
      </c>
      <c r="Y19">
        <f>N19-IF(T19="C",Assumptions!$B$27,IF(T19="B",Assumptions!$B$26,0))</f>
        <v/>
      </c>
    </row>
    <row r="20">
      <c r="A20" t="inlineStr">
        <is>
          <t>Sienna Spiro</t>
        </is>
      </c>
      <c r="B20" t="inlineStr">
        <is>
          <t>2026 raw 0; charting now: none charting; carry-over 0.0 + new hits 1.3 (lambda 0.15, P(~0) 86%)</t>
        </is>
      </c>
      <c r="C20" t="inlineStr">
        <is>
          <t>Grammy EV 3.0 (raw 3.0, P(cap) 0%)</t>
        </is>
      </c>
      <c r="D20" t="n">
        <v>2.96</v>
      </c>
      <c r="I20" t="n">
        <v>1.3</v>
      </c>
      <c r="J20" t="n">
        <v>6.4</v>
      </c>
      <c r="K20" t="n">
        <v>4.593</v>
      </c>
      <c r="L20" t="n">
        <v>2.96</v>
      </c>
      <c r="M20">
        <f>K20+MIN(L20,Assumptions!$H$14)</f>
        <v/>
      </c>
      <c r="N20">
        <f>M20-Assumptions!$I$14</f>
        <v/>
      </c>
      <c r="O20">
        <f>N20-Assumptions!$B$25*Q20</f>
        <v/>
      </c>
      <c r="P20" t="n">
        <v>4</v>
      </c>
      <c r="Q20" t="n">
        <v>2.128</v>
      </c>
      <c r="R20" t="inlineStr">
        <is>
          <t>2027 Hot 100 baseline = my estimate; Grammy: Kalshi KXGRAM*-69 prices (A) + estimates for other categories (C)</t>
        </is>
      </c>
      <c r="S20" t="inlineStr">
        <is>
          <t>2026-10-08</t>
        </is>
      </c>
      <c r="T20" s="9" t="inlineStr">
        <is>
          <t>C</t>
        </is>
      </c>
      <c r="U20" t="inlineStr">
        <is>
          <t>[conf C: sd x1.25, p shrink 20%]</t>
        </is>
      </c>
      <c r="V20">
        <f>K20+Assumptions!$J$14*MIN(L20,Assumptions!$H$14)</f>
        <v/>
      </c>
      <c r="W20">
        <f>RANK(V20,$V$5:$V$36)</f>
        <v/>
      </c>
      <c r="Y20">
        <f>N20-IF(T20="C",Assumptions!$B$27,IF(T20="B",Assumptions!$B$26,0))</f>
        <v/>
      </c>
    </row>
    <row r="21">
      <c r="A21" t="inlineStr">
        <is>
          <t>Kendrick Lamar</t>
        </is>
      </c>
      <c r="B21" t="inlineStr">
        <is>
          <t>2026 raw 0; charting now: none charting; carry-over 0.0 + new hits 1.3 (lambda 0.15, P(~0) 86%)</t>
        </is>
      </c>
      <c r="C21" t="inlineStr">
        <is>
          <t>Grammy EV 0.9</t>
        </is>
      </c>
      <c r="D21" t="n">
        <v>0.9</v>
      </c>
      <c r="I21" t="n">
        <v>1.3</v>
      </c>
      <c r="J21" t="n">
        <v>6.2</v>
      </c>
      <c r="K21" t="n">
        <v>4.634</v>
      </c>
      <c r="L21" t="n">
        <v>0.9</v>
      </c>
      <c r="M21">
        <f>K21+MIN(L21,Assumptions!$H$14)</f>
        <v/>
      </c>
      <c r="N21">
        <f>M21-Assumptions!$I$14</f>
        <v/>
      </c>
      <c r="O21">
        <f>N21-Assumptions!$B$25*Q21</f>
        <v/>
      </c>
      <c r="P21" t="n">
        <v>4</v>
      </c>
      <c r="Q21" t="n">
        <v>2.137</v>
      </c>
      <c r="R21" t="inlineStr">
        <is>
          <t>2027 Hot 100 baseline = my estimate; Grammy: estimate (C)</t>
        </is>
      </c>
      <c r="S21" t="inlineStr">
        <is>
          <t>2026-10-08</t>
        </is>
      </c>
      <c r="T21" s="9" t="inlineStr">
        <is>
          <t>C</t>
        </is>
      </c>
      <c r="U21" t="inlineStr">
        <is>
          <t>[conf C: sd x1.25, p shrink 20%]</t>
        </is>
      </c>
      <c r="V21">
        <f>K21+Assumptions!$J$14*MIN(L21,Assumptions!$H$14)</f>
        <v/>
      </c>
      <c r="W21">
        <f>RANK(V21,$V$5:$V$36)</f>
        <v/>
      </c>
      <c r="X21" s="16" t="inlineStr">
        <is>
          <t>Tim</t>
        </is>
      </c>
      <c r="Y21">
        <f>N21-IF(T21="C",Assumptions!$B$27,IF(T21="B",Assumptions!$B$26,0))</f>
        <v/>
      </c>
    </row>
    <row r="22">
      <c r="A22" t="inlineStr">
        <is>
          <t>Sabrina Carpenter</t>
        </is>
      </c>
      <c r="B22" t="inlineStr">
        <is>
          <t>2026 raw 0; charting now: none charting; carry-over 0.0 + new hits 1.2 (lambda 0.15, P(~0) 86%)</t>
        </is>
      </c>
      <c r="C22" t="inlineStr">
        <is>
          <t>Grammy EV 1.0</t>
        </is>
      </c>
      <c r="D22" t="n">
        <v>1</v>
      </c>
      <c r="I22" t="n">
        <v>1.2</v>
      </c>
      <c r="J22" t="n">
        <v>5.9</v>
      </c>
      <c r="K22" t="n">
        <v>4.507</v>
      </c>
      <c r="L22" t="n">
        <v>1</v>
      </c>
      <c r="M22">
        <f>K22+MIN(L22,Assumptions!$H$14)</f>
        <v/>
      </c>
      <c r="N22">
        <f>M22-Assumptions!$I$14</f>
        <v/>
      </c>
      <c r="O22">
        <f>N22-Assumptions!$B$25*Q22</f>
        <v/>
      </c>
      <c r="P22" t="n">
        <v>4</v>
      </c>
      <c r="Q22" t="n">
        <v>2.014</v>
      </c>
      <c r="R22" t="inlineStr">
        <is>
          <t>2027 Hot 100 baseline = my estimate; Grammy: estimate (C)</t>
        </is>
      </c>
      <c r="S22" t="inlineStr">
        <is>
          <t>2026-10-08</t>
        </is>
      </c>
      <c r="T22" s="9" t="inlineStr">
        <is>
          <t>C</t>
        </is>
      </c>
      <c r="U22" t="inlineStr">
        <is>
          <t>[conf C: sd x1.25, p shrink 20%]</t>
        </is>
      </c>
      <c r="V22">
        <f>K22+Assumptions!$J$14*MIN(L22,Assumptions!$H$14)</f>
        <v/>
      </c>
      <c r="W22">
        <f>RANK(V22,$V$5:$V$36)</f>
        <v/>
      </c>
      <c r="X22" s="16" t="inlineStr">
        <is>
          <t>Jens</t>
        </is>
      </c>
      <c r="Y22">
        <f>N22-IF(T22="C",Assumptions!$B$27,IF(T22="B",Assumptions!$B$26,0))</f>
        <v/>
      </c>
    </row>
    <row r="23">
      <c r="A23" t="inlineStr">
        <is>
          <t>The Weeknd</t>
        </is>
      </c>
      <c r="B23" t="inlineStr">
        <is>
          <t>2026 raw 0; charting now: none charting; carry-over 0.0 + new hits 1.2 (lambda 0.15, P(~0) 86%)</t>
        </is>
      </c>
      <c r="C23" t="inlineStr">
        <is>
          <t>Grammy EV 0.5</t>
        </is>
      </c>
      <c r="D23" t="n">
        <v>0.5</v>
      </c>
      <c r="I23" t="n">
        <v>1.2</v>
      </c>
      <c r="J23" t="n">
        <v>6</v>
      </c>
      <c r="K23" t="n">
        <v>4.661</v>
      </c>
      <c r="L23" t="n">
        <v>0.5</v>
      </c>
      <c r="M23">
        <f>K23+MIN(L23,Assumptions!$H$14)</f>
        <v/>
      </c>
      <c r="N23">
        <f>M23-Assumptions!$I$14</f>
        <v/>
      </c>
      <c r="O23">
        <f>N23-Assumptions!$B$25*Q23</f>
        <v/>
      </c>
      <c r="P23" t="n">
        <v>4</v>
      </c>
      <c r="Q23" t="n">
        <v>2.161</v>
      </c>
      <c r="R23" t="inlineStr">
        <is>
          <t>2027 Hot 100 baseline = my estimate; Grammy: estimate (C)</t>
        </is>
      </c>
      <c r="S23" t="inlineStr">
        <is>
          <t>2026-10-08</t>
        </is>
      </c>
      <c r="T23" s="9" t="inlineStr">
        <is>
          <t>C</t>
        </is>
      </c>
      <c r="U23" t="inlineStr">
        <is>
          <t>[conf C: sd x1.25, p shrink 20%]</t>
        </is>
      </c>
      <c r="V23">
        <f>K23+Assumptions!$J$14*MIN(L23,Assumptions!$H$14)</f>
        <v/>
      </c>
      <c r="W23">
        <f>RANK(V23,$V$5:$V$36)</f>
        <v/>
      </c>
      <c r="X23" s="16" t="inlineStr">
        <is>
          <t>Jamzee</t>
        </is>
      </c>
      <c r="Y23">
        <f>N23-IF(T23="C",Assumptions!$B$27,IF(T23="B",Assumptions!$B$26,0))</f>
        <v/>
      </c>
    </row>
    <row r="24">
      <c r="A24" t="inlineStr">
        <is>
          <t>SZA</t>
        </is>
      </c>
      <c r="B24" t="inlineStr">
        <is>
          <t>2026 raw 0; charting now: none charting; carry-over 0.0 + new hits 1.2 (lambda 0.15, P(~0) 86%)</t>
        </is>
      </c>
      <c r="C24" t="inlineStr">
        <is>
          <t>Grammy EV 0.5</t>
        </is>
      </c>
      <c r="D24" t="n">
        <v>0.5</v>
      </c>
      <c r="I24" t="n">
        <v>1.2</v>
      </c>
      <c r="J24" t="n">
        <v>5.7</v>
      </c>
      <c r="K24" t="n">
        <v>4.592</v>
      </c>
      <c r="L24" t="n">
        <v>0.5</v>
      </c>
      <c r="M24">
        <f>K24+MIN(L24,Assumptions!$H$14)</f>
        <v/>
      </c>
      <c r="N24">
        <f>M24-Assumptions!$I$14</f>
        <v/>
      </c>
      <c r="O24">
        <f>N24-Assumptions!$B$25*Q24</f>
        <v/>
      </c>
      <c r="P24" t="n">
        <v>4</v>
      </c>
      <c r="Q24" t="n">
        <v>2.088</v>
      </c>
      <c r="R24" t="inlineStr">
        <is>
          <t>2027 Hot 100 baseline = my estimate; Grammy: estimate (C)</t>
        </is>
      </c>
      <c r="S24" t="inlineStr">
        <is>
          <t>2026-10-08</t>
        </is>
      </c>
      <c r="T24" s="9" t="inlineStr">
        <is>
          <t>C</t>
        </is>
      </c>
      <c r="U24" t="inlineStr">
        <is>
          <t>[conf C: sd x1.25, p shrink 20%]</t>
        </is>
      </c>
      <c r="V24">
        <f>K24+Assumptions!$J$14*MIN(L24,Assumptions!$H$14)</f>
        <v/>
      </c>
      <c r="W24">
        <f>RANK(V24,$V$5:$V$36)</f>
        <v/>
      </c>
      <c r="X24" s="16" t="inlineStr">
        <is>
          <t>Korch</t>
        </is>
      </c>
      <c r="Y24">
        <f>N24-IF(T24="C",Assumptions!$B$27,IF(T24="B",Assumptions!$B$26,0))</f>
        <v/>
      </c>
    </row>
    <row r="25">
      <c r="A25" t="inlineStr">
        <is>
          <t>Lady Gaga</t>
        </is>
      </c>
      <c r="B25" t="inlineStr">
        <is>
          <t>2026 raw 0; charting now: none charting; carry-over 0.0 + new hits 1.3 (lambda 0.15, P(~0) 86%)</t>
        </is>
      </c>
      <c r="C25" t="inlineStr">
        <is>
          <t>Grammy EV 0.5</t>
        </is>
      </c>
      <c r="D25" t="n">
        <v>0.5</v>
      </c>
      <c r="I25" t="n">
        <v>1.3</v>
      </c>
      <c r="J25" t="n">
        <v>6.3</v>
      </c>
      <c r="K25" t="n">
        <v>4.574</v>
      </c>
      <c r="L25" t="n">
        <v>0.5</v>
      </c>
      <c r="M25">
        <f>K25+MIN(L25,Assumptions!$H$14)</f>
        <v/>
      </c>
      <c r="N25">
        <f>M25-Assumptions!$I$14</f>
        <v/>
      </c>
      <c r="O25">
        <f>N25-Assumptions!$B$25*Q25</f>
        <v/>
      </c>
      <c r="P25" t="n">
        <v>4</v>
      </c>
      <c r="Q25" t="n">
        <v>2.09</v>
      </c>
      <c r="R25" t="inlineStr">
        <is>
          <t>2027 Hot 100 baseline = my estimate; Grammy: estimate (C)</t>
        </is>
      </c>
      <c r="S25" t="inlineStr">
        <is>
          <t>2026-10-08</t>
        </is>
      </c>
      <c r="T25" s="9" t="inlineStr">
        <is>
          <t>C</t>
        </is>
      </c>
      <c r="U25" t="inlineStr">
        <is>
          <t>[conf C: sd x1.25, p shrink 20%]</t>
        </is>
      </c>
      <c r="V25">
        <f>K25+Assumptions!$J$14*MIN(L25,Assumptions!$H$14)</f>
        <v/>
      </c>
      <c r="W25">
        <f>RANK(V25,$V$5:$V$36)</f>
        <v/>
      </c>
      <c r="X25" s="16" t="inlineStr">
        <is>
          <t>Feder</t>
        </is>
      </c>
      <c r="Y25">
        <f>N25-IF(T25="C",Assumptions!$B$27,IF(T25="B",Assumptions!$B$26,0))</f>
        <v/>
      </c>
    </row>
    <row r="26">
      <c r="A26" t="inlineStr">
        <is>
          <t>Beyoncé</t>
        </is>
      </c>
      <c r="B26" t="inlineStr">
        <is>
          <t>2026 raw 0; charting now: none charting; carry-over 0.0 + new hits 1.2 (lambda 0.15, P(~0) 86%)</t>
        </is>
      </c>
      <c r="C26" t="inlineStr">
        <is>
          <t>Grammy EV 0.5</t>
        </is>
      </c>
      <c r="D26" t="n">
        <v>0.5</v>
      </c>
      <c r="I26" t="n">
        <v>1.2</v>
      </c>
      <c r="J26" t="n">
        <v>5.7</v>
      </c>
      <c r="K26" t="n">
        <v>4.565</v>
      </c>
      <c r="L26" t="n">
        <v>0.5</v>
      </c>
      <c r="M26">
        <f>K26+MIN(L26,Assumptions!$H$14)</f>
        <v/>
      </c>
      <c r="N26">
        <f>M26-Assumptions!$I$14</f>
        <v/>
      </c>
      <c r="O26">
        <f>N26-Assumptions!$B$25*Q26</f>
        <v/>
      </c>
      <c r="P26" t="n">
        <v>4</v>
      </c>
      <c r="Q26" t="n">
        <v>2.027</v>
      </c>
      <c r="R26" t="inlineStr">
        <is>
          <t>2027 Hot 100 baseline = my estimate; Grammy: estimate (C)</t>
        </is>
      </c>
      <c r="S26" t="inlineStr">
        <is>
          <t>2026-10-08</t>
        </is>
      </c>
      <c r="T26" s="9" t="inlineStr">
        <is>
          <t>C</t>
        </is>
      </c>
      <c r="U26" t="inlineStr">
        <is>
          <t>[conf C: sd x1.25, p shrink 20%]</t>
        </is>
      </c>
      <c r="V26">
        <f>K26+Assumptions!$J$14*MIN(L26,Assumptions!$H$14)</f>
        <v/>
      </c>
      <c r="W26">
        <f>RANK(V26,$V$5:$V$36)</f>
        <v/>
      </c>
      <c r="X26" s="16" t="inlineStr">
        <is>
          <t>Buckley</t>
        </is>
      </c>
      <c r="Y26">
        <f>N26-IF(T26="C",Assumptions!$B$27,IF(T26="B",Assumptions!$B$26,0))</f>
        <v/>
      </c>
    </row>
    <row r="27">
      <c r="A27" t="inlineStr">
        <is>
          <t>Billie Eilish</t>
        </is>
      </c>
      <c r="B27" t="inlineStr">
        <is>
          <t>2026 raw 0; charting now: none charting; carry-over 0.0 + new hits 1.2 (lambda 0.15, P(~0) 86%)</t>
        </is>
      </c>
      <c r="C27" t="inlineStr">
        <is>
          <t>Grammy EV 0.5</t>
        </is>
      </c>
      <c r="D27" t="n">
        <v>0.5</v>
      </c>
      <c r="I27" t="n">
        <v>1.2</v>
      </c>
      <c r="J27" t="n">
        <v>5.7</v>
      </c>
      <c r="K27" t="n">
        <v>4.565</v>
      </c>
      <c r="L27" t="n">
        <v>0.5</v>
      </c>
      <c r="M27">
        <f>K27+MIN(L27,Assumptions!$H$14)</f>
        <v/>
      </c>
      <c r="N27">
        <f>M27-Assumptions!$I$14</f>
        <v/>
      </c>
      <c r="O27">
        <f>N27-Assumptions!$B$25*Q27</f>
        <v/>
      </c>
      <c r="P27" t="n">
        <v>4</v>
      </c>
      <c r="Q27" t="n">
        <v>2.062</v>
      </c>
      <c r="R27" t="inlineStr">
        <is>
          <t>2027 Hot 100 baseline = my estimate; Grammy: estimate (C)</t>
        </is>
      </c>
      <c r="S27" t="inlineStr">
        <is>
          <t>2026-10-08</t>
        </is>
      </c>
      <c r="T27" s="9" t="inlineStr">
        <is>
          <t>C</t>
        </is>
      </c>
      <c r="U27" t="inlineStr">
        <is>
          <t>[conf C: sd x1.25, p shrink 20%]</t>
        </is>
      </c>
      <c r="V27">
        <f>K27+Assumptions!$J$14*MIN(L27,Assumptions!$H$14)</f>
        <v/>
      </c>
      <c r="W27">
        <f>RANK(V27,$V$5:$V$36)</f>
        <v/>
      </c>
      <c r="Y27">
        <f>N27-IF(T27="C",Assumptions!$B$27,IF(T27="B",Assumptions!$B$26,0))</f>
        <v/>
      </c>
    </row>
    <row r="28">
      <c r="A28" t="inlineStr">
        <is>
          <t>Doechii</t>
        </is>
      </c>
      <c r="B28" t="inlineStr">
        <is>
          <t>2026 raw 0; charting now: none charting; carry-over 0.0 + new hits 1.3 (lambda 0.15, P(~0) 86%)</t>
        </is>
      </c>
      <c r="C28" t="inlineStr">
        <is>
          <t>Grammy EV 0.3</t>
        </is>
      </c>
      <c r="D28" t="n">
        <v>0.3</v>
      </c>
      <c r="I28" t="n">
        <v>1.3</v>
      </c>
      <c r="J28" t="n">
        <v>6.1</v>
      </c>
      <c r="K28" t="n">
        <v>4.642</v>
      </c>
      <c r="L28" t="n">
        <v>0.3</v>
      </c>
      <c r="M28">
        <f>K28+MIN(L28,Assumptions!$H$14)</f>
        <v/>
      </c>
      <c r="N28">
        <f>M28-Assumptions!$I$14</f>
        <v/>
      </c>
      <c r="O28">
        <f>N28-Assumptions!$B$25*Q28</f>
        <v/>
      </c>
      <c r="P28" t="n">
        <v>4</v>
      </c>
      <c r="Q28" t="n">
        <v>2.149</v>
      </c>
      <c r="R28" t="inlineStr">
        <is>
          <t>2027 Hot 100 baseline = my estimate; Grammy: estimate (C)</t>
        </is>
      </c>
      <c r="S28" t="inlineStr">
        <is>
          <t>2026-10-08</t>
        </is>
      </c>
      <c r="T28" s="9" t="inlineStr">
        <is>
          <t>C</t>
        </is>
      </c>
      <c r="U28" t="inlineStr">
        <is>
          <t>[conf C: sd x1.25, p shrink 20%]</t>
        </is>
      </c>
      <c r="V28">
        <f>K28+Assumptions!$J$14*MIN(L28,Assumptions!$H$14)</f>
        <v/>
      </c>
      <c r="W28">
        <f>RANK(V28,$V$5:$V$36)</f>
        <v/>
      </c>
      <c r="Y28">
        <f>N28-IF(T28="C",Assumptions!$B$27,IF(T28="B",Assumptions!$B$26,0))</f>
        <v/>
      </c>
    </row>
    <row r="29">
      <c r="A29" t="inlineStr">
        <is>
          <t>Tate McRae</t>
        </is>
      </c>
      <c r="B29" t="inlineStr">
        <is>
          <t>2026 raw 0; charting now: none charting; carry-over 0.0 + new hits 1.3 (lambda 0.15, P(~0) 86%)</t>
        </is>
      </c>
      <c r="C29" t="inlineStr">
        <is>
          <t>Grammy EV 0.3</t>
        </is>
      </c>
      <c r="D29" t="n">
        <v>0.3</v>
      </c>
      <c r="I29" t="n">
        <v>1.3</v>
      </c>
      <c r="J29" t="n">
        <v>5.9</v>
      </c>
      <c r="K29" t="n">
        <v>4.63</v>
      </c>
      <c r="L29" t="n">
        <v>0.3</v>
      </c>
      <c r="M29">
        <f>K29+MIN(L29,Assumptions!$H$14)</f>
        <v/>
      </c>
      <c r="N29">
        <f>M29-Assumptions!$I$14</f>
        <v/>
      </c>
      <c r="O29">
        <f>N29-Assumptions!$B$25*Q29</f>
        <v/>
      </c>
      <c r="P29" t="n">
        <v>4</v>
      </c>
      <c r="Q29" t="n">
        <v>2.062</v>
      </c>
      <c r="R29" t="inlineStr">
        <is>
          <t>2027 Hot 100 baseline = my estimate; Grammy: estimate (C)</t>
        </is>
      </c>
      <c r="S29" t="inlineStr">
        <is>
          <t>2026-10-08</t>
        </is>
      </c>
      <c r="T29" s="9" t="inlineStr">
        <is>
          <t>C</t>
        </is>
      </c>
      <c r="U29" t="inlineStr">
        <is>
          <t>[conf C: sd x1.25, p shrink 20%]</t>
        </is>
      </c>
      <c r="V29">
        <f>K29+Assumptions!$J$14*MIN(L29,Assumptions!$H$14)</f>
        <v/>
      </c>
      <c r="W29">
        <f>RANK(V29,$V$5:$V$36)</f>
        <v/>
      </c>
      <c r="Y29">
        <f>N29-IF(T29="C",Assumptions!$B$27,IF(T29="B",Assumptions!$B$26,0))</f>
        <v/>
      </c>
    </row>
    <row r="30">
      <c r="A30" t="inlineStr">
        <is>
          <t>Zach Bryan</t>
        </is>
      </c>
      <c r="B30" t="inlineStr">
        <is>
          <t>2026 raw 0; charting now: none charting; carry-over 0.0 + new hits 1.3 (lambda 0.15, P(~0) 86%)</t>
        </is>
      </c>
      <c r="C30" t="inlineStr">
        <is>
          <t>Grammy EV 0.3</t>
        </is>
      </c>
      <c r="D30" t="n">
        <v>0.3</v>
      </c>
      <c r="I30" t="n">
        <v>1.3</v>
      </c>
      <c r="J30" t="n">
        <v>6.1</v>
      </c>
      <c r="K30" t="n">
        <v>4.614</v>
      </c>
      <c r="L30" t="n">
        <v>0.3</v>
      </c>
      <c r="M30">
        <f>K30+MIN(L30,Assumptions!$H$14)</f>
        <v/>
      </c>
      <c r="N30">
        <f>M30-Assumptions!$I$14</f>
        <v/>
      </c>
      <c r="O30">
        <f>N30-Assumptions!$B$25*Q30</f>
        <v/>
      </c>
      <c r="P30" t="n">
        <v>4</v>
      </c>
      <c r="Q30" t="n">
        <v>2.077</v>
      </c>
      <c r="R30" t="inlineStr">
        <is>
          <t>2027 Hot 100 baseline = my estimate; Grammy: estimate (C)</t>
        </is>
      </c>
      <c r="S30" t="inlineStr">
        <is>
          <t>2026-10-08</t>
        </is>
      </c>
      <c r="T30" s="9" t="inlineStr">
        <is>
          <t>C</t>
        </is>
      </c>
      <c r="U30" t="inlineStr">
        <is>
          <t>[conf C: sd x1.25, p shrink 20%]</t>
        </is>
      </c>
      <c r="V30">
        <f>K30+Assumptions!$J$14*MIN(L30,Assumptions!$H$14)</f>
        <v/>
      </c>
      <c r="W30">
        <f>RANK(V30,$V$5:$V$36)</f>
        <v/>
      </c>
      <c r="Y30">
        <f>N30-IF(T30="C",Assumptions!$B$27,IF(T30="B",Assumptions!$B$26,0))</f>
        <v/>
      </c>
    </row>
    <row r="31">
      <c r="A31" t="inlineStr">
        <is>
          <t>Tyler, the Creator</t>
        </is>
      </c>
      <c r="B31" t="inlineStr">
        <is>
          <t>2026 raw 0; charting now: none charting; carry-over 0.0 + new hits 1.2 (lambda 0.15, P(~0) 86%)</t>
        </is>
      </c>
      <c r="C31" t="inlineStr">
        <is>
          <t>Grammy EV 0.3</t>
        </is>
      </c>
      <c r="D31" t="n">
        <v>0.3</v>
      </c>
      <c r="I31" t="n">
        <v>1.2</v>
      </c>
      <c r="J31" t="n">
        <v>5.8</v>
      </c>
      <c r="K31" t="n">
        <v>4.604</v>
      </c>
      <c r="L31" t="n">
        <v>0.3</v>
      </c>
      <c r="M31">
        <f>K31+MIN(L31,Assumptions!$H$14)</f>
        <v/>
      </c>
      <c r="N31">
        <f>M31-Assumptions!$I$14</f>
        <v/>
      </c>
      <c r="O31">
        <f>N31-Assumptions!$B$25*Q31</f>
        <v/>
      </c>
      <c r="P31" t="n">
        <v>4</v>
      </c>
      <c r="Q31" t="n">
        <v>2.063</v>
      </c>
      <c r="R31" t="inlineStr">
        <is>
          <t>2027 Hot 100 baseline = my estimate; Grammy: estimate (C)</t>
        </is>
      </c>
      <c r="S31" t="inlineStr">
        <is>
          <t>2026-10-08</t>
        </is>
      </c>
      <c r="T31" s="9" t="inlineStr">
        <is>
          <t>C</t>
        </is>
      </c>
      <c r="U31" t="inlineStr">
        <is>
          <t>[conf C: sd x1.25, p shrink 20%]</t>
        </is>
      </c>
      <c r="V31">
        <f>K31+Assumptions!$J$14*MIN(L31,Assumptions!$H$14)</f>
        <v/>
      </c>
      <c r="W31">
        <f>RANK(V31,$V$5:$V$36)</f>
        <v/>
      </c>
      <c r="Y31">
        <f>N31-IF(T31="C",Assumptions!$B$27,IF(T31="B",Assumptions!$B$26,0))</f>
        <v/>
      </c>
    </row>
    <row r="32">
      <c r="A32" t="inlineStr">
        <is>
          <t>Chappell Roan</t>
        </is>
      </c>
      <c r="B32" t="inlineStr">
        <is>
          <t>2026 raw 0; charting now: none charting; carry-over 0.0 + new hits 1.3 (lambda 0.15, P(~0) 86%)</t>
        </is>
      </c>
      <c r="C32" t="inlineStr">
        <is>
          <t>Grammy EV 0.3</t>
        </is>
      </c>
      <c r="D32" t="n">
        <v>0.3</v>
      </c>
      <c r="I32" t="n">
        <v>1.3</v>
      </c>
      <c r="J32" t="n">
        <v>6.4</v>
      </c>
      <c r="K32" t="n">
        <v>4.602</v>
      </c>
      <c r="L32" t="n">
        <v>0.3</v>
      </c>
      <c r="M32">
        <f>K32+MIN(L32,Assumptions!$H$14)</f>
        <v/>
      </c>
      <c r="N32">
        <f>M32-Assumptions!$I$14</f>
        <v/>
      </c>
      <c r="O32">
        <f>N32-Assumptions!$B$25*Q32</f>
        <v/>
      </c>
      <c r="P32" t="n">
        <v>4</v>
      </c>
      <c r="Q32" t="n">
        <v>2.121</v>
      </c>
      <c r="R32" t="inlineStr">
        <is>
          <t>2027 Hot 100 baseline = my estimate; Grammy: estimate (C)</t>
        </is>
      </c>
      <c r="S32" t="inlineStr">
        <is>
          <t>2026-10-08</t>
        </is>
      </c>
      <c r="T32" s="9" t="inlineStr">
        <is>
          <t>C</t>
        </is>
      </c>
      <c r="U32" t="inlineStr">
        <is>
          <t>[conf C: sd x1.25, p shrink 20%]</t>
        </is>
      </c>
      <c r="V32">
        <f>K32+Assumptions!$J$14*MIN(L32,Assumptions!$H$14)</f>
        <v/>
      </c>
      <c r="W32">
        <f>RANK(V32,$V$5:$V$36)</f>
        <v/>
      </c>
      <c r="Y32">
        <f>N32-IF(T32="C",Assumptions!$B$27,IF(T32="B",Assumptions!$B$26,0))</f>
        <v/>
      </c>
    </row>
    <row r="33">
      <c r="A33" t="inlineStr">
        <is>
          <t>Travis Scott</t>
        </is>
      </c>
      <c r="B33" t="inlineStr">
        <is>
          <t>2026 raw 0; charting now: none charting; carry-over 0.0 + new hits 1.2 (lambda 0.15, P(~0) 86%)</t>
        </is>
      </c>
      <c r="C33" t="inlineStr">
        <is>
          <t>Grammy EV 0.3</t>
        </is>
      </c>
      <c r="D33" t="n">
        <v>0.3</v>
      </c>
      <c r="I33" t="n">
        <v>1.2</v>
      </c>
      <c r="J33" t="n">
        <v>5.9</v>
      </c>
      <c r="K33" t="n">
        <v>4.594</v>
      </c>
      <c r="L33" t="n">
        <v>0.3</v>
      </c>
      <c r="M33">
        <f>K33+MIN(L33,Assumptions!$H$14)</f>
        <v/>
      </c>
      <c r="N33">
        <f>M33-Assumptions!$I$14</f>
        <v/>
      </c>
      <c r="O33">
        <f>N33-Assumptions!$B$25*Q33</f>
        <v/>
      </c>
      <c r="P33" t="n">
        <v>4</v>
      </c>
      <c r="Q33" t="n">
        <v>2.075</v>
      </c>
      <c r="R33" t="inlineStr">
        <is>
          <t>2027 Hot 100 baseline = my estimate; Grammy: estimate (C)</t>
        </is>
      </c>
      <c r="S33" t="inlineStr">
        <is>
          <t>2026-10-08</t>
        </is>
      </c>
      <c r="T33" s="9" t="inlineStr">
        <is>
          <t>C</t>
        </is>
      </c>
      <c r="U33" t="inlineStr">
        <is>
          <t>[conf C: sd x1.25, p shrink 20%]</t>
        </is>
      </c>
      <c r="V33">
        <f>K33+Assumptions!$J$14*MIN(L33,Assumptions!$H$14)</f>
        <v/>
      </c>
      <c r="W33">
        <f>RANK(V33,$V$5:$V$36)</f>
        <v/>
      </c>
      <c r="Y33">
        <f>N33-IF(T33="C",Assumptions!$B$27,IF(T33="B",Assumptions!$B$26,0))</f>
        <v/>
      </c>
    </row>
    <row r="34">
      <c r="A34" t="inlineStr">
        <is>
          <t>FKA Twigs</t>
        </is>
      </c>
      <c r="B34" t="inlineStr">
        <is>
          <t>2026 raw 0; charting now: none charting; carry-over 0.0 + new hits 1.2 (lambda 0.15, P(~0) 86%)</t>
        </is>
      </c>
      <c r="D34" t="n">
        <v>0.3</v>
      </c>
      <c r="I34" t="n">
        <v>1.2</v>
      </c>
      <c r="J34" t="n">
        <v>5.7</v>
      </c>
      <c r="K34" t="n">
        <v>4.584</v>
      </c>
      <c r="L34" t="n">
        <v>0.3</v>
      </c>
      <c r="M34">
        <f>K34+MIN(L34,Assumptions!$H$14)</f>
        <v/>
      </c>
      <c r="N34">
        <f>M34-Assumptions!$I$14</f>
        <v/>
      </c>
      <c r="O34">
        <f>N34-Assumptions!$B$25*Q34</f>
        <v/>
      </c>
      <c r="P34" t="n">
        <v>4</v>
      </c>
      <c r="Q34" t="n">
        <v>2.042</v>
      </c>
      <c r="R34" t="inlineStr">
        <is>
          <t>added because a league member currently owns this pick (draft_picks_2026.py); not in the first-pass pool, so figures are placeholders (conf C)</t>
        </is>
      </c>
      <c r="S34" t="inlineStr">
        <is>
          <t>2026-10-08</t>
        </is>
      </c>
      <c r="T34" s="9" t="inlineStr">
        <is>
          <t>C</t>
        </is>
      </c>
      <c r="U34" t="inlineStr">
        <is>
          <t>[conf C: sd x1.25, p shrink 20%]</t>
        </is>
      </c>
      <c r="V34">
        <f>K34+Assumptions!$J$14*MIN(L34,Assumptions!$H$14)</f>
        <v/>
      </c>
      <c r="W34">
        <f>RANK(V34,$V$5:$V$36)</f>
        <v/>
      </c>
      <c r="X34" s="16" t="inlineStr">
        <is>
          <t>Wu</t>
        </is>
      </c>
      <c r="Y34">
        <f>N34-IF(T34="C",Assumptions!$B$27,IF(T34="B",Assumptions!$B$26,0))</f>
        <v/>
      </c>
    </row>
    <row r="35">
      <c r="A35" t="inlineStr">
        <is>
          <t>Doja Cat</t>
        </is>
      </c>
      <c r="B35" t="inlineStr">
        <is>
          <t>2026 raw 0; charting now: none charting; carry-over 0.0 + new hits 1.2 (lambda 0.15, P(~0) 86%)</t>
        </is>
      </c>
      <c r="C35" t="inlineStr">
        <is>
          <t>Grammy EV 0.3</t>
        </is>
      </c>
      <c r="D35" t="n">
        <v>0.3</v>
      </c>
      <c r="I35" t="n">
        <v>1.2</v>
      </c>
      <c r="J35" t="n">
        <v>5.8</v>
      </c>
      <c r="K35" t="n">
        <v>4.577</v>
      </c>
      <c r="L35" t="n">
        <v>0.3</v>
      </c>
      <c r="M35">
        <f>K35+MIN(L35,Assumptions!$H$14)</f>
        <v/>
      </c>
      <c r="N35">
        <f>M35-Assumptions!$I$14</f>
        <v/>
      </c>
      <c r="O35">
        <f>N35-Assumptions!$B$25*Q35</f>
        <v/>
      </c>
      <c r="P35" t="n">
        <v>4</v>
      </c>
      <c r="Q35" t="n">
        <v>2.036</v>
      </c>
      <c r="R35" t="inlineStr">
        <is>
          <t>2027 Hot 100 baseline = my estimate; Grammy: estimate (C)</t>
        </is>
      </c>
      <c r="S35" t="inlineStr">
        <is>
          <t>2026-10-08</t>
        </is>
      </c>
      <c r="T35" s="9" t="inlineStr">
        <is>
          <t>C</t>
        </is>
      </c>
      <c r="U35" t="inlineStr">
        <is>
          <t>[conf C: sd x1.25, p shrink 20%]</t>
        </is>
      </c>
      <c r="V35">
        <f>K35+Assumptions!$J$14*MIN(L35,Assumptions!$H$14)</f>
        <v/>
      </c>
      <c r="W35">
        <f>RANK(V35,$V$5:$V$36)</f>
        <v/>
      </c>
      <c r="Y35">
        <f>N35-IF(T35="C",Assumptions!$B$27,IF(T35="B",Assumptions!$B$26,0))</f>
        <v/>
      </c>
    </row>
    <row r="36">
      <c r="A36" t="inlineStr">
        <is>
          <t>Post Malone</t>
        </is>
      </c>
      <c r="B36" t="inlineStr">
        <is>
          <t>2026 raw 0; charting now: none charting; carry-over 0.0 + new hits 1.2 (lambda 0.15, P(~0) 86%)</t>
        </is>
      </c>
      <c r="C36" t="inlineStr">
        <is>
          <t>Grammy EV 0.3</t>
        </is>
      </c>
      <c r="D36" t="n">
        <v>0.3</v>
      </c>
      <c r="I36" t="n">
        <v>1.2</v>
      </c>
      <c r="J36" t="n">
        <v>5.9</v>
      </c>
      <c r="K36" t="n">
        <v>4.535</v>
      </c>
      <c r="L36" t="n">
        <v>0.3</v>
      </c>
      <c r="M36">
        <f>K36+MIN(L36,Assumptions!$H$14)</f>
        <v/>
      </c>
      <c r="N36">
        <f>M36-Assumptions!$I$14</f>
        <v/>
      </c>
      <c r="O36">
        <f>N36-Assumptions!$B$25*Q36</f>
        <v/>
      </c>
      <c r="P36" t="n">
        <v>4</v>
      </c>
      <c r="Q36" t="n">
        <v>2.052</v>
      </c>
      <c r="R36" t="inlineStr">
        <is>
          <t>2027 Hot 100 baseline = my estimate; Grammy: estimate (C)</t>
        </is>
      </c>
      <c r="S36" t="inlineStr">
        <is>
          <t>2026-10-08</t>
        </is>
      </c>
      <c r="T36" s="9" t="inlineStr">
        <is>
          <t>C</t>
        </is>
      </c>
      <c r="U36" t="inlineStr">
        <is>
          <t>[conf C: sd x1.25, p shrink 20%]</t>
        </is>
      </c>
      <c r="V36">
        <f>K36+Assumptions!$J$14*MIN(L36,Assumptions!$H$14)</f>
        <v/>
      </c>
      <c r="W36">
        <f>RANK(V36,$V$5:$V$36)</f>
        <v/>
      </c>
      <c r="Y36">
        <f>N36-IF(T36="C",Assumptions!$B$27,IF(T36="B",Assumptions!$B$26,0))</f>
        <v/>
      </c>
    </row>
    <row r="38">
      <c r="A38" s="8" t="inlineStr">
        <is>
          <t>Replacement-level EV (Nth best)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6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36" customWidth="1" min="2" max="2"/>
    <col width="22" customWidth="1" min="3" max="3"/>
    <col width="11" customWidth="1" min="4" max="4"/>
    <col width="11" customWidth="1" min="5" max="5"/>
    <col width="11" customWidth="1" min="6" max="6"/>
    <col width="11" customWidth="1" min="7" max="7"/>
    <col width="11" customWidth="1" min="8" max="8"/>
    <col width="9" customWidth="1" min="9" max="9"/>
    <col width="9" customWidth="1" min="10" max="10"/>
    <col width="11" customWidth="1" min="11" max="11"/>
    <col width="10" customWidth="1" min="12" max="12"/>
    <col width="10" customWidth="1" min="13" max="13"/>
    <col width="9" customWidth="1" min="14" max="14"/>
    <col width="11" customWidth="1" min="15" max="15"/>
    <col width="6" customWidth="1" min="16" max="16"/>
    <col width="9" customWidth="1" min="17" max="17"/>
    <col width="38" customWidth="1" min="18" max="18"/>
    <col width="11" customWidth="1" min="19" max="19"/>
    <col width="6" customWidth="1" min="20" max="20"/>
    <col width="60" customWidth="1" min="21" max="21"/>
    <col width="12" customWidth="1" min="22" max="22"/>
    <col width="9" customWidth="1" min="23" max="23"/>
    <col width="11" customWidth="1" min="24" max="24"/>
    <col width="11" customWidth="1" min="25" max="25"/>
  </cols>
  <sheetData>
    <row r="1">
      <c r="A1" s="18" t="inlineStr">
        <is>
          <t>Country — 2027 draft research (EV model; see README)</t>
        </is>
      </c>
    </row>
    <row r="2">
      <c r="A2" t="inlineStr">
        <is>
          <t>As of 2026-10-22. Sorted by E[total]. Yellow = inferred / low-confidence (C).</t>
        </is>
      </c>
    </row>
    <row r="4">
      <c r="A4" s="7" t="inlineStr">
        <is>
          <t>Candidate</t>
        </is>
      </c>
      <c r="B4" s="7" t="inlineStr">
        <is>
          <t>Detail</t>
        </is>
      </c>
      <c r="C4" s="7" t="inlineStr">
        <is>
          <t>Odds / price</t>
        </is>
      </c>
      <c r="D4" s="7" t="inlineStr">
        <is>
          <t>IMF 2027 fcst %</t>
        </is>
      </c>
      <c r="E4" s="7" t="inlineStr">
        <is>
          <t>p(top 3)</t>
        </is>
      </c>
      <c r="F4" s="7" t="inlineStr"/>
      <c r="G4" s="7" t="inlineStr"/>
      <c r="H4" s="7" t="inlineStr"/>
      <c r="I4" s="7" t="inlineStr">
        <is>
          <t>mu</t>
        </is>
      </c>
      <c r="J4" s="7" t="inlineStr">
        <is>
          <t>sd</t>
        </is>
      </c>
      <c r="K4" s="7" t="inlineStr">
        <is>
          <t>E[rank pts] (MC)</t>
        </is>
      </c>
      <c r="L4" s="7" t="inlineStr">
        <is>
          <t>E[bonus]</t>
        </is>
      </c>
      <c r="M4" s="7" t="inlineStr">
        <is>
          <t>E[total]</t>
        </is>
      </c>
      <c r="N4" s="7" t="inlineStr">
        <is>
          <t>VOR</t>
        </is>
      </c>
      <c r="O4" s="7" t="inlineStr">
        <is>
          <t>Risk-adj VOR</t>
        </is>
      </c>
      <c r="P4" s="7" t="inlineStr">
        <is>
          <t>Tier</t>
        </is>
      </c>
      <c r="Q4" s="7" t="inlineStr">
        <is>
          <t>SD rank pts</t>
        </is>
      </c>
      <c r="R4" s="7" t="inlineStr">
        <is>
          <t>Source</t>
        </is>
      </c>
      <c r="S4" s="7" t="inlineStr">
        <is>
          <t>As of</t>
        </is>
      </c>
      <c r="T4" s="7" t="inlineStr">
        <is>
          <t>Conf</t>
        </is>
      </c>
      <c r="U4" s="7" t="inlineStr">
        <is>
          <t>Notes</t>
        </is>
      </c>
      <c r="V4" s="7" t="inlineStr">
        <is>
          <t>Field draft score</t>
        </is>
      </c>
      <c r="W4" s="7" t="inlineStr">
        <is>
          <t>Field rank</t>
        </is>
      </c>
      <c r="X4" s="7" t="inlineStr">
        <is>
          <t>Owner</t>
        </is>
      </c>
      <c r="Y4" s="7" t="inlineStr">
        <is>
          <t>Conf-adj VOR</t>
        </is>
      </c>
    </row>
    <row r="5">
      <c r="A5" s="9" t="inlineStr">
        <is>
          <t>Iraq</t>
        </is>
      </c>
      <c r="B5" t="inlineStr">
        <is>
          <t>IMF Oct-2026: 2025 -0.414, 2026 -16.02, 2027 18.986 | war/rebound path: very wide forecast error</t>
        </is>
      </c>
      <c r="C5" t="inlineStr">
        <is>
          <t>IMF Oct-2026 2027: 19.0%</t>
        </is>
      </c>
      <c r="D5" t="n">
        <v>18.99</v>
      </c>
      <c r="E5" t="n">
        <v>0.635</v>
      </c>
      <c r="I5" t="n">
        <v>18.99</v>
      </c>
      <c r="J5" t="n">
        <v>6</v>
      </c>
      <c r="K5" t="n">
        <v>10.824</v>
      </c>
      <c r="L5" t="n">
        <v>0</v>
      </c>
      <c r="M5">
        <f>K5+MIN(L5,Assumptions!$H$15)</f>
        <v/>
      </c>
      <c r="N5">
        <f>M5-Assumptions!$I$15</f>
        <v/>
      </c>
      <c r="O5">
        <f>N5-Assumptions!$B$25*Q5</f>
        <v/>
      </c>
      <c r="P5" t="n">
        <v>1</v>
      </c>
      <c r="Q5" t="n">
        <v>2.306</v>
      </c>
      <c r="R5" t="inlineStr">
        <is>
          <t>IMF World Economic Outlook, October 2026 (published 2026-10-13), api.imf.org SDMX dataflow IMF.RES/WEO NGDP_RPCH, pulled via Actions runner</t>
        </is>
      </c>
      <c r="S5" t="inlineStr">
        <is>
          <t>2026-10-13</t>
        </is>
      </c>
      <c r="T5" t="inlineStr">
        <is>
          <t>A</t>
        </is>
      </c>
      <c r="U5" t="inlineStr">
        <is>
          <t>sd = my forecast-vs-realised error class (stable 1.0, commodity 2-5, war/rebound 4-10)</t>
        </is>
      </c>
      <c r="Y5">
        <f>N5-IF(T5="C",Assumptions!$B$27,IF(T5="B",Assumptions!$B$26,0))</f>
        <v/>
      </c>
    </row>
    <row r="6">
      <c r="A6" s="9" t="inlineStr">
        <is>
          <t>Qatar</t>
        </is>
      </c>
      <c r="B6" t="inlineStr">
        <is>
          <t>IMF Oct-2026: 2025 1.808, 2026 -15.583, 2027 18.755 | war/rebound path: very wide forecast error</t>
        </is>
      </c>
      <c r="C6" t="inlineStr">
        <is>
          <t>IMF Oct-2026 2027: 18.8%</t>
        </is>
      </c>
      <c r="D6" t="n">
        <v>18.75</v>
      </c>
      <c r="E6" t="n">
        <v>0.614</v>
      </c>
      <c r="I6" t="n">
        <v>18.75</v>
      </c>
      <c r="J6" t="n">
        <v>6</v>
      </c>
      <c r="K6" t="n">
        <v>10.759</v>
      </c>
      <c r="L6" t="n">
        <v>0</v>
      </c>
      <c r="M6">
        <f>K6+MIN(L6,Assumptions!$H$15)</f>
        <v/>
      </c>
      <c r="N6">
        <f>M6-Assumptions!$I$15</f>
        <v/>
      </c>
      <c r="O6">
        <f>N6-Assumptions!$B$25*Q6</f>
        <v/>
      </c>
      <c r="P6" t="n">
        <v>1</v>
      </c>
      <c r="Q6" t="n">
        <v>2.382</v>
      </c>
      <c r="R6" t="inlineStr">
        <is>
          <t>IMF World Economic Outlook, October 2026 (published 2026-10-13), api.imf.org SDMX dataflow IMF.RES/WEO NGDP_RPCH, pulled via Actions runner</t>
        </is>
      </c>
      <c r="S6" t="inlineStr">
        <is>
          <t>2026-10-13</t>
        </is>
      </c>
      <c r="T6" t="inlineStr">
        <is>
          <t>A</t>
        </is>
      </c>
      <c r="U6" t="inlineStr">
        <is>
          <t>sd = my forecast-vs-realised error class (stable 1.0, commodity 2-5, war/rebound 4-10)</t>
        </is>
      </c>
      <c r="Y6">
        <f>N6-IF(T6="C",Assumptions!$B$27,IF(T6="B",Assumptions!$B$26,0))</f>
        <v/>
      </c>
    </row>
    <row r="7">
      <c r="A7" s="9" t="inlineStr">
        <is>
          <t>Guyana</t>
        </is>
      </c>
      <c r="B7" t="inlineStr">
        <is>
          <t>IMF Oct-2026: 2025 19.31, 2026 22.325, 2027 16.789 | commodity-driven: wide forecast error</t>
        </is>
      </c>
      <c r="C7" t="inlineStr">
        <is>
          <t>IMF Oct-2026 2027: 16.8%</t>
        </is>
      </c>
      <c r="D7" t="n">
        <v>16.79</v>
      </c>
      <c r="E7" t="n">
        <v>0.473</v>
      </c>
      <c r="I7" t="n">
        <v>16.79</v>
      </c>
      <c r="J7" t="n">
        <v>5</v>
      </c>
      <c r="K7" t="n">
        <v>10.125</v>
      </c>
      <c r="L7" t="n">
        <v>0</v>
      </c>
      <c r="M7">
        <f>K7+MIN(L7,Assumptions!$H$15)</f>
        <v/>
      </c>
      <c r="N7">
        <f>M7-Assumptions!$I$15</f>
        <v/>
      </c>
      <c r="O7">
        <f>N7-Assumptions!$B$25*Q7</f>
        <v/>
      </c>
      <c r="P7" t="n">
        <v>1</v>
      </c>
      <c r="Q7" t="n">
        <v>2.316</v>
      </c>
      <c r="R7" t="inlineStr">
        <is>
          <t>IMF World Economic Outlook, October 2026 (published 2026-10-13), api.imf.org SDMX dataflow IMF.RES/WEO NGDP_RPCH, pulled via Actions runner</t>
        </is>
      </c>
      <c r="S7" t="inlineStr">
        <is>
          <t>2026-10-13</t>
        </is>
      </c>
      <c r="T7" t="inlineStr">
        <is>
          <t>A</t>
        </is>
      </c>
      <c r="U7" t="inlineStr">
        <is>
          <t>sd = my forecast-vs-realised error class (stable 1.0, commodity 2-5, war/rebound 4-10)</t>
        </is>
      </c>
      <c r="X7" s="16" t="inlineStr">
        <is>
          <t>Korch</t>
        </is>
      </c>
      <c r="Y7">
        <f>N7-IF(T7="C",Assumptions!$B$27,IF(T7="B",Assumptions!$B$26,0))</f>
        <v/>
      </c>
    </row>
    <row r="8">
      <c r="A8" s="17" t="inlineStr">
        <is>
          <t>Kuwait</t>
        </is>
      </c>
      <c r="B8" t="inlineStr">
        <is>
          <t>IMF Oct-2026: 2025 2.732, 2026 -16.74, 2027 17.125 | war/rebound path: very wide forecast error</t>
        </is>
      </c>
      <c r="C8" t="inlineStr">
        <is>
          <t>IMF Oct-2026 2027: 17.1%</t>
        </is>
      </c>
      <c r="D8" t="n">
        <v>17.12</v>
      </c>
      <c r="E8" t="n">
        <v>0.507</v>
      </c>
      <c r="I8" t="n">
        <v>17.12</v>
      </c>
      <c r="J8" t="n">
        <v>6</v>
      </c>
      <c r="K8" t="n">
        <v>10.065</v>
      </c>
      <c r="L8" t="n">
        <v>0</v>
      </c>
      <c r="M8">
        <f>K8+MIN(L8,Assumptions!$H$15)</f>
        <v/>
      </c>
      <c r="N8">
        <f>M8-Assumptions!$I$15</f>
        <v/>
      </c>
      <c r="O8">
        <f>N8-Assumptions!$B$25*Q8</f>
        <v/>
      </c>
      <c r="P8" t="n">
        <v>2</v>
      </c>
      <c r="Q8" t="n">
        <v>2.704</v>
      </c>
      <c r="R8" t="inlineStr">
        <is>
          <t>IMF World Economic Outlook, October 2026 (published 2026-10-13), api.imf.org SDMX dataflow IMF.RES/WEO NGDP_RPCH, pulled via Actions runner</t>
        </is>
      </c>
      <c r="S8" t="inlineStr">
        <is>
          <t>2026-10-13</t>
        </is>
      </c>
      <c r="T8" t="inlineStr">
        <is>
          <t>A</t>
        </is>
      </c>
      <c r="U8" t="inlineStr">
        <is>
          <t>sd = my forecast-vs-realised error class (stable 1.0, commodity 2-5, war/rebound 4-10)</t>
        </is>
      </c>
      <c r="Y8">
        <f>N8-IF(T8="C",Assumptions!$B$27,IF(T8="B",Assumptions!$B$26,0))</f>
        <v/>
      </c>
    </row>
    <row r="9">
      <c r="A9" s="17" t="inlineStr">
        <is>
          <t>Sudan</t>
        </is>
      </c>
      <c r="B9" t="inlineStr">
        <is>
          <t>IMF Oct-2026: 2025 n/a, 2026 7.0, 2027 15.0 | war/rebound path: very wide forecast error</t>
        </is>
      </c>
      <c r="C9" t="inlineStr">
        <is>
          <t>IMF Oct-2026 2027: 15.0%</t>
        </is>
      </c>
      <c r="D9" t="n">
        <v>15</v>
      </c>
      <c r="E9" t="n">
        <v>0.386</v>
      </c>
      <c r="I9" t="n">
        <v>15</v>
      </c>
      <c r="J9" t="n">
        <v>8</v>
      </c>
      <c r="K9" t="n">
        <v>8.757</v>
      </c>
      <c r="L9" t="n">
        <v>0</v>
      </c>
      <c r="M9">
        <f>K9+MIN(L9,Assumptions!$H$15)</f>
        <v/>
      </c>
      <c r="N9">
        <f>M9-Assumptions!$I$15</f>
        <v/>
      </c>
      <c r="O9">
        <f>N9-Assumptions!$B$25*Q9</f>
        <v/>
      </c>
      <c r="P9" t="n">
        <v>2</v>
      </c>
      <c r="Q9" t="n">
        <v>3.843</v>
      </c>
      <c r="R9" t="inlineStr">
        <is>
          <t>IMF World Economic Outlook, October 2026 (published 2026-10-13), api.imf.org SDMX dataflow IMF.RES/WEO NGDP_RPCH, pulled via Actions runner</t>
        </is>
      </c>
      <c r="S9" t="inlineStr">
        <is>
          <t>2026-10-13</t>
        </is>
      </c>
      <c r="T9" t="inlineStr">
        <is>
          <t>A</t>
        </is>
      </c>
      <c r="U9" t="inlineStr">
        <is>
          <t>sd = my forecast-vs-realised error class (stable 1.0, commodity 2-5, war/rebound 4-10)</t>
        </is>
      </c>
      <c r="Y9">
        <f>N9-IF(T9="C",Assumptions!$B$27,IF(T9="B",Assumptions!$B$26,0))</f>
        <v/>
      </c>
    </row>
    <row r="10">
      <c r="A10" s="17" t="inlineStr">
        <is>
          <t>Bahrain</t>
        </is>
      </c>
      <c r="B10" t="inlineStr">
        <is>
          <t>IMF Oct-2026: 2025 3.481, 2026 -11.262, 2027 13.941 | war/rebound path: very wide forecast error</t>
        </is>
      </c>
      <c r="C10" t="inlineStr">
        <is>
          <t>IMF Oct-2026 2027: 13.9%</t>
        </is>
      </c>
      <c r="D10" t="n">
        <v>13.94</v>
      </c>
      <c r="E10" t="n">
        <v>0.262</v>
      </c>
      <c r="I10" t="n">
        <v>13.94</v>
      </c>
      <c r="J10" t="n">
        <v>5</v>
      </c>
      <c r="K10" t="n">
        <v>8.686</v>
      </c>
      <c r="L10" t="n">
        <v>0</v>
      </c>
      <c r="M10">
        <f>K10+MIN(L10,Assumptions!$H$15)</f>
        <v/>
      </c>
      <c r="N10">
        <f>M10-Assumptions!$I$15</f>
        <v/>
      </c>
      <c r="O10">
        <f>N10-Assumptions!$B$25*Q10</f>
        <v/>
      </c>
      <c r="P10" t="n">
        <v>2</v>
      </c>
      <c r="Q10" t="n">
        <v>2.944</v>
      </c>
      <c r="R10" t="inlineStr">
        <is>
          <t>IMF World Economic Outlook, October 2026 (published 2026-10-13), api.imf.org SDMX dataflow IMF.RES/WEO NGDP_RPCH, pulled via Actions runner</t>
        </is>
      </c>
      <c r="S10" t="inlineStr">
        <is>
          <t>2026-10-13</t>
        </is>
      </c>
      <c r="T10" t="inlineStr">
        <is>
          <t>A</t>
        </is>
      </c>
      <c r="U10" t="inlineStr">
        <is>
          <t>sd = my forecast-vs-realised error class (stable 1.0, commodity 2-5, war/rebound 4-10)</t>
        </is>
      </c>
      <c r="Y10">
        <f>N10-IF(T10="C",Assumptions!$B$27,IF(T10="B",Assumptions!$B$26,0))</f>
        <v/>
      </c>
    </row>
    <row r="11">
      <c r="A11" s="17" t="inlineStr">
        <is>
          <t>Uganda</t>
        </is>
      </c>
      <c r="B11" t="inlineStr">
        <is>
          <t>IMF Oct-2026: 2025 6.695, 2026 6.164, 2027 9.86</t>
        </is>
      </c>
      <c r="C11" t="inlineStr">
        <is>
          <t>IMF Oct-2026 2027: 9.9%</t>
        </is>
      </c>
      <c r="D11" t="n">
        <v>9.859999999999999</v>
      </c>
      <c r="E11" t="n">
        <v>0.003</v>
      </c>
      <c r="I11" t="n">
        <v>9.859999999999999</v>
      </c>
      <c r="J11" t="n">
        <v>1.5</v>
      </c>
      <c r="K11" t="n">
        <v>6.788</v>
      </c>
      <c r="L11" t="n">
        <v>0</v>
      </c>
      <c r="M11">
        <f>K11+MIN(L11,Assumptions!$H$15)</f>
        <v/>
      </c>
      <c r="N11">
        <f>M11-Assumptions!$I$15</f>
        <v/>
      </c>
      <c r="O11">
        <f>N11-Assumptions!$B$25*Q11</f>
        <v/>
      </c>
      <c r="P11" t="n">
        <v>2</v>
      </c>
      <c r="Q11" t="n">
        <v>1.744</v>
      </c>
      <c r="R11" t="inlineStr">
        <is>
          <t>IMF World Economic Outlook, October 2026 (published 2026-10-13), api.imf.org SDMX dataflow IMF.RES/WEO NGDP_RPCH, pulled via Actions runner</t>
        </is>
      </c>
      <c r="S11" t="inlineStr">
        <is>
          <t>2026-10-13</t>
        </is>
      </c>
      <c r="T11" t="inlineStr">
        <is>
          <t>A</t>
        </is>
      </c>
      <c r="U11" t="inlineStr">
        <is>
          <t>sd = my forecast-vs-realised error class (stable 1.0, commodity 2-5, war/rebound 4-10)</t>
        </is>
      </c>
      <c r="Y11">
        <f>N11-IF(T11="C",Assumptions!$B$27,IF(T11="B",Assumptions!$B$26,0))</f>
        <v/>
      </c>
    </row>
    <row r="12">
      <c r="A12" s="19" t="inlineStr">
        <is>
          <t>Saudi Arabia</t>
        </is>
      </c>
      <c r="B12" t="inlineStr">
        <is>
          <t>IMF Oct-2026: 2025 4.595, 2026 -3.309, 2027 7.932 | commodity-driven: wide forecast error</t>
        </is>
      </c>
      <c r="C12" t="inlineStr">
        <is>
          <t>IMF Oct-2026 2027: 7.9%</t>
        </is>
      </c>
      <c r="D12" t="n">
        <v>7.93</v>
      </c>
      <c r="E12" t="n">
        <v>0.002</v>
      </c>
      <c r="I12" t="n">
        <v>7.93</v>
      </c>
      <c r="J12" t="n">
        <v>2.5</v>
      </c>
      <c r="K12" t="n">
        <v>4.585</v>
      </c>
      <c r="L12" t="n">
        <v>0</v>
      </c>
      <c r="M12">
        <f>K12+MIN(L12,Assumptions!$H$15)</f>
        <v/>
      </c>
      <c r="N12">
        <f>M12-Assumptions!$I$15</f>
        <v/>
      </c>
      <c r="O12">
        <f>N12-Assumptions!$B$25*Q12</f>
        <v/>
      </c>
      <c r="P12" t="n">
        <v>3</v>
      </c>
      <c r="Q12" t="n">
        <v>2.579</v>
      </c>
      <c r="R12" t="inlineStr">
        <is>
          <t>IMF World Economic Outlook, October 2026 (published 2026-10-13), api.imf.org SDMX dataflow IMF.RES/WEO NGDP_RPCH, pulled via Actions runner</t>
        </is>
      </c>
      <c r="S12" t="inlineStr">
        <is>
          <t>2026-10-13</t>
        </is>
      </c>
      <c r="T12" t="inlineStr">
        <is>
          <t>A</t>
        </is>
      </c>
      <c r="U12" t="inlineStr">
        <is>
          <t>sd = my forecast-vs-realised error class (stable 1.0, commodity 2-5, war/rebound 4-10)</t>
        </is>
      </c>
      <c r="Y12">
        <f>N12-IF(T12="C",Assumptions!$B$27,IF(T12="B",Assumptions!$B$26,0))</f>
        <v/>
      </c>
    </row>
    <row r="13">
      <c r="A13" s="19" t="inlineStr">
        <is>
          <t>Guinea</t>
        </is>
      </c>
      <c r="B13" t="inlineStr">
        <is>
          <t>IMF Oct-2026: 2025 6.865, 2026 7.185, 2027 7.755 | commodity-driven: wide forecast error</t>
        </is>
      </c>
      <c r="C13" t="inlineStr">
        <is>
          <t>IMF Oct-2026 2027: 7.8%</t>
        </is>
      </c>
      <c r="D13" t="n">
        <v>7.75</v>
      </c>
      <c r="E13" t="n">
        <v>0.002</v>
      </c>
      <c r="I13" t="n">
        <v>7.75</v>
      </c>
      <c r="J13" t="n">
        <v>2.5</v>
      </c>
      <c r="K13" t="n">
        <v>4.384</v>
      </c>
      <c r="L13" t="n">
        <v>0</v>
      </c>
      <c r="M13">
        <f>K13+MIN(L13,Assumptions!$H$15)</f>
        <v/>
      </c>
      <c r="N13">
        <f>M13-Assumptions!$I$15</f>
        <v/>
      </c>
      <c r="O13">
        <f>N13-Assumptions!$B$25*Q13</f>
        <v/>
      </c>
      <c r="P13" t="n">
        <v>3</v>
      </c>
      <c r="Q13" t="n">
        <v>2.538</v>
      </c>
      <c r="R13" t="inlineStr">
        <is>
          <t>IMF World Economic Outlook, October 2026 (published 2026-10-13), api.imf.org SDMX dataflow IMF.RES/WEO NGDP_RPCH, pulled via Actions runner</t>
        </is>
      </c>
      <c r="S13" t="inlineStr">
        <is>
          <t>2026-10-13</t>
        </is>
      </c>
      <c r="T13" t="inlineStr">
        <is>
          <t>A</t>
        </is>
      </c>
      <c r="U13" t="inlineStr">
        <is>
          <t>sd = my forecast-vs-realised error class (stable 1.0, commodity 2-5, war/rebound 4-10)</t>
        </is>
      </c>
      <c r="X13" s="16" t="inlineStr">
        <is>
          <t>Todd</t>
        </is>
      </c>
      <c r="Y13">
        <f>N13-IF(T13="C",Assumptions!$B$27,IF(T13="B",Assumptions!$B$26,0))</f>
        <v/>
      </c>
    </row>
    <row r="14">
      <c r="A14" s="19" t="inlineStr">
        <is>
          <t>Ethiopia</t>
        </is>
      </c>
      <c r="B14" t="inlineStr">
        <is>
          <t>IMF Oct-2026: 2025 9.151, 2026 9.204, 2027 7.767</t>
        </is>
      </c>
      <c r="C14" t="inlineStr">
        <is>
          <t>IMF Oct-2026 2027: 7.8%</t>
        </is>
      </c>
      <c r="D14" t="n">
        <v>7.77</v>
      </c>
      <c r="E14" t="n">
        <v>0</v>
      </c>
      <c r="I14" t="n">
        <v>7.77</v>
      </c>
      <c r="J14" t="n">
        <v>1.5</v>
      </c>
      <c r="K14" t="n">
        <v>4.319</v>
      </c>
      <c r="L14" t="n">
        <v>0</v>
      </c>
      <c r="M14">
        <f>K14+MIN(L14,Assumptions!$H$15)</f>
        <v/>
      </c>
      <c r="N14">
        <f>M14-Assumptions!$I$15</f>
        <v/>
      </c>
      <c r="O14">
        <f>N14-Assumptions!$B$25*Q14</f>
        <v/>
      </c>
      <c r="P14" t="n">
        <v>3</v>
      </c>
      <c r="Q14" t="n">
        <v>2.027</v>
      </c>
      <c r="R14" t="inlineStr">
        <is>
          <t>IMF World Economic Outlook, October 2026 (published 2026-10-13), api.imf.org SDMX dataflow IMF.RES/WEO NGDP_RPCH, pulled via Actions runner</t>
        </is>
      </c>
      <c r="S14" t="inlineStr">
        <is>
          <t>2026-10-13</t>
        </is>
      </c>
      <c r="T14" t="inlineStr">
        <is>
          <t>A</t>
        </is>
      </c>
      <c r="U14" t="inlineStr">
        <is>
          <t>sd = my forecast-vs-realised error class (stable 1.0, commodity 2-5, war/rebound 4-10)</t>
        </is>
      </c>
      <c r="Y14">
        <f>N14-IF(T14="C",Assumptions!$B$27,IF(T14="B",Assumptions!$B$26,0))</f>
        <v/>
      </c>
    </row>
    <row r="15">
      <c r="A15" s="19" t="inlineStr">
        <is>
          <t>United Arab Emirates</t>
        </is>
      </c>
      <c r="B15" t="inlineStr">
        <is>
          <t>IMF Oct-2026: 2025 6.234, 2026 -3.904, 2027 7.656 | commodity-driven: wide forecast error</t>
        </is>
      </c>
      <c r="C15" t="inlineStr">
        <is>
          <t>IMF Oct-2026 2027: 7.7%</t>
        </is>
      </c>
      <c r="D15" t="n">
        <v>7.66</v>
      </c>
      <c r="E15" t="n">
        <v>0.001</v>
      </c>
      <c r="I15" t="n">
        <v>7.66</v>
      </c>
      <c r="J15" t="n">
        <v>2</v>
      </c>
      <c r="K15" t="n">
        <v>4.233</v>
      </c>
      <c r="L15" t="n">
        <v>0</v>
      </c>
      <c r="M15">
        <f>K15+MIN(L15,Assumptions!$H$15)</f>
        <v/>
      </c>
      <c r="N15">
        <f>M15-Assumptions!$I$15</f>
        <v/>
      </c>
      <c r="O15">
        <f>N15-Assumptions!$B$25*Q15</f>
        <v/>
      </c>
      <c r="P15" t="n">
        <v>3</v>
      </c>
      <c r="Q15" t="n">
        <v>2.278</v>
      </c>
      <c r="R15" t="inlineStr">
        <is>
          <t>IMF World Economic Outlook, October 2026 (published 2026-10-13), api.imf.org SDMX dataflow IMF.RES/WEO NGDP_RPCH, pulled via Actions runner</t>
        </is>
      </c>
      <c r="S15" t="inlineStr">
        <is>
          <t>2026-10-13</t>
        </is>
      </c>
      <c r="T15" t="inlineStr">
        <is>
          <t>A</t>
        </is>
      </c>
      <c r="U15" t="inlineStr">
        <is>
          <t>sd = my forecast-vs-realised error class (stable 1.0, commodity 2-5, war/rebound 4-10)</t>
        </is>
      </c>
      <c r="Y15">
        <f>N15-IF(T15="C",Assumptions!$B$27,IF(T15="B",Assumptions!$B$26,0))</f>
        <v/>
      </c>
    </row>
    <row r="16">
      <c r="A16" s="19" t="inlineStr">
        <is>
          <t>Venezuela</t>
        </is>
      </c>
      <c r="B16" t="inlineStr">
        <is>
          <t>IMF Oct-2026: 2025 9.013, 2026 5.013, 2027 7.047 | war/rebound path: very wide forecast error</t>
        </is>
      </c>
      <c r="C16" t="inlineStr">
        <is>
          <t>IMF Oct-2026 2027: 7.0%</t>
        </is>
      </c>
      <c r="D16" t="n">
        <v>7.05</v>
      </c>
      <c r="E16" t="n">
        <v>0.028</v>
      </c>
      <c r="I16" t="n">
        <v>7.05</v>
      </c>
      <c r="J16" t="n">
        <v>5</v>
      </c>
      <c r="K16" t="n">
        <v>4.195</v>
      </c>
      <c r="L16" t="n">
        <v>0</v>
      </c>
      <c r="M16">
        <f>K16+MIN(L16,Assumptions!$H$15)</f>
        <v/>
      </c>
      <c r="N16">
        <f>M16-Assumptions!$I$15</f>
        <v/>
      </c>
      <c r="O16">
        <f>N16-Assumptions!$B$25*Q16</f>
        <v/>
      </c>
      <c r="P16" t="n">
        <v>3</v>
      </c>
      <c r="Q16" t="n">
        <v>3.202</v>
      </c>
      <c r="R16" t="inlineStr">
        <is>
          <t>IMF World Economic Outlook, October 2026 (published 2026-10-13), api.imf.org SDMX dataflow IMF.RES/WEO NGDP_RPCH, pulled via Actions runner</t>
        </is>
      </c>
      <c r="S16" t="inlineStr">
        <is>
          <t>2026-10-13</t>
        </is>
      </c>
      <c r="T16" t="inlineStr">
        <is>
          <t>A</t>
        </is>
      </c>
      <c r="U16" t="inlineStr">
        <is>
          <t>sd = my forecast-vs-realised error class (stable 1.0, commodity 2-5, war/rebound 4-10)</t>
        </is>
      </c>
      <c r="Y16">
        <f>N16-IF(T16="C",Assumptions!$B$27,IF(T16="B",Assumptions!$B$26,0))</f>
        <v/>
      </c>
    </row>
    <row r="17">
      <c r="A17" s="19" t="inlineStr">
        <is>
          <t>Vietnam</t>
        </is>
      </c>
      <c r="B17" t="inlineStr">
        <is>
          <t>IMF Oct-2026: 2025 8.019, 2026 8.4, 2027 7.5</t>
        </is>
      </c>
      <c r="C17" t="inlineStr">
        <is>
          <t>IMF Oct-2026 2027: 7.5%</t>
        </is>
      </c>
      <c r="D17" t="n">
        <v>7.5</v>
      </c>
      <c r="E17" t="n">
        <v>0</v>
      </c>
      <c r="I17" t="n">
        <v>7.5</v>
      </c>
      <c r="J17" t="n">
        <v>1.5</v>
      </c>
      <c r="K17" t="n">
        <v>3.969</v>
      </c>
      <c r="L17" t="n">
        <v>0</v>
      </c>
      <c r="M17">
        <f>K17+MIN(L17,Assumptions!$H$15)</f>
        <v/>
      </c>
      <c r="N17">
        <f>M17-Assumptions!$I$15</f>
        <v/>
      </c>
      <c r="O17">
        <f>N17-Assumptions!$B$25*Q17</f>
        <v/>
      </c>
      <c r="P17" t="n">
        <v>3</v>
      </c>
      <c r="Q17" t="n">
        <v>1.98</v>
      </c>
      <c r="R17" t="inlineStr">
        <is>
          <t>IMF World Economic Outlook, October 2026 (published 2026-10-13), api.imf.org SDMX dataflow IMF.RES/WEO NGDP_RPCH, pulled via Actions runner</t>
        </is>
      </c>
      <c r="S17" t="inlineStr">
        <is>
          <t>2026-10-13</t>
        </is>
      </c>
      <c r="T17" t="inlineStr">
        <is>
          <t>A</t>
        </is>
      </c>
      <c r="U17" t="inlineStr">
        <is>
          <t>sd = my forecast-vs-realised error class (stable 1.0, commodity 2-5, war/rebound 4-10)</t>
        </is>
      </c>
      <c r="Y17">
        <f>N17-IF(T17="C",Assumptions!$B$27,IF(T17="B",Assumptions!$B$26,0))</f>
        <v/>
      </c>
    </row>
    <row r="18">
      <c r="A18" t="inlineStr">
        <is>
          <t>South Sudan</t>
        </is>
      </c>
      <c r="B18" t="inlineStr">
        <is>
          <t>IMF Oct-2026: 2025 41.436, 2026 10.489, 2027 3.866 | war/rebound path: very wide forecast error</t>
        </is>
      </c>
      <c r="C18" t="inlineStr">
        <is>
          <t>IMF Oct-2026 2027: 3.9%</t>
        </is>
      </c>
      <c r="D18" t="n">
        <v>3.87</v>
      </c>
      <c r="E18" t="n">
        <v>0.08400000000000001</v>
      </c>
      <c r="I18" t="n">
        <v>3.87</v>
      </c>
      <c r="J18" t="n">
        <v>10</v>
      </c>
      <c r="K18" t="n">
        <v>3.835</v>
      </c>
      <c r="L18" t="n">
        <v>0</v>
      </c>
      <c r="M18">
        <f>K18+MIN(L18,Assumptions!$H$15)</f>
        <v/>
      </c>
      <c r="N18">
        <f>M18-Assumptions!$I$15</f>
        <v/>
      </c>
      <c r="O18">
        <f>N18-Assumptions!$B$25*Q18</f>
        <v/>
      </c>
      <c r="P18" t="n">
        <v>4</v>
      </c>
      <c r="Q18" t="n">
        <v>3.836</v>
      </c>
      <c r="R18" t="inlineStr">
        <is>
          <t>IMF World Economic Outlook, October 2026 (published 2026-10-13), api.imf.org SDMX dataflow IMF.RES/WEO NGDP_RPCH, pulled via Actions runner</t>
        </is>
      </c>
      <c r="S18" t="inlineStr">
        <is>
          <t>2026-10-13</t>
        </is>
      </c>
      <c r="T18" t="inlineStr">
        <is>
          <t>A</t>
        </is>
      </c>
      <c r="U18" t="inlineStr">
        <is>
          <t>sd = my forecast-vs-realised error class (stable 1.0, commodity 2-5, war/rebound 4-10)</t>
        </is>
      </c>
      <c r="X18" s="16" t="inlineStr">
        <is>
          <t>Mitchell</t>
        </is>
      </c>
      <c r="Y18">
        <f>N18-IF(T18="C",Assumptions!$B$27,IF(T18="B",Assumptions!$B$26,0))</f>
        <v/>
      </c>
    </row>
    <row r="19">
      <c r="A19" t="inlineStr">
        <is>
          <t>Rwanda</t>
        </is>
      </c>
      <c r="B19" t="inlineStr">
        <is>
          <t>IMF Oct-2026: 2025 9.373, 2026 7.4, 2027 7.234</t>
        </is>
      </c>
      <c r="C19" t="inlineStr">
        <is>
          <t>IMF Oct-2026 2027: 7.2%</t>
        </is>
      </c>
      <c r="D19" t="n">
        <v>7.23</v>
      </c>
      <c r="E19" t="n">
        <v>0</v>
      </c>
      <c r="I19" t="n">
        <v>7.23</v>
      </c>
      <c r="J19" t="n">
        <v>1.5</v>
      </c>
      <c r="K19" t="n">
        <v>3.648</v>
      </c>
      <c r="L19" t="n">
        <v>0</v>
      </c>
      <c r="M19">
        <f>K19+MIN(L19,Assumptions!$H$15)</f>
        <v/>
      </c>
      <c r="N19">
        <f>M19-Assumptions!$I$15</f>
        <v/>
      </c>
      <c r="O19">
        <f>N19-Assumptions!$B$25*Q19</f>
        <v/>
      </c>
      <c r="P19" t="n">
        <v>4</v>
      </c>
      <c r="Q19" t="n">
        <v>1.904</v>
      </c>
      <c r="R19" t="inlineStr">
        <is>
          <t>IMF World Economic Outlook, October 2026 (published 2026-10-13), api.imf.org SDMX dataflow IMF.RES/WEO NGDP_RPCH, pulled via Actions runner</t>
        </is>
      </c>
      <c r="S19" t="inlineStr">
        <is>
          <t>2026-10-13</t>
        </is>
      </c>
      <c r="T19" t="inlineStr">
        <is>
          <t>A</t>
        </is>
      </c>
      <c r="U19" t="inlineStr">
        <is>
          <t>sd = my forecast-vs-realised error class (stable 1.0, commodity 2-5, war/rebound 4-10)</t>
        </is>
      </c>
      <c r="Y19">
        <f>N19-IF(T19="C",Assumptions!$B$27,IF(T19="B",Assumptions!$B$26,0))</f>
        <v/>
      </c>
    </row>
    <row r="20">
      <c r="A20" t="inlineStr">
        <is>
          <t>Kyrgyzstan</t>
        </is>
      </c>
      <c r="B20" t="inlineStr">
        <is>
          <t>IMF Oct-2026: 2025 11.096, 2026 8.96, 2027 7.04</t>
        </is>
      </c>
      <c r="C20" t="inlineStr">
        <is>
          <t>IMF Oct-2026 2027: 7.0%</t>
        </is>
      </c>
      <c r="D20" t="n">
        <v>7.04</v>
      </c>
      <c r="E20" t="n">
        <v>0</v>
      </c>
      <c r="I20" t="n">
        <v>7.04</v>
      </c>
      <c r="J20" t="n">
        <v>1.5</v>
      </c>
      <c r="K20" t="n">
        <v>3.458</v>
      </c>
      <c r="L20" t="n">
        <v>0</v>
      </c>
      <c r="M20">
        <f>K20+MIN(L20,Assumptions!$H$15)</f>
        <v/>
      </c>
      <c r="N20">
        <f>M20-Assumptions!$I$15</f>
        <v/>
      </c>
      <c r="O20">
        <f>N20-Assumptions!$B$25*Q20</f>
        <v/>
      </c>
      <c r="P20" t="n">
        <v>4</v>
      </c>
      <c r="Q20" t="n">
        <v>1.889</v>
      </c>
      <c r="R20" t="inlineStr">
        <is>
          <t>IMF World Economic Outlook, October 2026 (published 2026-10-13), api.imf.org SDMX dataflow IMF.RES/WEO NGDP_RPCH, pulled via Actions runner</t>
        </is>
      </c>
      <c r="S20" t="inlineStr">
        <is>
          <t>2026-10-13</t>
        </is>
      </c>
      <c r="T20" t="inlineStr">
        <is>
          <t>A</t>
        </is>
      </c>
      <c r="U20" t="inlineStr">
        <is>
          <t>sd = my forecast-vs-realised error class (stable 1.0, commodity 2-5, war/rebound 4-10)</t>
        </is>
      </c>
      <c r="Y20">
        <f>N20-IF(T20="C",Assumptions!$B$27,IF(T20="B",Assumptions!$B$26,0))</f>
        <v/>
      </c>
    </row>
    <row r="21">
      <c r="A21" t="inlineStr">
        <is>
          <t>India</t>
        </is>
      </c>
      <c r="B21" t="inlineStr">
        <is>
          <t>IMF Oct-2026: 2025 7.819, 2026 7.012, 2027 7.015</t>
        </is>
      </c>
      <c r="C21" t="inlineStr">
        <is>
          <t>IMF Oct-2026 2027: 7.0%</t>
        </is>
      </c>
      <c r="D21" t="n">
        <v>7.01</v>
      </c>
      <c r="E21" t="n">
        <v>0</v>
      </c>
      <c r="I21" t="n">
        <v>7.01</v>
      </c>
      <c r="J21" t="n">
        <v>1.5</v>
      </c>
      <c r="K21" t="n">
        <v>3.406</v>
      </c>
      <c r="L21" t="n">
        <v>0</v>
      </c>
      <c r="M21">
        <f>K21+MIN(L21,Assumptions!$H$15)</f>
        <v/>
      </c>
      <c r="N21">
        <f>M21-Assumptions!$I$15</f>
        <v/>
      </c>
      <c r="O21">
        <f>N21-Assumptions!$B$25*Q21</f>
        <v/>
      </c>
      <c r="P21" t="n">
        <v>4</v>
      </c>
      <c r="Q21" t="n">
        <v>1.875</v>
      </c>
      <c r="R21" t="inlineStr">
        <is>
          <t>IMF World Economic Outlook, October 2026 (published 2026-10-13), api.imf.org SDMX dataflow IMF.RES/WEO NGDP_RPCH, pulled via Actions runner</t>
        </is>
      </c>
      <c r="S21" t="inlineStr">
        <is>
          <t>2026-10-13</t>
        </is>
      </c>
      <c r="T21" t="inlineStr">
        <is>
          <t>A</t>
        </is>
      </c>
      <c r="U21" t="inlineStr">
        <is>
          <t>sd = my forecast-vs-realised error class (stable 1.0, commodity 2-5, war/rebound 4-10)</t>
        </is>
      </c>
      <c r="Y21">
        <f>N21-IF(T21="C",Assumptions!$B$27,IF(T21="B",Assumptions!$B$26,0))</f>
        <v/>
      </c>
    </row>
    <row r="22">
      <c r="A22" t="inlineStr">
        <is>
          <t>Niger</t>
        </is>
      </c>
      <c r="B22" t="inlineStr">
        <is>
          <t>IMF Oct-2026: 2025 6.893, 2026 6.999, 2027 6.547 | commodity-driven: wide forecast error</t>
        </is>
      </c>
      <c r="C22" t="inlineStr">
        <is>
          <t>IMF Oct-2026 2027: 6.5%</t>
        </is>
      </c>
      <c r="D22" t="n">
        <v>6.55</v>
      </c>
      <c r="E22" t="n">
        <v>0.001</v>
      </c>
      <c r="I22" t="n">
        <v>6.55</v>
      </c>
      <c r="J22" t="n">
        <v>2.5</v>
      </c>
      <c r="K22" t="n">
        <v>3.304</v>
      </c>
      <c r="L22" t="n">
        <v>0</v>
      </c>
      <c r="M22">
        <f>K22+MIN(L22,Assumptions!$H$15)</f>
        <v/>
      </c>
      <c r="N22">
        <f>M22-Assumptions!$I$15</f>
        <v/>
      </c>
      <c r="O22">
        <f>N22-Assumptions!$B$25*Q22</f>
        <v/>
      </c>
      <c r="P22" t="n">
        <v>4</v>
      </c>
      <c r="Q22" t="n">
        <v>2.27</v>
      </c>
      <c r="R22" t="inlineStr">
        <is>
          <t>IMF World Economic Outlook, October 2026 (published 2026-10-13), api.imf.org SDMX dataflow IMF.RES/WEO NGDP_RPCH, pulled via Actions runner</t>
        </is>
      </c>
      <c r="S22" t="inlineStr">
        <is>
          <t>2026-10-13</t>
        </is>
      </c>
      <c r="T22" t="inlineStr">
        <is>
          <t>A</t>
        </is>
      </c>
      <c r="U22" t="inlineStr">
        <is>
          <t>sd = my forecast-vs-realised error class (stable 1.0, commodity 2-5, war/rebound 4-10)</t>
        </is>
      </c>
      <c r="Y22">
        <f>N22-IF(T22="C",Assumptions!$B$27,IF(T22="B",Assumptions!$B$26,0))</f>
        <v/>
      </c>
    </row>
    <row r="23">
      <c r="A23" t="inlineStr">
        <is>
          <t>Bhutan</t>
        </is>
      </c>
      <c r="B23" t="inlineStr">
        <is>
          <t>IMF Oct-2026: 2025 8.221, 2026 6.976, 2027 6.9</t>
        </is>
      </c>
      <c r="C23" t="inlineStr">
        <is>
          <t>IMF Oct-2026 2027: 6.9%</t>
        </is>
      </c>
      <c r="D23" t="n">
        <v>6.9</v>
      </c>
      <c r="E23" t="n">
        <v>0</v>
      </c>
      <c r="I23" t="n">
        <v>6.9</v>
      </c>
      <c r="J23" t="n">
        <v>1.5</v>
      </c>
      <c r="K23" t="n">
        <v>3.301</v>
      </c>
      <c r="L23" t="n">
        <v>0</v>
      </c>
      <c r="M23">
        <f>K23+MIN(L23,Assumptions!$H$15)</f>
        <v/>
      </c>
      <c r="N23">
        <f>M23-Assumptions!$I$15</f>
        <v/>
      </c>
      <c r="O23">
        <f>N23-Assumptions!$B$25*Q23</f>
        <v/>
      </c>
      <c r="P23" t="n">
        <v>4</v>
      </c>
      <c r="Q23" t="n">
        <v>1.84</v>
      </c>
      <c r="R23" t="inlineStr">
        <is>
          <t>IMF World Economic Outlook, October 2026 (published 2026-10-13), api.imf.org SDMX dataflow IMF.RES/WEO NGDP_RPCH, pulled via Actions runner</t>
        </is>
      </c>
      <c r="S23" t="inlineStr">
        <is>
          <t>2026-10-13</t>
        </is>
      </c>
      <c r="T23" t="inlineStr">
        <is>
          <t>A</t>
        </is>
      </c>
      <c r="U23" t="inlineStr">
        <is>
          <t>sd = my forecast-vs-realised error class (stable 1.0, commodity 2-5, war/rebound 4-10)</t>
        </is>
      </c>
      <c r="Y23">
        <f>N23-IF(T23="C",Assumptions!$B$27,IF(T23="B",Assumptions!$B$26,0))</f>
        <v/>
      </c>
    </row>
    <row r="24">
      <c r="A24" t="inlineStr">
        <is>
          <t>Benin</t>
        </is>
      </c>
      <c r="B24" t="inlineStr">
        <is>
          <t>IMF Oct-2026: 2025 8.074, 2026 6.997, 2027 6.801</t>
        </is>
      </c>
      <c r="C24" t="inlineStr">
        <is>
          <t>IMF Oct-2026 2027: 6.8%</t>
        </is>
      </c>
      <c r="D24" t="n">
        <v>6.8</v>
      </c>
      <c r="E24" t="n">
        <v>0</v>
      </c>
      <c r="I24" t="n">
        <v>6.8</v>
      </c>
      <c r="J24" t="n">
        <v>1.5</v>
      </c>
      <c r="K24" t="n">
        <v>3.244</v>
      </c>
      <c r="L24" t="n">
        <v>0</v>
      </c>
      <c r="M24">
        <f>K24+MIN(L24,Assumptions!$H$15)</f>
        <v/>
      </c>
      <c r="N24">
        <f>M24-Assumptions!$I$15</f>
        <v/>
      </c>
      <c r="O24">
        <f>N24-Assumptions!$B$25*Q24</f>
        <v/>
      </c>
      <c r="P24" t="n">
        <v>4</v>
      </c>
      <c r="Q24" t="n">
        <v>1.823</v>
      </c>
      <c r="R24" t="inlineStr">
        <is>
          <t>IMF World Economic Outlook, October 2026 (published 2026-10-13), api.imf.org SDMX dataflow IMF.RES/WEO NGDP_RPCH, pulled via Actions runner</t>
        </is>
      </c>
      <c r="S24" t="inlineStr">
        <is>
          <t>2026-10-13</t>
        </is>
      </c>
      <c r="T24" t="inlineStr">
        <is>
          <t>A</t>
        </is>
      </c>
      <c r="U24" t="inlineStr">
        <is>
          <t>sd = my forecast-vs-realised error class (stable 1.0, commodity 2-5, war/rebound 4-10)</t>
        </is>
      </c>
      <c r="Y24">
        <f>N24-IF(T24="C",Assumptions!$B$27,IF(T24="B",Assumptions!$B$26,0))</f>
        <v/>
      </c>
    </row>
    <row r="25">
      <c r="A25" t="inlineStr">
        <is>
          <t>Tajikistan</t>
        </is>
      </c>
      <c r="B25" t="inlineStr">
        <is>
          <t>IMF Oct-2026: 2025 8.4, 2026 7.3, 2027 6.8</t>
        </is>
      </c>
      <c r="C25" t="inlineStr">
        <is>
          <t>IMF Oct-2026 2027: 6.8%</t>
        </is>
      </c>
      <c r="D25" t="n">
        <v>6.8</v>
      </c>
      <c r="E25" t="n">
        <v>0</v>
      </c>
      <c r="I25" t="n">
        <v>6.8</v>
      </c>
      <c r="J25" t="n">
        <v>1.5</v>
      </c>
      <c r="K25" t="n">
        <v>3.218</v>
      </c>
      <c r="L25" t="n">
        <v>0</v>
      </c>
      <c r="M25">
        <f>K25+MIN(L25,Assumptions!$H$15)</f>
        <v/>
      </c>
      <c r="N25">
        <f>M25-Assumptions!$I$15</f>
        <v/>
      </c>
      <c r="O25">
        <f>N25-Assumptions!$B$25*Q25</f>
        <v/>
      </c>
      <c r="P25" t="n">
        <v>4</v>
      </c>
      <c r="Q25" t="n">
        <v>1.813</v>
      </c>
      <c r="R25" t="inlineStr">
        <is>
          <t>IMF World Economic Outlook, October 2026 (published 2026-10-13), api.imf.org SDMX dataflow IMF.RES/WEO NGDP_RPCH, pulled via Actions runner</t>
        </is>
      </c>
      <c r="S25" t="inlineStr">
        <is>
          <t>2026-10-13</t>
        </is>
      </c>
      <c r="T25" t="inlineStr">
        <is>
          <t>A</t>
        </is>
      </c>
      <c r="U25" t="inlineStr">
        <is>
          <t>sd = my forecast-vs-realised error class (stable 1.0, commodity 2-5, war/rebound 4-10)</t>
        </is>
      </c>
      <c r="Y25">
        <f>N25-IF(T25="C",Assumptions!$B$27,IF(T25="B",Assumptions!$B$26,0))</f>
        <v/>
      </c>
    </row>
    <row r="26">
      <c r="A26" t="inlineStr">
        <is>
          <t>Uzbekistan</t>
        </is>
      </c>
      <c r="B26" t="inlineStr">
        <is>
          <t>IMF Oct-2026: 2025 7.7, 2026 7.817, 2027 6.526</t>
        </is>
      </c>
      <c r="C26" t="inlineStr">
        <is>
          <t>IMF Oct-2026 2027: 6.5%</t>
        </is>
      </c>
      <c r="D26" t="n">
        <v>6.53</v>
      </c>
      <c r="E26" t="n">
        <v>0</v>
      </c>
      <c r="I26" t="n">
        <v>6.53</v>
      </c>
      <c r="J26" t="n">
        <v>1.5</v>
      </c>
      <c r="K26" t="n">
        <v>2.961</v>
      </c>
      <c r="L26" t="n">
        <v>0</v>
      </c>
      <c r="M26">
        <f>K26+MIN(L26,Assumptions!$H$15)</f>
        <v/>
      </c>
      <c r="N26">
        <f>M26-Assumptions!$I$15</f>
        <v/>
      </c>
      <c r="O26">
        <f>N26-Assumptions!$B$25*Q26</f>
        <v/>
      </c>
      <c r="P26" t="n">
        <v>4</v>
      </c>
      <c r="Q26" t="n">
        <v>1.728</v>
      </c>
      <c r="R26" t="inlineStr">
        <is>
          <t>IMF World Economic Outlook, October 2026 (published 2026-10-13), api.imf.org SDMX dataflow IMF.RES/WEO NGDP_RPCH, pulled via Actions runner</t>
        </is>
      </c>
      <c r="S26" t="inlineStr">
        <is>
          <t>2026-10-13</t>
        </is>
      </c>
      <c r="T26" t="inlineStr">
        <is>
          <t>A</t>
        </is>
      </c>
      <c r="U26" t="inlineStr">
        <is>
          <t>sd = my forecast-vs-realised error class (stable 1.0, commodity 2-5, war/rebound 4-10)</t>
        </is>
      </c>
      <c r="Y26">
        <f>N26-IF(T26="C",Assumptions!$B$27,IF(T26="B",Assumptions!$B$26,0))</f>
        <v/>
      </c>
    </row>
    <row r="27">
      <c r="A27" t="inlineStr">
        <is>
          <t>Mongolia</t>
        </is>
      </c>
      <c r="B27" t="inlineStr">
        <is>
          <t>IMF Oct-2026: 2025 6.844, 2026 6.199, 2027 5.853 | commodity-driven: wide forecast error</t>
        </is>
      </c>
      <c r="C27" t="inlineStr">
        <is>
          <t>IMF Oct-2026 2027: 5.9%</t>
        </is>
      </c>
      <c r="D27" t="n">
        <v>5.85</v>
      </c>
      <c r="E27" t="n">
        <v>0</v>
      </c>
      <c r="I27" t="n">
        <v>5.85</v>
      </c>
      <c r="J27" t="n">
        <v>2.5</v>
      </c>
      <c r="K27" t="n">
        <v>2.801</v>
      </c>
      <c r="L27" t="n">
        <v>0</v>
      </c>
      <c r="M27">
        <f>K27+MIN(L27,Assumptions!$H$15)</f>
        <v/>
      </c>
      <c r="N27">
        <f>M27-Assumptions!$I$15</f>
        <v/>
      </c>
      <c r="O27">
        <f>N27-Assumptions!$B$25*Q27</f>
        <v/>
      </c>
      <c r="P27" t="n">
        <v>4</v>
      </c>
      <c r="Q27" t="n">
        <v>2.062</v>
      </c>
      <c r="R27" t="inlineStr">
        <is>
          <t>IMF World Economic Outlook, October 2026 (published 2026-10-13), api.imf.org SDMX dataflow IMF.RES/WEO NGDP_RPCH, pulled via Actions runner</t>
        </is>
      </c>
      <c r="S27" t="inlineStr">
        <is>
          <t>2026-10-13</t>
        </is>
      </c>
      <c r="T27" t="inlineStr">
        <is>
          <t>A</t>
        </is>
      </c>
      <c r="U27" t="inlineStr">
        <is>
          <t>sd = my forecast-vs-realised error class (stable 1.0, commodity 2-5, war/rebound 4-10)</t>
        </is>
      </c>
      <c r="Y27">
        <f>N27-IF(T27="C",Assumptions!$B$27,IF(T27="B",Assumptions!$B$26,0))</f>
        <v/>
      </c>
    </row>
    <row r="28">
      <c r="A28" t="inlineStr">
        <is>
          <t>Chad</t>
        </is>
      </c>
      <c r="B28" t="inlineStr">
        <is>
          <t>IMF Oct-2026: 2025 5.125, 2026 4.468, 2027 5.434 | commodity-driven: wide forecast error</t>
        </is>
      </c>
      <c r="C28" t="inlineStr">
        <is>
          <t>IMF Oct-2026 2027: 5.4%</t>
        </is>
      </c>
      <c r="D28" t="n">
        <v>5.43</v>
      </c>
      <c r="E28" t="n">
        <v>0.001</v>
      </c>
      <c r="I28" t="n">
        <v>5.43</v>
      </c>
      <c r="J28" t="n">
        <v>3</v>
      </c>
      <c r="K28" t="n">
        <v>2.768</v>
      </c>
      <c r="L28" t="n">
        <v>0</v>
      </c>
      <c r="M28">
        <f>K28+MIN(L28,Assumptions!$H$15)</f>
        <v/>
      </c>
      <c r="N28">
        <f>M28-Assumptions!$I$15</f>
        <v/>
      </c>
      <c r="O28">
        <f>N28-Assumptions!$B$25*Q28</f>
        <v/>
      </c>
      <c r="P28" t="n">
        <v>4</v>
      </c>
      <c r="Q28" t="n">
        <v>2.157</v>
      </c>
      <c r="R28" t="inlineStr">
        <is>
          <t>IMF World Economic Outlook, October 2026 (published 2026-10-13), api.imf.org SDMX dataflow IMF.RES/WEO NGDP_RPCH, pulled via Actions runner</t>
        </is>
      </c>
      <c r="S28" t="inlineStr">
        <is>
          <t>2026-10-13</t>
        </is>
      </c>
      <c r="T28" t="inlineStr">
        <is>
          <t>A</t>
        </is>
      </c>
      <c r="U28" t="inlineStr">
        <is>
          <t>sd = my forecast-vs-realised error class (stable 1.0, commodity 2-5, war/rebound 4-10)</t>
        </is>
      </c>
      <c r="Y28">
        <f>N28-IF(T28="C",Assumptions!$B$27,IF(T28="B",Assumptions!$B$26,0))</f>
        <v/>
      </c>
    </row>
    <row r="29">
      <c r="A29" t="inlineStr">
        <is>
          <t>Côte d'Ivoire</t>
        </is>
      </c>
      <c r="B29" t="inlineStr">
        <is>
          <t>IMF Oct-2026: 2025 6.5, 2026 6.0, 2027 6.1</t>
        </is>
      </c>
      <c r="C29" t="inlineStr">
        <is>
          <t>IMF Oct-2026 2027: 6.1%</t>
        </is>
      </c>
      <c r="D29" t="n">
        <v>6.1</v>
      </c>
      <c r="E29" t="n">
        <v>0</v>
      </c>
      <c r="I29" t="n">
        <v>6.1</v>
      </c>
      <c r="J29" t="n">
        <v>1.5</v>
      </c>
      <c r="K29" t="n">
        <v>2.628</v>
      </c>
      <c r="L29" t="n">
        <v>0</v>
      </c>
      <c r="M29">
        <f>K29+MIN(L29,Assumptions!$H$15)</f>
        <v/>
      </c>
      <c r="N29">
        <f>M29-Assumptions!$I$15</f>
        <v/>
      </c>
      <c r="O29">
        <f>N29-Assumptions!$B$25*Q29</f>
        <v/>
      </c>
      <c r="P29" t="n">
        <v>4</v>
      </c>
      <c r="Q29" t="n">
        <v>1.599</v>
      </c>
      <c r="R29" t="inlineStr">
        <is>
          <t>IMF World Economic Outlook, October 2026 (published 2026-10-13), api.imf.org SDMX dataflow IMF.RES/WEO NGDP_RPCH, pulled via Actions runner</t>
        </is>
      </c>
      <c r="S29" t="inlineStr">
        <is>
          <t>2026-10-13</t>
        </is>
      </c>
      <c r="T29" t="inlineStr">
        <is>
          <t>A</t>
        </is>
      </c>
      <c r="U29" t="inlineStr">
        <is>
          <t>sd = my forecast-vs-realised error class (stable 1.0, commodity 2-5, war/rebound 4-10)</t>
        </is>
      </c>
      <c r="Y29">
        <f>N29-IF(T29="C",Assumptions!$B$27,IF(T29="B",Assumptions!$B$26,0))</f>
        <v/>
      </c>
    </row>
    <row r="30">
      <c r="A30" t="inlineStr">
        <is>
          <t>Tanzania</t>
        </is>
      </c>
      <c r="B30" t="inlineStr">
        <is>
          <t>IMF Oct-2026: 2025 5.92, 2026 6.029, 2027 5.918</t>
        </is>
      </c>
      <c r="C30" t="inlineStr">
        <is>
          <t>IMF Oct-2026 2027: 5.9%</t>
        </is>
      </c>
      <c r="D30" t="n">
        <v>5.92</v>
      </c>
      <c r="E30" t="n">
        <v>0</v>
      </c>
      <c r="I30" t="n">
        <v>5.92</v>
      </c>
      <c r="J30" t="n">
        <v>1</v>
      </c>
      <c r="K30" t="n">
        <v>2.342</v>
      </c>
      <c r="L30" t="n">
        <v>0</v>
      </c>
      <c r="M30">
        <f>K30+MIN(L30,Assumptions!$H$15)</f>
        <v/>
      </c>
      <c r="N30">
        <f>M30-Assumptions!$I$15</f>
        <v/>
      </c>
      <c r="O30">
        <f>N30-Assumptions!$B$25*Q30</f>
        <v/>
      </c>
      <c r="P30" t="n">
        <v>4</v>
      </c>
      <c r="Q30" t="n">
        <v>1.253</v>
      </c>
      <c r="R30" t="inlineStr">
        <is>
          <t>IMF World Economic Outlook, October 2026 (published 2026-10-13), api.imf.org SDMX dataflow IMF.RES/WEO NGDP_RPCH, pulled via Actions runner</t>
        </is>
      </c>
      <c r="S30" t="inlineStr">
        <is>
          <t>2026-10-13</t>
        </is>
      </c>
      <c r="T30" t="inlineStr">
        <is>
          <t>A</t>
        </is>
      </c>
      <c r="U30" t="inlineStr">
        <is>
          <t>sd = my forecast-vs-realised error class (stable 1.0, commodity 2-5, war/rebound 4-10)</t>
        </is>
      </c>
      <c r="Y30">
        <f>N30-IF(T30="C",Assumptions!$B$27,IF(T30="B",Assumptions!$B$26,0))</f>
        <v/>
      </c>
    </row>
    <row r="31">
      <c r="A31" t="inlineStr">
        <is>
          <t>Israel</t>
        </is>
      </c>
      <c r="B31" t="inlineStr">
        <is>
          <t>IMF Oct-2026: 2025 3.486, 2026 4.487, 2027 4.424 | war/rebound path: very wide forecast error</t>
        </is>
      </c>
      <c r="C31" t="inlineStr">
        <is>
          <t>IMF Oct-2026 2027: 4.4%</t>
        </is>
      </c>
      <c r="D31" t="n">
        <v>4.42</v>
      </c>
      <c r="E31" t="n">
        <v>0.001</v>
      </c>
      <c r="I31" t="n">
        <v>4.42</v>
      </c>
      <c r="J31" t="n">
        <v>3</v>
      </c>
      <c r="K31" t="n">
        <v>2.204</v>
      </c>
      <c r="L31" t="n">
        <v>0</v>
      </c>
      <c r="M31">
        <f>K31+MIN(L31,Assumptions!$H$15)</f>
        <v/>
      </c>
      <c r="N31">
        <f>M31-Assumptions!$I$15</f>
        <v/>
      </c>
      <c r="O31">
        <f>N31-Assumptions!$B$25*Q31</f>
        <v/>
      </c>
      <c r="P31" t="n">
        <v>4</v>
      </c>
      <c r="Q31" t="n">
        <v>1.854</v>
      </c>
      <c r="R31" t="inlineStr">
        <is>
          <t>IMF World Economic Outlook, October 2026 (published 2026-10-13), api.imf.org SDMX dataflow IMF.RES/WEO NGDP_RPCH, pulled via Actions runner</t>
        </is>
      </c>
      <c r="S31" t="inlineStr">
        <is>
          <t>2026-10-13</t>
        </is>
      </c>
      <c r="T31" t="inlineStr">
        <is>
          <t>A</t>
        </is>
      </c>
      <c r="U31" t="inlineStr">
        <is>
          <t>sd = my forecast-vs-realised error class (stable 1.0, commodity 2-5, war/rebound 4-10)</t>
        </is>
      </c>
      <c r="Y31">
        <f>N31-IF(T31="C",Assumptions!$B$27,IF(T31="B",Assumptions!$B$26,0))</f>
        <v/>
      </c>
    </row>
    <row r="32">
      <c r="A32" t="inlineStr">
        <is>
          <t>Georgia</t>
        </is>
      </c>
      <c r="B32" t="inlineStr">
        <is>
          <t>IMF Oct-2026: 2025 7.462, 2026 7.177, 2027 5.704</t>
        </is>
      </c>
      <c r="C32" t="inlineStr">
        <is>
          <t>IMF Oct-2026 2027: 5.7%</t>
        </is>
      </c>
      <c r="D32" t="n">
        <v>5.7</v>
      </c>
      <c r="E32" t="n">
        <v>0</v>
      </c>
      <c r="I32" t="n">
        <v>5.7</v>
      </c>
      <c r="J32" t="n">
        <v>1</v>
      </c>
      <c r="K32" t="n">
        <v>2.189</v>
      </c>
      <c r="L32" t="n">
        <v>0</v>
      </c>
      <c r="M32">
        <f>K32+MIN(L32,Assumptions!$H$15)</f>
        <v/>
      </c>
      <c r="N32">
        <f>M32-Assumptions!$I$15</f>
        <v/>
      </c>
      <c r="O32">
        <f>N32-Assumptions!$B$25*Q32</f>
        <v/>
      </c>
      <c r="P32" t="n">
        <v>4</v>
      </c>
      <c r="Q32" t="n">
        <v>1.211</v>
      </c>
      <c r="R32" t="inlineStr">
        <is>
          <t>IMF World Economic Outlook, October 2026 (published 2026-10-13), api.imf.org SDMX dataflow IMF.RES/WEO NGDP_RPCH, pulled via Actions runner</t>
        </is>
      </c>
      <c r="S32" t="inlineStr">
        <is>
          <t>2026-10-13</t>
        </is>
      </c>
      <c r="T32" t="inlineStr">
        <is>
          <t>A</t>
        </is>
      </c>
      <c r="U32" t="inlineStr">
        <is>
          <t>sd = my forecast-vs-realised error class (stable 1.0, commodity 2-5, war/rebound 4-10)</t>
        </is>
      </c>
      <c r="Y32">
        <f>N32-IF(T32="C",Assumptions!$B$27,IF(T32="B",Assumptions!$B$26,0))</f>
        <v/>
      </c>
    </row>
    <row r="33">
      <c r="A33" t="inlineStr">
        <is>
          <t>Congo, The Democratic Republic of the</t>
        </is>
      </c>
      <c r="B33" t="inlineStr">
        <is>
          <t>IMF Oct-2026: 2025 5.724, 2026 5.175, 2027 5.69</t>
        </is>
      </c>
      <c r="C33" t="inlineStr">
        <is>
          <t>IMF Oct-2026 2027: 5.7%</t>
        </is>
      </c>
      <c r="D33" t="n">
        <v>5.69</v>
      </c>
      <c r="E33" t="n">
        <v>0</v>
      </c>
      <c r="I33" t="n">
        <v>5.69</v>
      </c>
      <c r="J33" t="n">
        <v>1</v>
      </c>
      <c r="K33" t="n">
        <v>2.165</v>
      </c>
      <c r="L33" t="n">
        <v>0</v>
      </c>
      <c r="M33">
        <f>K33+MIN(L33,Assumptions!$H$15)</f>
        <v/>
      </c>
      <c r="N33">
        <f>M33-Assumptions!$I$15</f>
        <v/>
      </c>
      <c r="O33">
        <f>N33-Assumptions!$B$25*Q33</f>
        <v/>
      </c>
      <c r="P33" t="n">
        <v>4</v>
      </c>
      <c r="Q33" t="n">
        <v>1.191</v>
      </c>
      <c r="R33" t="inlineStr">
        <is>
          <t>IMF World Economic Outlook, October 2026 (published 2026-10-13), api.imf.org SDMX dataflow IMF.RES/WEO NGDP_RPCH, pulled via Actions runner</t>
        </is>
      </c>
      <c r="S33" t="inlineStr">
        <is>
          <t>2026-10-13</t>
        </is>
      </c>
      <c r="T33" t="inlineStr">
        <is>
          <t>A</t>
        </is>
      </c>
      <c r="U33" t="inlineStr">
        <is>
          <t>sd = my forecast-vs-realised error class (stable 1.0, commodity 2-5, war/rebound 4-10)</t>
        </is>
      </c>
      <c r="Y33">
        <f>N33-IF(T33="C",Assumptions!$B$27,IF(T33="B",Assumptions!$B$26,0))</f>
        <v/>
      </c>
    </row>
    <row r="34">
      <c r="A34" t="inlineStr">
        <is>
          <t>Mali</t>
        </is>
      </c>
      <c r="B34" t="inlineStr">
        <is>
          <t>IMF Oct-2026: 2025 4.9, 2026 5.5, 2027 5.7</t>
        </is>
      </c>
      <c r="C34" t="inlineStr">
        <is>
          <t>IMF Oct-2026 2027: 5.7%</t>
        </is>
      </c>
      <c r="D34" t="n">
        <v>5.7</v>
      </c>
      <c r="E34" t="n">
        <v>0</v>
      </c>
      <c r="I34" t="n">
        <v>5.7</v>
      </c>
      <c r="J34" t="n">
        <v>1</v>
      </c>
      <c r="K34" t="n">
        <v>2.145</v>
      </c>
      <c r="L34" t="n">
        <v>0</v>
      </c>
      <c r="M34">
        <f>K34+MIN(L34,Assumptions!$H$15)</f>
        <v/>
      </c>
      <c r="N34">
        <f>M34-Assumptions!$I$15</f>
        <v/>
      </c>
      <c r="O34">
        <f>N34-Assumptions!$B$25*Q34</f>
        <v/>
      </c>
      <c r="P34" t="n">
        <v>4</v>
      </c>
      <c r="Q34" t="n">
        <v>1.178</v>
      </c>
      <c r="R34" t="inlineStr">
        <is>
          <t>IMF World Economic Outlook, October 2026 (published 2026-10-13), api.imf.org SDMX dataflow IMF.RES/WEO NGDP_RPCH, pulled via Actions runner</t>
        </is>
      </c>
      <c r="S34" t="inlineStr">
        <is>
          <t>2026-10-13</t>
        </is>
      </c>
      <c r="T34" t="inlineStr">
        <is>
          <t>A</t>
        </is>
      </c>
      <c r="U34" t="inlineStr">
        <is>
          <t>sd = my forecast-vs-realised error class (stable 1.0, commodity 2-5, war/rebound 4-10)</t>
        </is>
      </c>
      <c r="Y34">
        <f>N34-IF(T34="C",Assumptions!$B$27,IF(T34="B",Assumptions!$B$26,0))</f>
        <v/>
      </c>
    </row>
    <row r="35">
      <c r="A35" t="inlineStr">
        <is>
          <t>Kazakhstan</t>
        </is>
      </c>
      <c r="B35" t="inlineStr">
        <is>
          <t>IMF Oct-2026: 2025 6.5, 2026 4.415, 2027 4.882 | commodity-driven: wide forecast error</t>
        </is>
      </c>
      <c r="C35" t="inlineStr">
        <is>
          <t>IMF Oct-2026 2027: 4.9%</t>
        </is>
      </c>
      <c r="D35" t="n">
        <v>4.88</v>
      </c>
      <c r="E35" t="n">
        <v>0</v>
      </c>
      <c r="I35" t="n">
        <v>4.88</v>
      </c>
      <c r="J35" t="n">
        <v>2</v>
      </c>
      <c r="K35" t="n">
        <v>2.055</v>
      </c>
      <c r="L35" t="n">
        <v>0</v>
      </c>
      <c r="M35">
        <f>K35+MIN(L35,Assumptions!$H$15)</f>
        <v/>
      </c>
      <c r="N35">
        <f>M35-Assumptions!$I$15</f>
        <v/>
      </c>
      <c r="O35">
        <f>N35-Assumptions!$B$25*Q35</f>
        <v/>
      </c>
      <c r="P35" t="n">
        <v>4</v>
      </c>
      <c r="Q35" t="n">
        <v>1.464</v>
      </c>
      <c r="R35" t="inlineStr">
        <is>
          <t>IMF World Economic Outlook, October 2026 (published 2026-10-13), api.imf.org SDMX dataflow IMF.RES/WEO NGDP_RPCH, pulled via Actions runner</t>
        </is>
      </c>
      <c r="S35" t="inlineStr">
        <is>
          <t>2026-10-13</t>
        </is>
      </c>
      <c r="T35" t="inlineStr">
        <is>
          <t>A</t>
        </is>
      </c>
      <c r="U35" t="inlineStr">
        <is>
          <t>sd = my forecast-vs-realised error class (stable 1.0, commodity 2-5, war/rebound 4-10)</t>
        </is>
      </c>
      <c r="Y35">
        <f>N35-IF(T35="C",Assumptions!$B$27,IF(T35="B",Assumptions!$B$26,0))</f>
        <v/>
      </c>
    </row>
    <row r="36">
      <c r="A36" t="inlineStr">
        <is>
          <t>Armenia</t>
        </is>
      </c>
      <c r="B36" t="inlineStr">
        <is>
          <t>IMF Oct-2026: 2025 7.065, 2026 5.5, 2027 5.45</t>
        </is>
      </c>
      <c r="C36" t="inlineStr">
        <is>
          <t>IMF Oct-2026 2027: 5.5%</t>
        </is>
      </c>
      <c r="D36" t="n">
        <v>5.45</v>
      </c>
      <c r="E36" t="n">
        <v>0</v>
      </c>
      <c r="I36" t="n">
        <v>5.45</v>
      </c>
      <c r="J36" t="n">
        <v>1</v>
      </c>
      <c r="K36" t="n">
        <v>1.998</v>
      </c>
      <c r="L36" t="n">
        <v>0</v>
      </c>
      <c r="M36">
        <f>K36+MIN(L36,Assumptions!$H$15)</f>
        <v/>
      </c>
      <c r="N36">
        <f>M36-Assumptions!$I$15</f>
        <v/>
      </c>
      <c r="O36">
        <f>N36-Assumptions!$B$25*Q36</f>
        <v/>
      </c>
      <c r="P36" t="n">
        <v>4</v>
      </c>
      <c r="Q36" t="n">
        <v>1.089</v>
      </c>
      <c r="R36" t="inlineStr">
        <is>
          <t>IMF World Economic Outlook, October 2026 (published 2026-10-13), api.imf.org SDMX dataflow IMF.RES/WEO NGDP_RPCH, pulled via Actions runner</t>
        </is>
      </c>
      <c r="S36" t="inlineStr">
        <is>
          <t>2026-10-13</t>
        </is>
      </c>
      <c r="T36" t="inlineStr">
        <is>
          <t>A</t>
        </is>
      </c>
      <c r="U36" t="inlineStr">
        <is>
          <t>sd = my forecast-vs-realised error class (stable 1.0, commodity 2-5, war/rebound 4-10)</t>
        </is>
      </c>
      <c r="Y36">
        <f>N36-IF(T36="C",Assumptions!$B$27,IF(T36="B",Assumptions!$B$26,0))</f>
        <v/>
      </c>
    </row>
    <row r="37">
      <c r="A37" t="inlineStr">
        <is>
          <t>Togo</t>
        </is>
      </c>
      <c r="B37" t="inlineStr">
        <is>
          <t>IMF Oct-2026: 2025 6.3, 2026 5.0, 2027 5.3</t>
        </is>
      </c>
      <c r="C37" t="inlineStr">
        <is>
          <t>IMF Oct-2026 2027: 5.3%</t>
        </is>
      </c>
      <c r="D37" t="n">
        <v>5.3</v>
      </c>
      <c r="E37" t="n">
        <v>0</v>
      </c>
      <c r="I37" t="n">
        <v>5.3</v>
      </c>
      <c r="J37" t="n">
        <v>1</v>
      </c>
      <c r="K37" t="n">
        <v>1.902</v>
      </c>
      <c r="L37" t="n">
        <v>0</v>
      </c>
      <c r="M37">
        <f>K37+MIN(L37,Assumptions!$H$15)</f>
        <v/>
      </c>
      <c r="N37">
        <f>M37-Assumptions!$I$15</f>
        <v/>
      </c>
      <c r="O37">
        <f>N37-Assumptions!$B$25*Q37</f>
        <v/>
      </c>
      <c r="P37" t="n">
        <v>4</v>
      </c>
      <c r="Q37" t="n">
        <v>1.036</v>
      </c>
      <c r="R37" t="inlineStr">
        <is>
          <t>IMF World Economic Outlook, October 2026 (published 2026-10-13), api.imf.org SDMX dataflow IMF.RES/WEO NGDP_RPCH, pulled via Actions runner</t>
        </is>
      </c>
      <c r="S37" t="inlineStr">
        <is>
          <t>2026-10-13</t>
        </is>
      </c>
      <c r="T37" t="inlineStr">
        <is>
          <t>A</t>
        </is>
      </c>
      <c r="U37" t="inlineStr">
        <is>
          <t>sd = my forecast-vs-realised error class (stable 1.0, commodity 2-5, war/rebound 4-10)</t>
        </is>
      </c>
      <c r="Y37">
        <f>N37-IF(T37="C",Assumptions!$B$27,IF(T37="B",Assumptions!$B$26,0))</f>
        <v/>
      </c>
    </row>
    <row r="38">
      <c r="A38" t="inlineStr">
        <is>
          <t>Ghana</t>
        </is>
      </c>
      <c r="B38" t="inlineStr">
        <is>
          <t>IMF Oct-2026: 2025 5.954, 2026 5.73, 2027 5.229</t>
        </is>
      </c>
      <c r="C38" t="inlineStr">
        <is>
          <t>IMF Oct-2026 2027: 5.2%</t>
        </is>
      </c>
      <c r="D38" t="n">
        <v>5.23</v>
      </c>
      <c r="E38" t="n">
        <v>0</v>
      </c>
      <c r="I38" t="n">
        <v>5.23</v>
      </c>
      <c r="J38" t="n">
        <v>1</v>
      </c>
      <c r="K38" t="n">
        <v>1.883</v>
      </c>
      <c r="L38" t="n">
        <v>0</v>
      </c>
      <c r="M38">
        <f>K38+MIN(L38,Assumptions!$H$15)</f>
        <v/>
      </c>
      <c r="N38">
        <f>M38-Assumptions!$I$15</f>
        <v/>
      </c>
      <c r="O38">
        <f>N38-Assumptions!$B$25*Q38</f>
        <v/>
      </c>
      <c r="P38" t="n">
        <v>4</v>
      </c>
      <c r="Q38" t="n">
        <v>1.035</v>
      </c>
      <c r="R38" t="inlineStr">
        <is>
          <t>IMF World Economic Outlook, October 2026 (published 2026-10-13), api.imf.org SDMX dataflow IMF.RES/WEO NGDP_RPCH, pulled via Actions runner</t>
        </is>
      </c>
      <c r="S38" t="inlineStr">
        <is>
          <t>2026-10-13</t>
        </is>
      </c>
      <c r="T38" t="inlineStr">
        <is>
          <t>A</t>
        </is>
      </c>
      <c r="U38" t="inlineStr">
        <is>
          <t>sd = my forecast-vs-realised error class (stable 1.0, commodity 2-5, war/rebound 4-10)</t>
        </is>
      </c>
      <c r="Y38">
        <f>N38-IF(T38="C",Assumptions!$B$27,IF(T38="B",Assumptions!$B$26,0))</f>
        <v/>
      </c>
    </row>
    <row r="39">
      <c r="A39" t="inlineStr">
        <is>
          <t>Gambia</t>
        </is>
      </c>
      <c r="B39" t="inlineStr">
        <is>
          <t>IMF Oct-2026: 2025 5.732, 2026 5.102, 2027 5.137</t>
        </is>
      </c>
      <c r="C39" t="inlineStr">
        <is>
          <t>IMF Oct-2026 2027: 5.1%</t>
        </is>
      </c>
      <c r="D39" t="n">
        <v>5.14</v>
      </c>
      <c r="E39" t="n">
        <v>0</v>
      </c>
      <c r="I39" t="n">
        <v>5.14</v>
      </c>
      <c r="J39" t="n">
        <v>1</v>
      </c>
      <c r="K39" t="n">
        <v>1.846</v>
      </c>
      <c r="L39" t="n">
        <v>0</v>
      </c>
      <c r="M39">
        <f>K39+MIN(L39,Assumptions!$H$15)</f>
        <v/>
      </c>
      <c r="N39">
        <f>M39-Assumptions!$I$15</f>
        <v/>
      </c>
      <c r="O39">
        <f>N39-Assumptions!$B$25*Q39</f>
        <v/>
      </c>
      <c r="P39" t="n">
        <v>4</v>
      </c>
      <c r="Q39" t="n">
        <v>1.017</v>
      </c>
      <c r="R39" t="inlineStr">
        <is>
          <t>IMF World Economic Outlook, October 2026 (published 2026-10-13), api.imf.org SDMX dataflow IMF.RES/WEO NGDP_RPCH, pulled via Actions runner</t>
        </is>
      </c>
      <c r="S39" t="inlineStr">
        <is>
          <t>2026-10-13</t>
        </is>
      </c>
      <c r="T39" t="inlineStr">
        <is>
          <t>A</t>
        </is>
      </c>
      <c r="U39" t="inlineStr">
        <is>
          <t>sd = my forecast-vs-realised error class (stable 1.0, commodity 2-5, war/rebound 4-10)</t>
        </is>
      </c>
      <c r="Y39">
        <f>N39-IF(T39="C",Assumptions!$B$27,IF(T39="B",Assumptions!$B$26,0))</f>
        <v/>
      </c>
    </row>
    <row r="40">
      <c r="A40" t="inlineStr">
        <is>
          <t>Indonesia</t>
        </is>
      </c>
      <c r="B40" t="inlineStr">
        <is>
          <t>IMF Oct-2026: 2025 5.108, 2026 5.142, 2027 5.104</t>
        </is>
      </c>
      <c r="C40" t="inlineStr">
        <is>
          <t>IMF Oct-2026 2027: 5.1%</t>
        </is>
      </c>
      <c r="D40" t="n">
        <v>5.1</v>
      </c>
      <c r="E40" t="n">
        <v>0</v>
      </c>
      <c r="I40" t="n">
        <v>5.1</v>
      </c>
      <c r="J40" t="n">
        <v>1</v>
      </c>
      <c r="K40" t="n">
        <v>1.812</v>
      </c>
      <c r="L40" t="n">
        <v>0</v>
      </c>
      <c r="M40">
        <f>K40+MIN(L40,Assumptions!$H$15)</f>
        <v/>
      </c>
      <c r="N40">
        <f>M40-Assumptions!$I$15</f>
        <v/>
      </c>
      <c r="O40">
        <f>N40-Assumptions!$B$25*Q40</f>
        <v/>
      </c>
      <c r="P40" t="n">
        <v>4</v>
      </c>
      <c r="Q40" t="n">
        <v>0.995</v>
      </c>
      <c r="R40" t="inlineStr">
        <is>
          <t>IMF World Economic Outlook, October 2026 (published 2026-10-13), api.imf.org SDMX dataflow IMF.RES/WEO NGDP_RPCH, pulled via Actions runner</t>
        </is>
      </c>
      <c r="S40" t="inlineStr">
        <is>
          <t>2026-10-13</t>
        </is>
      </c>
      <c r="T40" t="inlineStr">
        <is>
          <t>A</t>
        </is>
      </c>
      <c r="U40" t="inlineStr">
        <is>
          <t>sd = my forecast-vs-realised error class (stable 1.0, commodity 2-5, war/rebound 4-10)</t>
        </is>
      </c>
      <c r="Y40">
        <f>N40-IF(T40="C",Assumptions!$B$27,IF(T40="B",Assumptions!$B$26,0))</f>
        <v/>
      </c>
    </row>
    <row r="41">
      <c r="A41" t="inlineStr">
        <is>
          <t>Philippines</t>
        </is>
      </c>
      <c r="B41" t="inlineStr">
        <is>
          <t>IMF Oct-2026: 2025 4.402, 2026 3.411, 2027 5.054</t>
        </is>
      </c>
      <c r="C41" t="inlineStr">
        <is>
          <t>IMF Oct-2026 2027: 5.1%</t>
        </is>
      </c>
      <c r="D41" t="n">
        <v>5.05</v>
      </c>
      <c r="E41" t="n">
        <v>0</v>
      </c>
      <c r="I41" t="n">
        <v>5.05</v>
      </c>
      <c r="J41" t="n">
        <v>1</v>
      </c>
      <c r="K41" t="n">
        <v>1.805</v>
      </c>
      <c r="L41" t="n">
        <v>0</v>
      </c>
      <c r="M41">
        <f>K41+MIN(L41,Assumptions!$H$15)</f>
        <v/>
      </c>
      <c r="N41">
        <f>M41-Assumptions!$I$15</f>
        <v/>
      </c>
      <c r="O41">
        <f>N41-Assumptions!$B$25*Q41</f>
        <v/>
      </c>
      <c r="P41" t="n">
        <v>4</v>
      </c>
      <c r="Q41" t="n">
        <v>0.992</v>
      </c>
      <c r="R41" t="inlineStr">
        <is>
          <t>IMF World Economic Outlook, October 2026 (published 2026-10-13), api.imf.org SDMX dataflow IMF.RES/WEO NGDP_RPCH, pulled via Actions runner</t>
        </is>
      </c>
      <c r="S41" t="inlineStr">
        <is>
          <t>2026-10-13</t>
        </is>
      </c>
      <c r="T41" t="inlineStr">
        <is>
          <t>A</t>
        </is>
      </c>
      <c r="U41" t="inlineStr">
        <is>
          <t>sd = my forecast-vs-realised error class (stable 1.0, commodity 2-5, war/rebound 4-10)</t>
        </is>
      </c>
      <c r="Y41">
        <f>N41-IF(T41="C",Assumptions!$B$27,IF(T41="B",Assumptions!$B$26,0))</f>
        <v/>
      </c>
    </row>
    <row r="42">
      <c r="A42" t="inlineStr">
        <is>
          <t>Liberia</t>
        </is>
      </c>
      <c r="B42" t="inlineStr">
        <is>
          <t>IMF Oct-2026: 2025 5.14, 2026 5.549, 2027 5.065</t>
        </is>
      </c>
      <c r="C42" t="inlineStr">
        <is>
          <t>IMF Oct-2026 2027: 5.1%</t>
        </is>
      </c>
      <c r="D42" t="n">
        <v>5.07</v>
      </c>
      <c r="E42" t="n">
        <v>0</v>
      </c>
      <c r="I42" t="n">
        <v>5.07</v>
      </c>
      <c r="J42" t="n">
        <v>1</v>
      </c>
      <c r="K42" t="n">
        <v>1.786</v>
      </c>
      <c r="L42" t="n">
        <v>0</v>
      </c>
      <c r="M42">
        <f>K42+MIN(L42,Assumptions!$H$15)</f>
        <v/>
      </c>
      <c r="N42">
        <f>M42-Assumptions!$I$15</f>
        <v/>
      </c>
      <c r="O42">
        <f>N42-Assumptions!$B$25*Q42</f>
        <v/>
      </c>
      <c r="P42" t="n">
        <v>4</v>
      </c>
      <c r="Q42" t="n">
        <v>0.983</v>
      </c>
      <c r="R42" t="inlineStr">
        <is>
          <t>IMF World Economic Outlook, October 2026 (published 2026-10-13), api.imf.org SDMX dataflow IMF.RES/WEO NGDP_RPCH, pulled via Actions runner</t>
        </is>
      </c>
      <c r="S42" t="inlineStr">
        <is>
          <t>2026-10-13</t>
        </is>
      </c>
      <c r="T42" t="inlineStr">
        <is>
          <t>A</t>
        </is>
      </c>
      <c r="U42" t="inlineStr">
        <is>
          <t>sd = my forecast-vs-realised error class (stable 1.0, commodity 2-5, war/rebound 4-10)</t>
        </is>
      </c>
      <c r="Y42">
        <f>N42-IF(T42="C",Assumptions!$B$27,IF(T42="B",Assumptions!$B$26,0))</f>
        <v/>
      </c>
    </row>
    <row r="43">
      <c r="A43" t="inlineStr">
        <is>
          <t>Cabo Verde</t>
        </is>
      </c>
      <c r="B43" t="inlineStr">
        <is>
          <t>IMF Oct-2026: 2025 6.297, 2026 4.996, 2027 5.033</t>
        </is>
      </c>
      <c r="C43" t="inlineStr">
        <is>
          <t>IMF Oct-2026 2027: 5.0%</t>
        </is>
      </c>
      <c r="D43" t="n">
        <v>5.03</v>
      </c>
      <c r="E43" t="n">
        <v>0</v>
      </c>
      <c r="I43" t="n">
        <v>5.03</v>
      </c>
      <c r="J43" t="n">
        <v>1</v>
      </c>
      <c r="K43" t="n">
        <v>1.786</v>
      </c>
      <c r="L43" t="n">
        <v>0</v>
      </c>
      <c r="M43">
        <f>K43+MIN(L43,Assumptions!$H$15)</f>
        <v/>
      </c>
      <c r="N43">
        <f>M43-Assumptions!$I$15</f>
        <v/>
      </c>
      <c r="O43">
        <f>N43-Assumptions!$B$25*Q43</f>
        <v/>
      </c>
      <c r="P43" t="n">
        <v>4</v>
      </c>
      <c r="Q43" t="n">
        <v>0.984</v>
      </c>
      <c r="R43" t="inlineStr">
        <is>
          <t>IMF World Economic Outlook, October 2026 (published 2026-10-13), api.imf.org SDMX dataflow IMF.RES/WEO NGDP_RPCH, pulled via Actions runner</t>
        </is>
      </c>
      <c r="S43" t="inlineStr">
        <is>
          <t>2026-10-13</t>
        </is>
      </c>
      <c r="T43" t="inlineStr">
        <is>
          <t>A</t>
        </is>
      </c>
      <c r="U43" t="inlineStr">
        <is>
          <t>sd = my forecast-vs-realised error class (stable 1.0, commodity 2-5, war/rebound 4-10)</t>
        </is>
      </c>
      <c r="Y43">
        <f>N43-IF(T43="C",Assumptions!$B$27,IF(T43="B",Assumptions!$B$26,0))</f>
        <v/>
      </c>
    </row>
    <row r="44">
      <c r="A44" t="inlineStr">
        <is>
          <t>Djibouti</t>
        </is>
      </c>
      <c r="B44" t="inlineStr">
        <is>
          <t>IMF Oct-2026: 2025 4.851, 2026 5.6, 2027 5.0</t>
        </is>
      </c>
      <c r="C44" t="inlineStr">
        <is>
          <t>IMF Oct-2026 2027: 5.0%</t>
        </is>
      </c>
      <c r="D44" t="n">
        <v>5</v>
      </c>
      <c r="E44" t="n">
        <v>0</v>
      </c>
      <c r="I44" t="n">
        <v>5</v>
      </c>
      <c r="J44" t="n">
        <v>1</v>
      </c>
      <c r="K44" t="n">
        <v>1.763</v>
      </c>
      <c r="L44" t="n">
        <v>0</v>
      </c>
      <c r="M44">
        <f>K44+MIN(L44,Assumptions!$H$15)</f>
        <v/>
      </c>
      <c r="N44">
        <f>M44-Assumptions!$I$15</f>
        <v/>
      </c>
      <c r="O44">
        <f>N44-Assumptions!$B$25*Q44</f>
        <v/>
      </c>
      <c r="P44" t="n">
        <v>4</v>
      </c>
      <c r="Q44" t="n">
        <v>0.957</v>
      </c>
      <c r="R44" t="inlineStr">
        <is>
          <t>IMF World Economic Outlook, October 2026 (published 2026-10-13), api.imf.org SDMX dataflow IMF.RES/WEO NGDP_RPCH, pulled via Actions runner</t>
        </is>
      </c>
      <c r="S44" t="inlineStr">
        <is>
          <t>2026-10-13</t>
        </is>
      </c>
      <c r="T44" t="inlineStr">
        <is>
          <t>A</t>
        </is>
      </c>
      <c r="U44" t="inlineStr">
        <is>
          <t>sd = my forecast-vs-realised error class (stable 1.0, commodity 2-5, war/rebound 4-10)</t>
        </is>
      </c>
      <c r="Y44">
        <f>N44-IF(T44="C",Assumptions!$B$27,IF(T44="B",Assumptions!$B$26,0))</f>
        <v/>
      </c>
    </row>
    <row r="45">
      <c r="A45" t="inlineStr">
        <is>
          <t>Zambia</t>
        </is>
      </c>
      <c r="B45" t="inlineStr">
        <is>
          <t>IMF Oct-2026: 2025 3.758, 2026 5.596, 2027 4.931</t>
        </is>
      </c>
      <c r="C45" t="inlineStr">
        <is>
          <t>IMF Oct-2026 2027: 4.9%</t>
        </is>
      </c>
      <c r="D45" t="n">
        <v>4.93</v>
      </c>
      <c r="E45" t="n">
        <v>0</v>
      </c>
      <c r="I45" t="n">
        <v>4.93</v>
      </c>
      <c r="J45" t="n">
        <v>1</v>
      </c>
      <c r="K45" t="n">
        <v>1.736</v>
      </c>
      <c r="L45" t="n">
        <v>0</v>
      </c>
      <c r="M45">
        <f>K45+MIN(L45,Assumptions!$H$15)</f>
        <v/>
      </c>
      <c r="N45">
        <f>M45-Assumptions!$I$15</f>
        <v/>
      </c>
      <c r="O45">
        <f>N45-Assumptions!$B$25*Q45</f>
        <v/>
      </c>
      <c r="P45" t="n">
        <v>4</v>
      </c>
      <c r="Q45" t="n">
        <v>0.922</v>
      </c>
      <c r="R45" t="inlineStr">
        <is>
          <t>IMF World Economic Outlook, October 2026 (published 2026-10-13), api.imf.org SDMX dataflow IMF.RES/WEO NGDP_RPCH, pulled via Actions runner</t>
        </is>
      </c>
      <c r="S45" t="inlineStr">
        <is>
          <t>2026-10-13</t>
        </is>
      </c>
      <c r="T45" t="inlineStr">
        <is>
          <t>A</t>
        </is>
      </c>
      <c r="U45" t="inlineStr">
        <is>
          <t>sd = my forecast-vs-realised error class (stable 1.0, commodity 2-5, war/rebound 4-10)</t>
        </is>
      </c>
      <c r="Y45">
        <f>N45-IF(T45="C",Assumptions!$B$27,IF(T45="B",Assumptions!$B$26,0))</f>
        <v/>
      </c>
    </row>
    <row r="46">
      <c r="A46" t="inlineStr">
        <is>
          <t>Guinea-Bissau</t>
        </is>
      </c>
      <c r="B46" t="inlineStr">
        <is>
          <t>IMF Oct-2026: 2025 5.8, 2026 4.7, 2027 4.9</t>
        </is>
      </c>
      <c r="C46" t="inlineStr">
        <is>
          <t>IMF Oct-2026 2027: 4.9%</t>
        </is>
      </c>
      <c r="D46" t="n">
        <v>4.9</v>
      </c>
      <c r="E46" t="n">
        <v>0</v>
      </c>
      <c r="I46" t="n">
        <v>4.9</v>
      </c>
      <c r="J46" t="n">
        <v>1</v>
      </c>
      <c r="K46" t="n">
        <v>1.724</v>
      </c>
      <c r="L46" t="n">
        <v>0</v>
      </c>
      <c r="M46">
        <f>K46+MIN(L46,Assumptions!$H$15)</f>
        <v/>
      </c>
      <c r="N46">
        <f>M46-Assumptions!$I$15</f>
        <v/>
      </c>
      <c r="O46">
        <f>N46-Assumptions!$B$25*Q46</f>
        <v/>
      </c>
      <c r="P46" t="n">
        <v>4</v>
      </c>
      <c r="Q46" t="n">
        <v>0.912</v>
      </c>
      <c r="R46" t="inlineStr">
        <is>
          <t>IMF World Economic Outlook, October 2026 (published 2026-10-13), api.imf.org SDMX dataflow IMF.RES/WEO NGDP_RPCH, pulled via Actions runner</t>
        </is>
      </c>
      <c r="S46" t="inlineStr">
        <is>
          <t>2026-10-13</t>
        </is>
      </c>
      <c r="T46" t="inlineStr">
        <is>
          <t>A</t>
        </is>
      </c>
      <c r="U46" t="inlineStr">
        <is>
          <t>sd = my forecast-vs-realised error class (stable 1.0, commodity 2-5, war/rebound 4-10)</t>
        </is>
      </c>
      <c r="Y46">
        <f>N46-IF(T46="C",Assumptions!$B$27,IF(T46="B",Assumptions!$B$26,0))</f>
        <v/>
      </c>
    </row>
    <row r="47">
      <c r="A47" t="inlineStr">
        <is>
          <t>Burkina Faso</t>
        </is>
      </c>
      <c r="B47" t="inlineStr">
        <is>
          <t>IMF Oct-2026: 2025 5.329, 2026 4.443, 2027 4.803</t>
        </is>
      </c>
      <c r="C47" t="inlineStr">
        <is>
          <t>IMF Oct-2026 2027: 4.8%</t>
        </is>
      </c>
      <c r="D47" t="n">
        <v>4.8</v>
      </c>
      <c r="E47" t="n">
        <v>0</v>
      </c>
      <c r="I47" t="n">
        <v>4.8</v>
      </c>
      <c r="J47" t="n">
        <v>1</v>
      </c>
      <c r="K47" t="n">
        <v>1.687</v>
      </c>
      <c r="L47" t="n">
        <v>0</v>
      </c>
      <c r="M47">
        <f>K47+MIN(L47,Assumptions!$H$15)</f>
        <v/>
      </c>
      <c r="N47">
        <f>M47-Assumptions!$I$15</f>
        <v/>
      </c>
      <c r="O47">
        <f>N47-Assumptions!$B$25*Q47</f>
        <v/>
      </c>
      <c r="P47" t="n">
        <v>4</v>
      </c>
      <c r="Q47" t="n">
        <v>0.898</v>
      </c>
      <c r="R47" t="inlineStr">
        <is>
          <t>IMF World Economic Outlook, October 2026 (published 2026-10-13), api.imf.org SDMX dataflow IMF.RES/WEO NGDP_RPCH, pulled via Actions runner</t>
        </is>
      </c>
      <c r="S47" t="inlineStr">
        <is>
          <t>2026-10-13</t>
        </is>
      </c>
      <c r="T47" t="inlineStr">
        <is>
          <t>A</t>
        </is>
      </c>
      <c r="U47" t="inlineStr">
        <is>
          <t>sd = my forecast-vs-realised error class (stable 1.0, commodity 2-5, war/rebound 4-10)</t>
        </is>
      </c>
      <c r="Y47">
        <f>N47-IF(T47="C",Assumptions!$B$27,IF(T47="B",Assumptions!$B$26,0))</f>
        <v/>
      </c>
    </row>
    <row r="48">
      <c r="A48" t="inlineStr">
        <is>
          <t>Burundi</t>
        </is>
      </c>
      <c r="B48" t="inlineStr">
        <is>
          <t>IMF Oct-2026: 2025 4.232, 2026 3.648, 2027 4.687</t>
        </is>
      </c>
      <c r="C48" t="inlineStr">
        <is>
          <t>IMF Oct-2026 2027: 4.7%</t>
        </is>
      </c>
      <c r="D48" t="n">
        <v>4.69</v>
      </c>
      <c r="E48" t="n">
        <v>0</v>
      </c>
      <c r="I48" t="n">
        <v>4.69</v>
      </c>
      <c r="J48" t="n">
        <v>1</v>
      </c>
      <c r="K48" t="n">
        <v>1.631</v>
      </c>
      <c r="L48" t="n">
        <v>0</v>
      </c>
      <c r="M48">
        <f>K48+MIN(L48,Assumptions!$H$15)</f>
        <v/>
      </c>
      <c r="N48">
        <f>M48-Assumptions!$I$15</f>
        <v/>
      </c>
      <c r="O48">
        <f>N48-Assumptions!$B$25*Q48</f>
        <v/>
      </c>
      <c r="P48" t="n">
        <v>4</v>
      </c>
      <c r="Q48" t="n">
        <v>0.861</v>
      </c>
      <c r="R48" t="inlineStr">
        <is>
          <t>IMF World Economic Outlook, October 2026 (published 2026-10-13), api.imf.org SDMX dataflow IMF.RES/WEO NGDP_RPCH, pulled via Actions runner</t>
        </is>
      </c>
      <c r="S48" t="inlineStr">
        <is>
          <t>2026-10-13</t>
        </is>
      </c>
      <c r="T48" t="inlineStr">
        <is>
          <t>A</t>
        </is>
      </c>
      <c r="U48" t="inlineStr">
        <is>
          <t>sd = my forecast-vs-realised error class (stable 1.0, commodity 2-5, war/rebound 4-10)</t>
        </is>
      </c>
      <c r="Y48">
        <f>N48-IF(T48="C",Assumptions!$B$27,IF(T48="B",Assumptions!$B$26,0))</f>
        <v/>
      </c>
    </row>
    <row r="49">
      <c r="A49" t="inlineStr">
        <is>
          <t>Egypt</t>
        </is>
      </c>
      <c r="B49" t="inlineStr">
        <is>
          <t>IMF Oct-2026: 2025 4.392, 2026 5.133, 2027 4.729</t>
        </is>
      </c>
      <c r="C49" t="inlineStr">
        <is>
          <t>IMF Oct-2026 2027: 4.7%</t>
        </is>
      </c>
      <c r="D49" t="n">
        <v>4.73</v>
      </c>
      <c r="E49" t="n">
        <v>0</v>
      </c>
      <c r="I49" t="n">
        <v>4.73</v>
      </c>
      <c r="J49" t="n">
        <v>1</v>
      </c>
      <c r="K49" t="n">
        <v>1.619</v>
      </c>
      <c r="L49" t="n">
        <v>0</v>
      </c>
      <c r="M49">
        <f>K49+MIN(L49,Assumptions!$H$15)</f>
        <v/>
      </c>
      <c r="N49">
        <f>M49-Assumptions!$I$15</f>
        <v/>
      </c>
      <c r="O49">
        <f>N49-Assumptions!$B$25*Q49</f>
        <v/>
      </c>
      <c r="P49" t="n">
        <v>4</v>
      </c>
      <c r="Q49" t="n">
        <v>0.84</v>
      </c>
      <c r="R49" t="inlineStr">
        <is>
          <t>IMF World Economic Outlook, October 2026 (published 2026-10-13), api.imf.org SDMX dataflow IMF.RES/WEO NGDP_RPCH, pulled via Actions runner</t>
        </is>
      </c>
      <c r="S49" t="inlineStr">
        <is>
          <t>2026-10-13</t>
        </is>
      </c>
      <c r="T49" t="inlineStr">
        <is>
          <t>A</t>
        </is>
      </c>
      <c r="U49" t="inlineStr">
        <is>
          <t>sd = my forecast-vs-realised error class (stable 1.0, commodity 2-5, war/rebound 4-10)</t>
        </is>
      </c>
      <c r="Y49">
        <f>N49-IF(T49="C",Assumptions!$B$27,IF(T49="B",Assumptions!$B$26,0))</f>
        <v/>
      </c>
    </row>
    <row r="50">
      <c r="A50" t="inlineStr">
        <is>
          <t>Kenya</t>
        </is>
      </c>
      <c r="B50" t="inlineStr">
        <is>
          <t>IMF Oct-2026: 2025 4.633, 2026 4.544, 2027 4.655</t>
        </is>
      </c>
      <c r="C50" t="inlineStr">
        <is>
          <t>IMF Oct-2026 2027: 4.7%</t>
        </is>
      </c>
      <c r="D50" t="n">
        <v>4.66</v>
      </c>
      <c r="E50" t="n">
        <v>0</v>
      </c>
      <c r="I50" t="n">
        <v>4.66</v>
      </c>
      <c r="J50" t="n">
        <v>1</v>
      </c>
      <c r="K50" t="n">
        <v>1.603</v>
      </c>
      <c r="L50" t="n">
        <v>0</v>
      </c>
      <c r="M50">
        <f>K50+MIN(L50,Assumptions!$H$15)</f>
        <v/>
      </c>
      <c r="N50">
        <f>M50-Assumptions!$I$15</f>
        <v/>
      </c>
      <c r="O50">
        <f>N50-Assumptions!$B$25*Q50</f>
        <v/>
      </c>
      <c r="P50" t="n">
        <v>4</v>
      </c>
      <c r="Q50" t="n">
        <v>0.836</v>
      </c>
      <c r="R50" t="inlineStr">
        <is>
          <t>IMF World Economic Outlook, October 2026 (published 2026-10-13), api.imf.org SDMX dataflow IMF.RES/WEO NGDP_RPCH, pulled via Actions runner</t>
        </is>
      </c>
      <c r="S50" t="inlineStr">
        <is>
          <t>2026-10-13</t>
        </is>
      </c>
      <c r="T50" t="inlineStr">
        <is>
          <t>A</t>
        </is>
      </c>
      <c r="U50" t="inlineStr">
        <is>
          <t>sd = my forecast-vs-realised error class (stable 1.0, commodity 2-5, war/rebound 4-10)</t>
        </is>
      </c>
      <c r="Y50">
        <f>N50-IF(T50="C",Assumptions!$B$27,IF(T50="B",Assumptions!$B$26,0))</f>
        <v/>
      </c>
    </row>
    <row r="51">
      <c r="A51" t="inlineStr">
        <is>
          <t>Malaysia</t>
        </is>
      </c>
      <c r="B51" t="inlineStr">
        <is>
          <t>IMF Oct-2026: 2025 5.151, 2026 5.2, 2027 4.6</t>
        </is>
      </c>
      <c r="C51" t="inlineStr">
        <is>
          <t>IMF Oct-2026 2027: 4.6%</t>
        </is>
      </c>
      <c r="D51" t="n">
        <v>4.6</v>
      </c>
      <c r="E51" t="n">
        <v>0</v>
      </c>
      <c r="I51" t="n">
        <v>4.6</v>
      </c>
      <c r="J51" t="n">
        <v>1</v>
      </c>
      <c r="K51" t="n">
        <v>1.593</v>
      </c>
      <c r="L51" t="n">
        <v>0</v>
      </c>
      <c r="M51">
        <f>K51+MIN(L51,Assumptions!$H$15)</f>
        <v/>
      </c>
      <c r="N51">
        <f>M51-Assumptions!$I$15</f>
        <v/>
      </c>
      <c r="O51">
        <f>N51-Assumptions!$B$25*Q51</f>
        <v/>
      </c>
      <c r="P51" t="n">
        <v>4</v>
      </c>
      <c r="Q51" t="n">
        <v>0.8169999999999999</v>
      </c>
      <c r="R51" t="inlineStr">
        <is>
          <t>IMF World Economic Outlook, October 2026 (published 2026-10-13), api.imf.org SDMX dataflow IMF.RES/WEO NGDP_RPCH, pulled via Actions runner</t>
        </is>
      </c>
      <c r="S51" t="inlineStr">
        <is>
          <t>2026-10-13</t>
        </is>
      </c>
      <c r="T51" t="inlineStr">
        <is>
          <t>A</t>
        </is>
      </c>
      <c r="U51" t="inlineStr">
        <is>
          <t>sd = my forecast-vs-realised error class (stable 1.0, commodity 2-5, war/rebound 4-10)</t>
        </is>
      </c>
      <c r="Y51">
        <f>N51-IF(T51="C",Assumptions!$B$27,IF(T51="B",Assumptions!$B$26,0))</f>
        <v/>
      </c>
    </row>
    <row r="52">
      <c r="A52" t="inlineStr">
        <is>
          <t>Madagascar</t>
        </is>
      </c>
      <c r="B52" t="inlineStr">
        <is>
          <t>IMF Oct-2026: 2025 3.115, 2026 3.806, 2027 4.514</t>
        </is>
      </c>
      <c r="C52" t="inlineStr">
        <is>
          <t>IMF Oct-2026 2027: 4.5%</t>
        </is>
      </c>
      <c r="D52" t="n">
        <v>4.51</v>
      </c>
      <c r="E52" t="n">
        <v>0</v>
      </c>
      <c r="I52" t="n">
        <v>4.51</v>
      </c>
      <c r="J52" t="n">
        <v>1</v>
      </c>
      <c r="K52" t="n">
        <v>1.555</v>
      </c>
      <c r="L52" t="n">
        <v>0</v>
      </c>
      <c r="M52">
        <f>K52+MIN(L52,Assumptions!$H$15)</f>
        <v/>
      </c>
      <c r="N52">
        <f>M52-Assumptions!$I$15</f>
        <v/>
      </c>
      <c r="O52">
        <f>N52-Assumptions!$B$25*Q52</f>
        <v/>
      </c>
      <c r="P52" t="n">
        <v>4</v>
      </c>
      <c r="Q52" t="n">
        <v>0.8100000000000001</v>
      </c>
      <c r="R52" t="inlineStr">
        <is>
          <t>IMF World Economic Outlook, October 2026 (published 2026-10-13), api.imf.org SDMX dataflow IMF.RES/WEO NGDP_RPCH, pulled via Actions runner</t>
        </is>
      </c>
      <c r="S52" t="inlineStr">
        <is>
          <t>2026-10-13</t>
        </is>
      </c>
      <c r="T52" t="inlineStr">
        <is>
          <t>A</t>
        </is>
      </c>
      <c r="U52" t="inlineStr">
        <is>
          <t>sd = my forecast-vs-realised error class (stable 1.0, commodity 2-5, war/rebound 4-10)</t>
        </is>
      </c>
      <c r="Y52">
        <f>N52-IF(T52="C",Assumptions!$B$27,IF(T52="B",Assumptions!$B$26,0))</f>
        <v/>
      </c>
    </row>
    <row r="53">
      <c r="A53" t="inlineStr">
        <is>
          <t>Mauritania</t>
        </is>
      </c>
      <c r="B53" t="inlineStr">
        <is>
          <t>IMF Oct-2026: 2025 3.578, 2026 4.377, 2027 4.433</t>
        </is>
      </c>
      <c r="C53" t="inlineStr">
        <is>
          <t>IMF Oct-2026 2027: 4.4%</t>
        </is>
      </c>
      <c r="D53" t="n">
        <v>4.43</v>
      </c>
      <c r="E53" t="n">
        <v>0</v>
      </c>
      <c r="I53" t="n">
        <v>4.43</v>
      </c>
      <c r="J53" t="n">
        <v>1</v>
      </c>
      <c r="K53" t="n">
        <v>1.548</v>
      </c>
      <c r="L53" t="n">
        <v>0</v>
      </c>
      <c r="M53">
        <f>K53+MIN(L53,Assumptions!$H$15)</f>
        <v/>
      </c>
      <c r="N53">
        <f>M53-Assumptions!$I$15</f>
        <v/>
      </c>
      <c r="O53">
        <f>N53-Assumptions!$B$25*Q53</f>
        <v/>
      </c>
      <c r="P53" t="n">
        <v>4</v>
      </c>
      <c r="Q53" t="n">
        <v>0.795</v>
      </c>
      <c r="R53" t="inlineStr">
        <is>
          <t>IMF World Economic Outlook, October 2026 (published 2026-10-13), api.imf.org SDMX dataflow IMF.RES/WEO NGDP_RPCH, pulled via Actions runner</t>
        </is>
      </c>
      <c r="S53" t="inlineStr">
        <is>
          <t>2026-10-13</t>
        </is>
      </c>
      <c r="T53" t="inlineStr">
        <is>
          <t>A</t>
        </is>
      </c>
      <c r="U53" t="inlineStr">
        <is>
          <t>sd = my forecast-vs-realised error class (stable 1.0, commodity 2-5, war/rebound 4-10)</t>
        </is>
      </c>
      <c r="Y53">
        <f>N53-IF(T53="C",Assumptions!$B$27,IF(T53="B",Assumptions!$B$26,0))</f>
        <v/>
      </c>
    </row>
    <row r="54">
      <c r="A54" t="inlineStr">
        <is>
          <t>Laos</t>
        </is>
      </c>
      <c r="B54" t="inlineStr">
        <is>
          <t>IMF Oct-2026: 2025 4.836, 2026 4.533, 2027 4.521</t>
        </is>
      </c>
      <c r="C54" t="inlineStr">
        <is>
          <t>IMF Oct-2026 2027: 4.5%</t>
        </is>
      </c>
      <c r="D54" t="n">
        <v>4.52</v>
      </c>
      <c r="E54" t="n">
        <v>0</v>
      </c>
      <c r="I54" t="n">
        <v>4.52</v>
      </c>
      <c r="J54" t="n">
        <v>1</v>
      </c>
      <c r="K54" t="n">
        <v>1.541</v>
      </c>
      <c r="L54" t="n">
        <v>0</v>
      </c>
      <c r="M54">
        <f>K54+MIN(L54,Assumptions!$H$15)</f>
        <v/>
      </c>
      <c r="N54">
        <f>M54-Assumptions!$I$15</f>
        <v/>
      </c>
      <c r="O54">
        <f>N54-Assumptions!$B$25*Q54</f>
        <v/>
      </c>
      <c r="P54" t="n">
        <v>4</v>
      </c>
      <c r="Q54" t="n">
        <v>0.784</v>
      </c>
      <c r="R54" t="inlineStr">
        <is>
          <t>IMF World Economic Outlook, October 2026 (published 2026-10-13), api.imf.org SDMX dataflow IMF.RES/WEO NGDP_RPCH, pulled via Actions runner</t>
        </is>
      </c>
      <c r="S54" t="inlineStr">
        <is>
          <t>2026-10-13</t>
        </is>
      </c>
      <c r="T54" t="inlineStr">
        <is>
          <t>A</t>
        </is>
      </c>
      <c r="U54" t="inlineStr">
        <is>
          <t>sd = my forecast-vs-realised error class (stable 1.0, commodity 2-5, war/rebound 4-10)</t>
        </is>
      </c>
      <c r="Y54">
        <f>N54-IF(T54="C",Assumptions!$B$27,IF(T54="B",Assumptions!$B$26,0))</f>
        <v/>
      </c>
    </row>
    <row r="55">
      <c r="A55" t="inlineStr">
        <is>
          <t>Sierra Leone</t>
        </is>
      </c>
      <c r="B55" t="inlineStr">
        <is>
          <t>IMF Oct-2026: 2025 4.754, 2026 4.007, 2027 4.443</t>
        </is>
      </c>
      <c r="C55" t="inlineStr">
        <is>
          <t>IMF Oct-2026 2027: 4.4%</t>
        </is>
      </c>
      <c r="D55" t="n">
        <v>4.44</v>
      </c>
      <c r="E55" t="n">
        <v>0</v>
      </c>
      <c r="I55" t="n">
        <v>4.44</v>
      </c>
      <c r="J55" t="n">
        <v>1</v>
      </c>
      <c r="K55" t="n">
        <v>1.531</v>
      </c>
      <c r="L55" t="n">
        <v>0</v>
      </c>
      <c r="M55">
        <f>K55+MIN(L55,Assumptions!$H$15)</f>
        <v/>
      </c>
      <c r="N55">
        <f>M55-Assumptions!$I$15</f>
        <v/>
      </c>
      <c r="O55">
        <f>N55-Assumptions!$B$25*Q55</f>
        <v/>
      </c>
      <c r="P55" t="n">
        <v>4</v>
      </c>
      <c r="Q55" t="n">
        <v>0.79</v>
      </c>
      <c r="R55" t="inlineStr">
        <is>
          <t>IMF World Economic Outlook, October 2026 (published 2026-10-13), api.imf.org SDMX dataflow IMF.RES/WEO NGDP_RPCH, pulled via Actions runner</t>
        </is>
      </c>
      <c r="S55" t="inlineStr">
        <is>
          <t>2026-10-13</t>
        </is>
      </c>
      <c r="T55" t="inlineStr">
        <is>
          <t>A</t>
        </is>
      </c>
      <c r="U55" t="inlineStr">
        <is>
          <t>sd = my forecast-vs-realised error class (stable 1.0, commodity 2-5, war/rebound 4-10)</t>
        </is>
      </c>
      <c r="Y55">
        <f>N55-IF(T55="C",Assumptions!$B$27,IF(T55="B",Assumptions!$B$26,0))</f>
        <v/>
      </c>
    </row>
    <row r="56">
      <c r="A56" t="inlineStr">
        <is>
          <t>Argentina</t>
        </is>
      </c>
      <c r="B56" t="inlineStr">
        <is>
          <t>IMF Oct-2026: 2025 4.483, 2026 2.06, 2027 3.462</t>
        </is>
      </c>
      <c r="C56" t="inlineStr">
        <is>
          <t>IMF Oct-2026 2027: 3.5%</t>
        </is>
      </c>
      <c r="D56" t="n">
        <v>3.46</v>
      </c>
      <c r="E56" t="n">
        <v>0</v>
      </c>
      <c r="I56" t="n">
        <v>3.46</v>
      </c>
      <c r="J56" t="n">
        <v>1</v>
      </c>
      <c r="K56" t="n">
        <v>1.289</v>
      </c>
      <c r="L56" t="n">
        <v>0</v>
      </c>
      <c r="M56">
        <f>K56+MIN(L56,Assumptions!$H$15)</f>
        <v/>
      </c>
      <c r="N56">
        <f>M56-Assumptions!$I$15</f>
        <v/>
      </c>
      <c r="O56">
        <f>N56-Assumptions!$B$25*Q56</f>
        <v/>
      </c>
      <c r="P56" t="n">
        <v>4</v>
      </c>
      <c r="Q56" t="n">
        <v>0.5590000000000001</v>
      </c>
      <c r="R56" t="inlineStr">
        <is>
          <t>IMF World Economic Outlook, October 2026 (published 2026-10-13), api.imf.org SDMX dataflow IMF.RES/WEO NGDP_RPCH, pulled via Actions runner</t>
        </is>
      </c>
      <c r="S56" t="inlineStr">
        <is>
          <t>2026-10-13</t>
        </is>
      </c>
      <c r="T56" t="inlineStr">
        <is>
          <t>A</t>
        </is>
      </c>
      <c r="U56" t="inlineStr">
        <is>
          <t>sd = my forecast-vs-realised error class (stable 1.0, commodity 2-5, war/rebound 4-10)</t>
        </is>
      </c>
      <c r="X56" s="16" t="inlineStr">
        <is>
          <t>Molmen</t>
        </is>
      </c>
      <c r="Y56">
        <f>N56-IF(T56="C",Assumptions!$B$27,IF(T56="B",Assumptions!$B$26,0))</f>
        <v/>
      </c>
    </row>
    <row r="57">
      <c r="A57" t="inlineStr">
        <is>
          <t>United States</t>
        </is>
      </c>
      <c r="B57" t="inlineStr">
        <is>
          <t>IMF Oct-2026: 2025 2.344, 2026 2.328, 2027 2.293</t>
        </is>
      </c>
      <c r="C57" t="inlineStr">
        <is>
          <t>IMF Oct-2026 2027: 2.3%</t>
        </is>
      </c>
      <c r="D57" t="n">
        <v>2.29</v>
      </c>
      <c r="E57" t="n">
        <v>0</v>
      </c>
      <c r="I57" t="n">
        <v>2.29</v>
      </c>
      <c r="J57" t="n">
        <v>1</v>
      </c>
      <c r="K57" t="n">
        <v>1.133</v>
      </c>
      <c r="L57" t="n">
        <v>0</v>
      </c>
      <c r="M57">
        <f>K57+MIN(L57,Assumptions!$H$15)</f>
        <v/>
      </c>
      <c r="N57">
        <f>M57-Assumptions!$I$15</f>
        <v/>
      </c>
      <c r="O57">
        <f>N57-Assumptions!$B$25*Q57</f>
        <v/>
      </c>
      <c r="P57" t="n">
        <v>4</v>
      </c>
      <c r="Q57" t="n">
        <v>0.365</v>
      </c>
      <c r="R57" t="inlineStr">
        <is>
          <t>IMF World Economic Outlook, October 2026 (published 2026-10-13), api.imf.org SDMX dataflow IMF.RES/WEO NGDP_RPCH, pulled via Actions runner</t>
        </is>
      </c>
      <c r="S57" t="inlineStr">
        <is>
          <t>2026-10-13</t>
        </is>
      </c>
      <c r="T57" t="inlineStr">
        <is>
          <t>A</t>
        </is>
      </c>
      <c r="U57" t="inlineStr">
        <is>
          <t>sd = my forecast-vs-realised error class (stable 1.0, commodity 2-5, war/rebound 4-10)</t>
        </is>
      </c>
      <c r="X57" s="16" t="inlineStr">
        <is>
          <t>Wu</t>
        </is>
      </c>
      <c r="Y57">
        <f>N57-IF(T57="C",Assumptions!$B$27,IF(T57="B",Assumptions!$B$26,0))</f>
        <v/>
      </c>
    </row>
    <row r="58">
      <c r="A58" t="inlineStr">
        <is>
          <t>Canada</t>
        </is>
      </c>
      <c r="B58" t="inlineStr">
        <is>
          <t>IMF Oct-2026: 2025 1.853, 2026 1.12, 2027 1.734</t>
        </is>
      </c>
      <c r="C58" t="inlineStr">
        <is>
          <t>IMF Oct-2026 2027: 1.7%</t>
        </is>
      </c>
      <c r="D58" t="n">
        <v>1.73</v>
      </c>
      <c r="E58" t="n">
        <v>0</v>
      </c>
      <c r="I58" t="n">
        <v>1.73</v>
      </c>
      <c r="J58" t="n">
        <v>1</v>
      </c>
      <c r="K58" t="n">
        <v>1.102</v>
      </c>
      <c r="L58" t="n">
        <v>0</v>
      </c>
      <c r="M58">
        <f>K58+MIN(L58,Assumptions!$H$15)</f>
        <v/>
      </c>
      <c r="N58">
        <f>M58-Assumptions!$I$15</f>
        <v/>
      </c>
      <c r="O58">
        <f>N58-Assumptions!$B$25*Q58</f>
        <v/>
      </c>
      <c r="P58" t="n">
        <v>4</v>
      </c>
      <c r="Q58" t="n">
        <v>0.319</v>
      </c>
      <c r="R58" t="inlineStr">
        <is>
          <t>IMF World Economic Outlook, October 2026 (published 2026-10-13), api.imf.org SDMX dataflow IMF.RES/WEO NGDP_RPCH, pulled via Actions runner</t>
        </is>
      </c>
      <c r="S58" t="inlineStr">
        <is>
          <t>2026-10-13</t>
        </is>
      </c>
      <c r="T58" t="inlineStr">
        <is>
          <t>A</t>
        </is>
      </c>
      <c r="U58" t="inlineStr">
        <is>
          <t>sd = my forecast-vs-realised error class (stable 1.0, commodity 2-5, war/rebound 4-10)</t>
        </is>
      </c>
      <c r="X58" s="16" t="inlineStr">
        <is>
          <t>Buckley</t>
        </is>
      </c>
      <c r="Y58">
        <f>N58-IF(T58="C",Assumptions!$B$27,IF(T58="B",Assumptions!$B$26,0))</f>
        <v/>
      </c>
    </row>
    <row r="59">
      <c r="A59" t="inlineStr">
        <is>
          <t>Brazil</t>
        </is>
      </c>
      <c r="B59" t="inlineStr">
        <is>
          <t>IMF Oct-2026: 2025 2.286, 2026 2.182, 2027 1.863</t>
        </is>
      </c>
      <c r="C59" t="inlineStr">
        <is>
          <t>IMF Oct-2026 2027: 1.9%</t>
        </is>
      </c>
      <c r="D59" t="n">
        <v>1.86</v>
      </c>
      <c r="E59" t="n">
        <v>0</v>
      </c>
      <c r="I59" t="n">
        <v>1.86</v>
      </c>
      <c r="J59" t="n">
        <v>1</v>
      </c>
      <c r="K59" t="n">
        <v>1.1</v>
      </c>
      <c r="L59" t="n">
        <v>0</v>
      </c>
      <c r="M59">
        <f>K59+MIN(L59,Assumptions!$H$15)</f>
        <v/>
      </c>
      <c r="N59">
        <f>M59-Assumptions!$I$15</f>
        <v/>
      </c>
      <c r="O59">
        <f>N59-Assumptions!$B$25*Q59</f>
        <v/>
      </c>
      <c r="P59" t="n">
        <v>4</v>
      </c>
      <c r="Q59" t="n">
        <v>0.322</v>
      </c>
      <c r="R59" t="inlineStr">
        <is>
          <t>IMF World Economic Outlook, October 2026 (published 2026-10-13), api.imf.org SDMX dataflow IMF.RES/WEO NGDP_RPCH, pulled via Actions runner</t>
        </is>
      </c>
      <c r="S59" t="inlineStr">
        <is>
          <t>2026-10-13</t>
        </is>
      </c>
      <c r="T59" t="inlineStr">
        <is>
          <t>A</t>
        </is>
      </c>
      <c r="U59" t="inlineStr">
        <is>
          <t>sd = my forecast-vs-realised error class (stable 1.0, commodity 2-5, war/rebound 4-10)</t>
        </is>
      </c>
      <c r="X59" s="16" t="inlineStr">
        <is>
          <t>Feder</t>
        </is>
      </c>
      <c r="Y59">
        <f>N59-IF(T59="C",Assumptions!$B$27,IF(T59="B",Assumptions!$B$26,0))</f>
        <v/>
      </c>
    </row>
    <row r="60">
      <c r="A60" t="inlineStr">
        <is>
          <t>Spain</t>
        </is>
      </c>
      <c r="B60" t="inlineStr">
        <is>
          <t>IMF Oct-2026: 2025 2.592, 2026 2.513, 2027 1.797</t>
        </is>
      </c>
      <c r="C60" t="inlineStr">
        <is>
          <t>IMF Oct-2026 2027: 1.8%</t>
        </is>
      </c>
      <c r="D60" t="n">
        <v>1.8</v>
      </c>
      <c r="E60" t="n">
        <v>0</v>
      </c>
      <c r="I60" t="n">
        <v>1.8</v>
      </c>
      <c r="J60" t="n">
        <v>1</v>
      </c>
      <c r="K60" t="n">
        <v>1.099</v>
      </c>
      <c r="L60" t="n">
        <v>0</v>
      </c>
      <c r="M60">
        <f>K60+MIN(L60,Assumptions!$H$15)</f>
        <v/>
      </c>
      <c r="N60">
        <f>M60-Assumptions!$I$15</f>
        <v/>
      </c>
      <c r="O60">
        <f>N60-Assumptions!$B$25*Q60</f>
        <v/>
      </c>
      <c r="P60" t="n">
        <v>4</v>
      </c>
      <c r="Q60" t="n">
        <v>0.313</v>
      </c>
      <c r="R60" t="inlineStr">
        <is>
          <t>IMF World Economic Outlook, October 2026 (published 2026-10-13), api.imf.org SDMX dataflow IMF.RES/WEO NGDP_RPCH, pulled via Actions runner</t>
        </is>
      </c>
      <c r="S60" t="inlineStr">
        <is>
          <t>2026-10-13</t>
        </is>
      </c>
      <c r="T60" t="inlineStr">
        <is>
          <t>A</t>
        </is>
      </c>
      <c r="U60" t="inlineStr">
        <is>
          <t>sd = my forecast-vs-realised error class (stable 1.0, commodity 2-5, war/rebound 4-10)</t>
        </is>
      </c>
      <c r="X60" s="16" t="inlineStr">
        <is>
          <t>Jamzee</t>
        </is>
      </c>
      <c r="Y60">
        <f>N60-IF(T60="C",Assumptions!$B$27,IF(T60="B",Assumptions!$B$26,0))</f>
        <v/>
      </c>
    </row>
    <row r="61">
      <c r="A61" t="inlineStr">
        <is>
          <t>Netherlands</t>
        </is>
      </c>
      <c r="B61" t="inlineStr">
        <is>
          <t>IMF Oct-2026: 2025 1.564, 2026 1.531, 2027 1.318</t>
        </is>
      </c>
      <c r="C61" t="inlineStr">
        <is>
          <t>IMF Oct-2026 2027: 1.3%</t>
        </is>
      </c>
      <c r="D61" t="n">
        <v>1.32</v>
      </c>
      <c r="E61" t="n">
        <v>0</v>
      </c>
      <c r="I61" t="n">
        <v>1.32</v>
      </c>
      <c r="J61" t="n">
        <v>1</v>
      </c>
      <c r="K61" t="n">
        <v>1.085</v>
      </c>
      <c r="L61" t="n">
        <v>0</v>
      </c>
      <c r="M61">
        <f>K61+MIN(L61,Assumptions!$H$15)</f>
        <v/>
      </c>
      <c r="N61">
        <f>M61-Assumptions!$I$15</f>
        <v/>
      </c>
      <c r="O61">
        <f>N61-Assumptions!$B$25*Q61</f>
        <v/>
      </c>
      <c r="P61" t="n">
        <v>4</v>
      </c>
      <c r="Q61" t="n">
        <v>0.287</v>
      </c>
      <c r="R61" t="inlineStr">
        <is>
          <t>IMF World Economic Outlook, October 2026 (published 2026-10-13), api.imf.org SDMX dataflow IMF.RES/WEO NGDP_RPCH, pulled via Actions runner</t>
        </is>
      </c>
      <c r="S61" t="inlineStr">
        <is>
          <t>2026-10-13</t>
        </is>
      </c>
      <c r="T61" t="inlineStr">
        <is>
          <t>A</t>
        </is>
      </c>
      <c r="U61" t="inlineStr">
        <is>
          <t>sd = my forecast-vs-realised error class (stable 1.0, commodity 2-5, war/rebound 4-10)</t>
        </is>
      </c>
      <c r="X61" s="16" t="inlineStr">
        <is>
          <t>Tim</t>
        </is>
      </c>
      <c r="Y61">
        <f>N61-IF(T61="C",Assumptions!$B$27,IF(T61="B",Assumptions!$B$26,0))</f>
        <v/>
      </c>
    </row>
    <row r="62">
      <c r="A62" t="inlineStr">
        <is>
          <t>Norway</t>
        </is>
      </c>
      <c r="B62" t="inlineStr">
        <is>
          <t>IMF Oct-2026: 2025 1.058, 2026 1.538, 2027 1.334</t>
        </is>
      </c>
      <c r="C62" t="inlineStr">
        <is>
          <t>IMF Oct-2026 2027: 1.3%</t>
        </is>
      </c>
      <c r="D62" t="n">
        <v>1.33</v>
      </c>
      <c r="E62" t="n">
        <v>0</v>
      </c>
      <c r="I62" t="n">
        <v>1.33</v>
      </c>
      <c r="J62" t="n">
        <v>1</v>
      </c>
      <c r="K62" t="n">
        <v>1.081</v>
      </c>
      <c r="L62" t="n">
        <v>0</v>
      </c>
      <c r="M62">
        <f>K62+MIN(L62,Assumptions!$H$15)</f>
        <v/>
      </c>
      <c r="N62">
        <f>M62-Assumptions!$I$15</f>
        <v/>
      </c>
      <c r="O62">
        <f>N62-Assumptions!$B$25*Q62</f>
        <v/>
      </c>
      <c r="P62" t="n">
        <v>4</v>
      </c>
      <c r="Q62" t="n">
        <v>0.283</v>
      </c>
      <c r="R62" t="inlineStr">
        <is>
          <t>IMF World Economic Outlook, October 2026 (published 2026-10-13), api.imf.org SDMX dataflow IMF.RES/WEO NGDP_RPCH, pulled via Actions runner</t>
        </is>
      </c>
      <c r="S62" t="inlineStr">
        <is>
          <t>2026-10-13</t>
        </is>
      </c>
      <c r="T62" t="inlineStr">
        <is>
          <t>A</t>
        </is>
      </c>
      <c r="U62" t="inlineStr">
        <is>
          <t>sd = my forecast-vs-realised error class (stable 1.0, commodity 2-5, war/rebound 4-10)</t>
        </is>
      </c>
      <c r="X62" s="16" t="inlineStr">
        <is>
          <t>Fryar</t>
        </is>
      </c>
      <c r="Y62">
        <f>N62-IF(T62="C",Assumptions!$B$27,IF(T62="B",Assumptions!$B$26,0))</f>
        <v/>
      </c>
    </row>
    <row r="63">
      <c r="A63" t="inlineStr">
        <is>
          <t>Germany</t>
        </is>
      </c>
      <c r="B63" t="inlineStr">
        <is>
          <t>IMF Oct-2026: 2025 0.229, 2026 1.32, 2027 1.088</t>
        </is>
      </c>
      <c r="C63" t="inlineStr">
        <is>
          <t>IMF Oct-2026 2027: 1.1%</t>
        </is>
      </c>
      <c r="D63" t="n">
        <v>1.09</v>
      </c>
      <c r="E63" t="n">
        <v>0</v>
      </c>
      <c r="I63" t="n">
        <v>1.09</v>
      </c>
      <c r="J63" t="n">
        <v>1</v>
      </c>
      <c r="K63" t="n">
        <v>1.073</v>
      </c>
      <c r="L63" t="n">
        <v>0</v>
      </c>
      <c r="M63">
        <f>K63+MIN(L63,Assumptions!$H$15)</f>
        <v/>
      </c>
      <c r="N63">
        <f>M63-Assumptions!$I$15</f>
        <v/>
      </c>
      <c r="O63">
        <f>N63-Assumptions!$B$25*Q63</f>
        <v/>
      </c>
      <c r="P63" t="n">
        <v>4</v>
      </c>
      <c r="Q63" t="n">
        <v>0.269</v>
      </c>
      <c r="R63" t="inlineStr">
        <is>
          <t>IMF World Economic Outlook, October 2026 (published 2026-10-13), api.imf.org SDMX dataflow IMF.RES/WEO NGDP_RPCH, pulled via Actions runner</t>
        </is>
      </c>
      <c r="S63" t="inlineStr">
        <is>
          <t>2026-10-13</t>
        </is>
      </c>
      <c r="T63" t="inlineStr">
        <is>
          <t>A</t>
        </is>
      </c>
      <c r="U63" t="inlineStr">
        <is>
          <t>sd = my forecast-vs-realised error class (stable 1.0, commodity 2-5, war/rebound 4-10)</t>
        </is>
      </c>
      <c r="X63" s="16" t="inlineStr">
        <is>
          <t>Jens</t>
        </is>
      </c>
      <c r="Y63">
        <f>N63-IF(T63="C",Assumptions!$B$27,IF(T63="B",Assumptions!$B$26,0))</f>
        <v/>
      </c>
    </row>
    <row r="64">
      <c r="A64" t="inlineStr">
        <is>
          <t>Switzerland</t>
        </is>
      </c>
      <c r="B64" t="inlineStr">
        <is>
          <t>IMF Oct-2026: 2025 1.616, 2026 1.855, 2027 1.208</t>
        </is>
      </c>
      <c r="C64" t="inlineStr">
        <is>
          <t>IMF Oct-2026 2027: 1.2%</t>
        </is>
      </c>
      <c r="D64" t="n">
        <v>1.21</v>
      </c>
      <c r="E64" t="n">
        <v>0</v>
      </c>
      <c r="I64" t="n">
        <v>1.21</v>
      </c>
      <c r="J64" t="n">
        <v>1</v>
      </c>
      <c r="K64" t="n">
        <v>1.07</v>
      </c>
      <c r="L64" t="n">
        <v>0</v>
      </c>
      <c r="M64">
        <f>K64+MIN(L64,Assumptions!$H$15)</f>
        <v/>
      </c>
      <c r="N64">
        <f>M64-Assumptions!$I$15</f>
        <v/>
      </c>
      <c r="O64">
        <f>N64-Assumptions!$B$25*Q64</f>
        <v/>
      </c>
      <c r="P64" t="n">
        <v>4</v>
      </c>
      <c r="Q64" t="n">
        <v>0.264</v>
      </c>
      <c r="R64" t="inlineStr">
        <is>
          <t>IMF World Economic Outlook, October 2026 (published 2026-10-13), api.imf.org SDMX dataflow IMF.RES/WEO NGDP_RPCH, pulled via Actions runner</t>
        </is>
      </c>
      <c r="S64" t="inlineStr">
        <is>
          <t>2026-10-13</t>
        </is>
      </c>
      <c r="T64" t="inlineStr">
        <is>
          <t>A</t>
        </is>
      </c>
      <c r="U64" t="inlineStr">
        <is>
          <t>sd = my forecast-vs-realised error class (stable 1.0, commodity 2-5, war/rebound 4-10)</t>
        </is>
      </c>
      <c r="X64" s="16" t="inlineStr">
        <is>
          <t>Theo</t>
        </is>
      </c>
      <c r="Y64">
        <f>N64-IF(T64="C",Assumptions!$B$27,IF(T64="B",Assumptions!$B$26,0))</f>
        <v/>
      </c>
    </row>
    <row r="65">
      <c r="A65" t="inlineStr">
        <is>
          <t>France</t>
        </is>
      </c>
      <c r="B65" t="inlineStr">
        <is>
          <t>IMF Oct-2026: 2025 0.89, 2026 0.411, 2027 0.724</t>
        </is>
      </c>
      <c r="C65" t="inlineStr">
        <is>
          <t>IMF Oct-2026 2027: 0.7%</t>
        </is>
      </c>
      <c r="D65" t="n">
        <v>0.72</v>
      </c>
      <c r="E65" t="n">
        <v>0</v>
      </c>
      <c r="I65" t="n">
        <v>0.72</v>
      </c>
      <c r="J65" t="n">
        <v>1</v>
      </c>
      <c r="K65" t="n">
        <v>1.058</v>
      </c>
      <c r="L65" t="n">
        <v>0</v>
      </c>
      <c r="M65">
        <f>K65+MIN(L65,Assumptions!$H$15)</f>
        <v/>
      </c>
      <c r="N65">
        <f>M65-Assumptions!$I$15</f>
        <v/>
      </c>
      <c r="O65">
        <f>N65-Assumptions!$B$25*Q65</f>
        <v/>
      </c>
      <c r="P65" t="n">
        <v>4</v>
      </c>
      <c r="Q65" t="n">
        <v>0.239</v>
      </c>
      <c r="R65" t="inlineStr">
        <is>
          <t>IMF World Economic Outlook, October 2026 (published 2026-10-13), api.imf.org SDMX dataflow IMF.RES/WEO NGDP_RPCH, pulled via Actions runner</t>
        </is>
      </c>
      <c r="S65" t="inlineStr">
        <is>
          <t>2026-10-13</t>
        </is>
      </c>
      <c r="T65" t="inlineStr">
        <is>
          <t>A</t>
        </is>
      </c>
      <c r="U65" t="inlineStr">
        <is>
          <t>sd = my forecast-vs-realised error class (stable 1.0, commodity 2-5, war/rebound 4-10)</t>
        </is>
      </c>
      <c r="X65" s="16" t="inlineStr">
        <is>
          <t>Shep</t>
        </is>
      </c>
      <c r="Y65">
        <f>N65-IF(T65="C",Assumptions!$B$27,IF(T65="B",Assumptions!$B$26,0))</f>
        <v/>
      </c>
    </row>
    <row r="67">
      <c r="A67" s="8" t="inlineStr">
        <is>
          <t>Replacement-level EV (Nth best)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3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36" customWidth="1" min="2" max="2"/>
    <col width="22" customWidth="1" min="3" max="3"/>
    <col width="11" customWidth="1" min="4" max="4"/>
    <col width="11" customWidth="1" min="5" max="5"/>
    <col width="11" customWidth="1" min="6" max="6"/>
    <col width="11" customWidth="1" min="7" max="7"/>
    <col width="11" customWidth="1" min="8" max="8"/>
    <col width="9" customWidth="1" min="9" max="9"/>
    <col width="9" customWidth="1" min="10" max="10"/>
    <col width="11" customWidth="1" min="11" max="11"/>
    <col width="10" customWidth="1" min="12" max="12"/>
    <col width="10" customWidth="1" min="13" max="13"/>
    <col width="9" customWidth="1" min="14" max="14"/>
    <col width="11" customWidth="1" min="15" max="15"/>
    <col width="6" customWidth="1" min="16" max="16"/>
    <col width="9" customWidth="1" min="17" max="17"/>
    <col width="38" customWidth="1" min="18" max="18"/>
    <col width="11" customWidth="1" min="19" max="19"/>
    <col width="6" customWidth="1" min="20" max="20"/>
    <col width="60" customWidth="1" min="21" max="21"/>
    <col width="12" customWidth="1" min="22" max="22"/>
    <col width="9" customWidth="1" min="23" max="23"/>
    <col width="11" customWidth="1" min="24" max="24"/>
    <col width="11" customWidth="1" min="25" max="25"/>
  </cols>
  <sheetData>
    <row r="1">
      <c r="A1" s="18" t="inlineStr">
        <is>
          <t>Stock — 2027 draft research (EV model; see README)</t>
        </is>
      </c>
    </row>
    <row r="2">
      <c r="A2" t="inlineStr">
        <is>
          <t>As of 2026-10-22. Sorted by E[total]. Yellow = inferred / low-confidence (C).</t>
        </is>
      </c>
    </row>
    <row r="4">
      <c r="A4" s="7" t="inlineStr">
        <is>
          <t>Candidate</t>
        </is>
      </c>
      <c r="B4" s="7" t="inlineStr">
        <is>
          <t>Detail</t>
        </is>
      </c>
      <c r="C4" s="7" t="inlineStr">
        <is>
          <t>Odds / price</t>
        </is>
      </c>
      <c r="D4" s="7" t="inlineStr">
        <is>
          <t>Direction</t>
        </is>
      </c>
      <c r="E4" s="7" t="inlineStr"/>
      <c r="F4" s="7" t="inlineStr"/>
      <c r="G4" s="7" t="inlineStr"/>
      <c r="H4" s="7" t="inlineStr"/>
      <c r="I4" s="7" t="inlineStr">
        <is>
          <t>mu</t>
        </is>
      </c>
      <c r="J4" s="7" t="inlineStr">
        <is>
          <t>sd</t>
        </is>
      </c>
      <c r="K4" s="7" t="inlineStr">
        <is>
          <t>E[rank pts] (MC)</t>
        </is>
      </c>
      <c r="L4" s="7" t="inlineStr">
        <is>
          <t>E[bonus]</t>
        </is>
      </c>
      <c r="M4" s="7" t="inlineStr">
        <is>
          <t>E[total]</t>
        </is>
      </c>
      <c r="N4" s="7" t="inlineStr">
        <is>
          <t>VOR</t>
        </is>
      </c>
      <c r="O4" s="7" t="inlineStr">
        <is>
          <t>Risk-adj VOR</t>
        </is>
      </c>
      <c r="P4" s="7" t="inlineStr">
        <is>
          <t>Tier</t>
        </is>
      </c>
      <c r="Q4" s="7" t="inlineStr">
        <is>
          <t>SD rank pts</t>
        </is>
      </c>
      <c r="R4" s="7" t="inlineStr">
        <is>
          <t>Source</t>
        </is>
      </c>
      <c r="S4" s="7" t="inlineStr">
        <is>
          <t>As of</t>
        </is>
      </c>
      <c r="T4" s="7" t="inlineStr">
        <is>
          <t>Conf</t>
        </is>
      </c>
      <c r="U4" s="7" t="inlineStr">
        <is>
          <t>Notes</t>
        </is>
      </c>
      <c r="V4" s="7" t="inlineStr">
        <is>
          <t>Field draft score</t>
        </is>
      </c>
      <c r="W4" s="7" t="inlineStr">
        <is>
          <t>Field rank</t>
        </is>
      </c>
      <c r="X4" s="7" t="inlineStr">
        <is>
          <t>Owner</t>
        </is>
      </c>
      <c r="Y4" s="7" t="inlineStr">
        <is>
          <t>Conf-adj VOR</t>
        </is>
      </c>
    </row>
    <row r="5">
      <c r="A5" s="9" t="inlineStr">
        <is>
          <t>MSTR (Long)</t>
        </is>
      </c>
      <c r="B5" t="inlineStr">
        <is>
          <t>levered BTC proxy</t>
        </is>
      </c>
      <c r="D5" t="inlineStr">
        <is>
          <t>Long</t>
        </is>
      </c>
      <c r="I5" t="n">
        <v>14</v>
      </c>
      <c r="J5" t="n">
        <v>60</v>
      </c>
      <c r="K5" t="n">
        <v>7.069</v>
      </c>
      <c r="L5" t="n">
        <v>0</v>
      </c>
      <c r="M5">
        <f>K5+MIN(L5,Assumptions!$H$16)</f>
        <v/>
      </c>
      <c r="N5">
        <f>M5-Assumptions!$I$16</f>
        <v/>
      </c>
      <c r="O5">
        <f>N5-Assumptions!$B$25*Q5</f>
        <v/>
      </c>
      <c r="P5" t="n">
        <v>1</v>
      </c>
      <c r="Q5" t="n">
        <v>3.769</v>
      </c>
      <c r="R5" t="inlineStr">
        <is>
          <t>my estimate: sector view + typical vol; no price data pulled (verify quotes before drafting)</t>
        </is>
      </c>
      <c r="S5" t="inlineStr">
        <is>
          <t>2026-10-08</t>
        </is>
      </c>
      <c r="T5" s="9" t="inlineStr">
        <is>
          <t>C</t>
        </is>
      </c>
      <c r="U5" t="inlineStr">
        <is>
          <t>[v2: flattened — pure luck, everyone equal]</t>
        </is>
      </c>
      <c r="Y5">
        <f>N5-IF(T5="C",Assumptions!$B$27,IF(T5="B",Assumptions!$B$26,0))</f>
        <v/>
      </c>
    </row>
    <row r="6">
      <c r="A6" s="9" t="inlineStr">
        <is>
          <t>COIN (Long)</t>
        </is>
      </c>
      <c r="B6" t="inlineStr">
        <is>
          <t>BTC-cycle beta</t>
        </is>
      </c>
      <c r="D6" t="inlineStr">
        <is>
          <t>Long</t>
        </is>
      </c>
      <c r="I6" t="n">
        <v>14</v>
      </c>
      <c r="J6" t="n">
        <v>60</v>
      </c>
      <c r="K6" t="n">
        <v>7.069</v>
      </c>
      <c r="L6" t="n">
        <v>0</v>
      </c>
      <c r="M6">
        <f>K6+MIN(L6,Assumptions!$H$16)</f>
        <v/>
      </c>
      <c r="N6">
        <f>M6-Assumptions!$I$16</f>
        <v/>
      </c>
      <c r="O6">
        <f>N6-Assumptions!$B$25*Q6</f>
        <v/>
      </c>
      <c r="P6" t="n">
        <v>1</v>
      </c>
      <c r="Q6" t="n">
        <v>3.738</v>
      </c>
      <c r="R6" t="inlineStr">
        <is>
          <t>my estimate: sector view + typical vol; no price data pulled (verify quotes before drafting)</t>
        </is>
      </c>
      <c r="S6" t="inlineStr">
        <is>
          <t>2026-10-08</t>
        </is>
      </c>
      <c r="T6" s="9" t="inlineStr">
        <is>
          <t>C</t>
        </is>
      </c>
      <c r="U6" t="inlineStr">
        <is>
          <t>[v2: flattened — pure luck, everyone equal]</t>
        </is>
      </c>
      <c r="X6" s="16" t="inlineStr">
        <is>
          <t>Tim</t>
        </is>
      </c>
      <c r="Y6">
        <f>N6-IF(T6="C",Assumptions!$B$27,IF(T6="B",Assumptions!$B$26,0))</f>
        <v/>
      </c>
    </row>
    <row r="7">
      <c r="A7" s="9" t="inlineStr">
        <is>
          <t>AMD (Long)</t>
        </is>
      </c>
      <c r="B7" t="inlineStr">
        <is>
          <t>MI400/Helios ramp 2H26-27</t>
        </is>
      </c>
      <c r="D7" t="inlineStr">
        <is>
          <t>Long</t>
        </is>
      </c>
      <c r="I7" t="n">
        <v>14</v>
      </c>
      <c r="J7" t="n">
        <v>60</v>
      </c>
      <c r="K7" t="n">
        <v>7.069</v>
      </c>
      <c r="L7" t="n">
        <v>0</v>
      </c>
      <c r="M7">
        <f>K7+MIN(L7,Assumptions!$H$16)</f>
        <v/>
      </c>
      <c r="N7">
        <f>M7-Assumptions!$I$16</f>
        <v/>
      </c>
      <c r="O7">
        <f>N7-Assumptions!$B$25*Q7</f>
        <v/>
      </c>
      <c r="P7" t="n">
        <v>1</v>
      </c>
      <c r="Q7" t="n">
        <v>3.712</v>
      </c>
      <c r="R7" t="inlineStr">
        <is>
          <t>my estimate: sector view + typical vol; no price data pulled (verify quotes before drafting)</t>
        </is>
      </c>
      <c r="S7" t="inlineStr">
        <is>
          <t>2026-10-08</t>
        </is>
      </c>
      <c r="T7" s="9" t="inlineStr">
        <is>
          <t>C</t>
        </is>
      </c>
      <c r="U7" t="inlineStr">
        <is>
          <t>[v2: flattened — pure luck, everyone equal]</t>
        </is>
      </c>
      <c r="Y7">
        <f>N7-IF(T7="C",Assumptions!$B$27,IF(T7="B",Assumptions!$B$26,0))</f>
        <v/>
      </c>
    </row>
    <row r="8">
      <c r="A8" s="17" t="inlineStr">
        <is>
          <t>TTWO (Long)</t>
        </is>
      </c>
      <c r="B8" t="inlineStr">
        <is>
          <t>owned; no price data pulled</t>
        </is>
      </c>
      <c r="D8" t="inlineStr">
        <is>
          <t>Long</t>
        </is>
      </c>
      <c r="I8" t="n">
        <v>14</v>
      </c>
      <c r="J8" t="n">
        <v>60</v>
      </c>
      <c r="K8" t="n">
        <v>7.051</v>
      </c>
      <c r="L8" t="n">
        <v>0</v>
      </c>
      <c r="M8">
        <f>K8+MIN(L8,Assumptions!$H$16)</f>
        <v/>
      </c>
      <c r="N8">
        <f>M8-Assumptions!$I$16</f>
        <v/>
      </c>
      <c r="O8">
        <f>N8-Assumptions!$B$25*Q8</f>
        <v/>
      </c>
      <c r="P8" t="n">
        <v>2</v>
      </c>
      <c r="Q8" t="n">
        <v>3.714</v>
      </c>
      <c r="R8" t="inlineStr">
        <is>
          <t>added because a league member currently owns this pick (draft_picks_2026.py); not in the first-pass pool, so figures are placeholders (conf C)</t>
        </is>
      </c>
      <c r="S8" t="inlineStr">
        <is>
          <t>2026-10-08</t>
        </is>
      </c>
      <c r="T8" s="9" t="inlineStr">
        <is>
          <t>C</t>
        </is>
      </c>
      <c r="U8" t="inlineStr">
        <is>
          <t>[v2: flattened — pure luck, everyone equal]</t>
        </is>
      </c>
      <c r="X8" s="16" t="inlineStr">
        <is>
          <t>Molmen</t>
        </is>
      </c>
      <c r="Y8">
        <f>N8-IF(T8="C",Assumptions!$B$27,IF(T8="B",Assumptions!$B$26,0))</f>
        <v/>
      </c>
    </row>
    <row r="9">
      <c r="A9" s="17" t="inlineStr">
        <is>
          <t>SMCI (Long)</t>
        </is>
      </c>
      <c r="B9" t="inlineStr">
        <is>
          <t>high-variance AI servers</t>
        </is>
      </c>
      <c r="D9" t="inlineStr">
        <is>
          <t>Long</t>
        </is>
      </c>
      <c r="I9" t="n">
        <v>14</v>
      </c>
      <c r="J9" t="n">
        <v>60</v>
      </c>
      <c r="K9" t="n">
        <v>7.044</v>
      </c>
      <c r="L9" t="n">
        <v>0</v>
      </c>
      <c r="M9">
        <f>K9+MIN(L9,Assumptions!$H$16)</f>
        <v/>
      </c>
      <c r="N9">
        <f>M9-Assumptions!$I$16</f>
        <v/>
      </c>
      <c r="O9">
        <f>N9-Assumptions!$B$25*Q9</f>
        <v/>
      </c>
      <c r="P9" t="n">
        <v>2</v>
      </c>
      <c r="Q9" t="n">
        <v>3.766</v>
      </c>
      <c r="R9" t="inlineStr">
        <is>
          <t>my estimate: sector view + typical vol; no price data pulled (verify quotes before drafting)</t>
        </is>
      </c>
      <c r="S9" t="inlineStr">
        <is>
          <t>2026-10-08</t>
        </is>
      </c>
      <c r="T9" s="9" t="inlineStr">
        <is>
          <t>C</t>
        </is>
      </c>
      <c r="U9" t="inlineStr">
        <is>
          <t>[v2: flattened — pure luck, everyone equal]</t>
        </is>
      </c>
      <c r="X9" s="16" t="inlineStr">
        <is>
          <t>Korch</t>
        </is>
      </c>
      <c r="Y9">
        <f>N9-IF(T9="C",Assumptions!$B$27,IF(T9="B",Assumptions!$B$26,0))</f>
        <v/>
      </c>
    </row>
    <row r="10">
      <c r="A10" s="17" t="inlineStr">
        <is>
          <t>TSLA (Short)</t>
        </is>
      </c>
      <c r="B10" t="inlineStr">
        <is>
          <t>squeeze risk</t>
        </is>
      </c>
      <c r="D10" t="inlineStr">
        <is>
          <t>Short</t>
        </is>
      </c>
      <c r="I10" t="n">
        <v>14</v>
      </c>
      <c r="J10" t="n">
        <v>60</v>
      </c>
      <c r="K10" t="n">
        <v>7.027</v>
      </c>
      <c r="L10" t="n">
        <v>0</v>
      </c>
      <c r="M10">
        <f>K10+MIN(L10,Assumptions!$H$16)</f>
        <v/>
      </c>
      <c r="N10">
        <f>M10-Assumptions!$I$16</f>
        <v/>
      </c>
      <c r="O10">
        <f>N10-Assumptions!$B$25*Q10</f>
        <v/>
      </c>
      <c r="P10" t="n">
        <v>2</v>
      </c>
      <c r="Q10" t="n">
        <v>3.748</v>
      </c>
      <c r="R10" t="inlineStr">
        <is>
          <t>my estimate: sector view + typical vol; no price data pulled (verify quotes before drafting)</t>
        </is>
      </c>
      <c r="S10" t="inlineStr">
        <is>
          <t>2026-10-08</t>
        </is>
      </c>
      <c r="T10" s="9" t="inlineStr">
        <is>
          <t>C</t>
        </is>
      </c>
      <c r="U10" t="inlineStr">
        <is>
          <t>[v2: flattened — pure luck, everyone equal]</t>
        </is>
      </c>
      <c r="X10" s="16" t="inlineStr">
        <is>
          <t>Shep</t>
        </is>
      </c>
      <c r="Y10">
        <f>N10-IF(T10="C",Assumptions!$B$27,IF(T10="B",Assumptions!$B$26,0))</f>
        <v/>
      </c>
    </row>
    <row r="11">
      <c r="A11" s="17" t="inlineStr">
        <is>
          <t>RKLB (Long)</t>
        </is>
      </c>
      <c r="B11" t="inlineStr">
        <is>
          <t>Neutron first launch</t>
        </is>
      </c>
      <c r="D11" t="inlineStr">
        <is>
          <t>Long</t>
        </is>
      </c>
      <c r="I11" t="n">
        <v>14</v>
      </c>
      <c r="J11" t="n">
        <v>60</v>
      </c>
      <c r="K11" t="n">
        <v>7.022</v>
      </c>
      <c r="L11" t="n">
        <v>0</v>
      </c>
      <c r="M11">
        <f>K11+MIN(L11,Assumptions!$H$16)</f>
        <v/>
      </c>
      <c r="N11">
        <f>M11-Assumptions!$I$16</f>
        <v/>
      </c>
      <c r="O11">
        <f>N11-Assumptions!$B$25*Q11</f>
        <v/>
      </c>
      <c r="P11" t="n">
        <v>2</v>
      </c>
      <c r="Q11" t="n">
        <v>3.731</v>
      </c>
      <c r="R11" t="inlineStr">
        <is>
          <t>my estimate: sector view + typical vol; no price data pulled (verify quotes before drafting)</t>
        </is>
      </c>
      <c r="S11" t="inlineStr">
        <is>
          <t>2026-10-08</t>
        </is>
      </c>
      <c r="T11" s="9" t="inlineStr">
        <is>
          <t>C</t>
        </is>
      </c>
      <c r="U11" t="inlineStr">
        <is>
          <t>[v2: flattened — pure luck, everyone equal]</t>
        </is>
      </c>
      <c r="Y11">
        <f>N11-IF(T11="C",Assumptions!$B$27,IF(T11="B",Assumptions!$B$26,0))</f>
        <v/>
      </c>
    </row>
    <row r="12">
      <c r="A12" s="19" t="inlineStr">
        <is>
          <t>HOOD (Long)</t>
        </is>
      </c>
      <c r="B12" t="inlineStr">
        <is>
          <t>crypto/retail volumes</t>
        </is>
      </c>
      <c r="D12" t="inlineStr">
        <is>
          <t>Long</t>
        </is>
      </c>
      <c r="I12" t="n">
        <v>14</v>
      </c>
      <c r="J12" t="n">
        <v>60</v>
      </c>
      <c r="K12" t="n">
        <v>7.016</v>
      </c>
      <c r="L12" t="n">
        <v>0</v>
      </c>
      <c r="M12">
        <f>K12+MIN(L12,Assumptions!$H$16)</f>
        <v/>
      </c>
      <c r="N12">
        <f>M12-Assumptions!$I$16</f>
        <v/>
      </c>
      <c r="O12">
        <f>N12-Assumptions!$B$25*Q12</f>
        <v/>
      </c>
      <c r="P12" t="n">
        <v>3</v>
      </c>
      <c r="Q12" t="n">
        <v>3.758</v>
      </c>
      <c r="R12" t="inlineStr">
        <is>
          <t>my estimate: sector view + typical vol; no price data pulled (verify quotes before drafting)</t>
        </is>
      </c>
      <c r="S12" t="inlineStr">
        <is>
          <t>2026-10-08</t>
        </is>
      </c>
      <c r="T12" s="9" t="inlineStr">
        <is>
          <t>C</t>
        </is>
      </c>
      <c r="U12" t="inlineStr">
        <is>
          <t>[v2: flattened — pure luck, everyone equal]</t>
        </is>
      </c>
      <c r="Y12">
        <f>N12-IF(T12="C",Assumptions!$B$27,IF(T12="B",Assumptions!$B$26,0))</f>
        <v/>
      </c>
    </row>
    <row r="13">
      <c r="A13" s="19" t="inlineStr">
        <is>
          <t>TSLA (Long)</t>
        </is>
      </c>
      <c r="B13" t="inlineStr">
        <is>
          <t>robotaxi/Optimus narrative</t>
        </is>
      </c>
      <c r="D13" t="inlineStr">
        <is>
          <t>Long</t>
        </is>
      </c>
      <c r="I13" t="n">
        <v>14</v>
      </c>
      <c r="J13" t="n">
        <v>60</v>
      </c>
      <c r="K13" t="n">
        <v>7.012</v>
      </c>
      <c r="L13" t="n">
        <v>0</v>
      </c>
      <c r="M13">
        <f>K13+MIN(L13,Assumptions!$H$16)</f>
        <v/>
      </c>
      <c r="N13">
        <f>M13-Assumptions!$I$16</f>
        <v/>
      </c>
      <c r="O13">
        <f>N13-Assumptions!$B$25*Q13</f>
        <v/>
      </c>
      <c r="P13" t="n">
        <v>3</v>
      </c>
      <c r="Q13" t="n">
        <v>3.74</v>
      </c>
      <c r="R13" t="inlineStr">
        <is>
          <t>my estimate: sector view + typical vol; no price data pulled (verify quotes before drafting)</t>
        </is>
      </c>
      <c r="S13" t="inlineStr">
        <is>
          <t>2026-10-08</t>
        </is>
      </c>
      <c r="T13" s="9" t="inlineStr">
        <is>
          <t>C</t>
        </is>
      </c>
      <c r="U13" t="inlineStr">
        <is>
          <t>[v2: flattened — pure luck, everyone equal]</t>
        </is>
      </c>
      <c r="Y13">
        <f>N13-IF(T13="C",Assumptions!$B$27,IF(T13="B",Assumptions!$B$26,0))</f>
        <v/>
      </c>
    </row>
    <row r="14">
      <c r="A14" s="19" t="inlineStr">
        <is>
          <t>SOFI (Long)</t>
        </is>
      </c>
      <c r="B14" t="inlineStr">
        <is>
          <t>owned; no price data pulled</t>
        </is>
      </c>
      <c r="D14" t="inlineStr">
        <is>
          <t>Long</t>
        </is>
      </c>
      <c r="I14" t="n">
        <v>14</v>
      </c>
      <c r="J14" t="n">
        <v>60</v>
      </c>
      <c r="K14" t="n">
        <v>7.006</v>
      </c>
      <c r="L14" t="n">
        <v>0</v>
      </c>
      <c r="M14">
        <f>K14+MIN(L14,Assumptions!$H$16)</f>
        <v/>
      </c>
      <c r="N14">
        <f>M14-Assumptions!$I$16</f>
        <v/>
      </c>
      <c r="O14">
        <f>N14-Assumptions!$B$25*Q14</f>
        <v/>
      </c>
      <c r="P14" t="n">
        <v>3</v>
      </c>
      <c r="Q14" t="n">
        <v>3.734</v>
      </c>
      <c r="R14" t="inlineStr">
        <is>
          <t>added because a league member currently owns this pick (draft_picks_2026.py); not in the first-pass pool, so figures are placeholders (conf C)</t>
        </is>
      </c>
      <c r="S14" t="inlineStr">
        <is>
          <t>2026-10-08</t>
        </is>
      </c>
      <c r="T14" s="9" t="inlineStr">
        <is>
          <t>C</t>
        </is>
      </c>
      <c r="U14" t="inlineStr">
        <is>
          <t>[v2: flattened — pure luck, everyone equal]</t>
        </is>
      </c>
      <c r="X14" s="16" t="inlineStr">
        <is>
          <t>Jens</t>
        </is>
      </c>
      <c r="Y14">
        <f>N14-IF(T14="C",Assumptions!$B$27,IF(T14="B",Assumptions!$B$26,0))</f>
        <v/>
      </c>
    </row>
    <row r="15">
      <c r="A15" s="19" t="inlineStr">
        <is>
          <t>IONQ (Long)</t>
        </is>
      </c>
      <c r="B15" t="inlineStr">
        <is>
          <t>quantum lottery</t>
        </is>
      </c>
      <c r="D15" t="inlineStr">
        <is>
          <t>Long</t>
        </is>
      </c>
      <c r="I15" t="n">
        <v>14</v>
      </c>
      <c r="J15" t="n">
        <v>60</v>
      </c>
      <c r="K15" t="n">
        <v>7.003</v>
      </c>
      <c r="L15" t="n">
        <v>0</v>
      </c>
      <c r="M15">
        <f>K15+MIN(L15,Assumptions!$H$16)</f>
        <v/>
      </c>
      <c r="N15">
        <f>M15-Assumptions!$I$16</f>
        <v/>
      </c>
      <c r="O15">
        <f>N15-Assumptions!$B$25*Q15</f>
        <v/>
      </c>
      <c r="P15" t="n">
        <v>3</v>
      </c>
      <c r="Q15" t="n">
        <v>3.756</v>
      </c>
      <c r="R15" t="inlineStr">
        <is>
          <t>my estimate: sector view + typical vol; no price data pulled (verify quotes before drafting)</t>
        </is>
      </c>
      <c r="S15" t="inlineStr">
        <is>
          <t>2026-10-08</t>
        </is>
      </c>
      <c r="T15" s="9" t="inlineStr">
        <is>
          <t>C</t>
        </is>
      </c>
      <c r="U15" t="inlineStr">
        <is>
          <t>[v2: flattened — pure luck, everyone equal]</t>
        </is>
      </c>
      <c r="Y15">
        <f>N15-IF(T15="C",Assumptions!$B$27,IF(T15="B",Assumptions!$B$26,0))</f>
        <v/>
      </c>
    </row>
    <row r="16">
      <c r="A16" s="19" t="inlineStr">
        <is>
          <t>MSTR (Short)</t>
        </is>
      </c>
      <c r="B16" t="inlineStr">
        <is>
          <t>huge variance both ways</t>
        </is>
      </c>
      <c r="D16" t="inlineStr">
        <is>
          <t>Short</t>
        </is>
      </c>
      <c r="I16" t="n">
        <v>14</v>
      </c>
      <c r="J16" t="n">
        <v>60</v>
      </c>
      <c r="K16" t="n">
        <v>6.995</v>
      </c>
      <c r="L16" t="n">
        <v>0</v>
      </c>
      <c r="M16">
        <f>K16+MIN(L16,Assumptions!$H$16)</f>
        <v/>
      </c>
      <c r="N16">
        <f>M16-Assumptions!$I$16</f>
        <v/>
      </c>
      <c r="O16">
        <f>N16-Assumptions!$B$25*Q16</f>
        <v/>
      </c>
      <c r="P16" t="n">
        <v>3</v>
      </c>
      <c r="Q16" t="n">
        <v>3.74</v>
      </c>
      <c r="R16" t="inlineStr">
        <is>
          <t>my estimate: sector view + typical vol; no price data pulled (verify quotes before drafting)</t>
        </is>
      </c>
      <c r="S16" t="inlineStr">
        <is>
          <t>2026-10-08</t>
        </is>
      </c>
      <c r="T16" s="9" t="inlineStr">
        <is>
          <t>C</t>
        </is>
      </c>
      <c r="U16" t="inlineStr">
        <is>
          <t>[v2: flattened — pure luck, everyone equal]</t>
        </is>
      </c>
      <c r="Y16">
        <f>N16-IF(T16="C",Assumptions!$B$27,IF(T16="B",Assumptions!$B$26,0))</f>
        <v/>
      </c>
    </row>
    <row r="17">
      <c r="A17" s="19" t="inlineStr">
        <is>
          <t>CRWV (Long)</t>
        </is>
      </c>
      <c r="B17" t="inlineStr">
        <is>
          <t>neocloud; leverage</t>
        </is>
      </c>
      <c r="D17" t="inlineStr">
        <is>
          <t>Long</t>
        </is>
      </c>
      <c r="I17" t="n">
        <v>14</v>
      </c>
      <c r="J17" t="n">
        <v>60</v>
      </c>
      <c r="K17" t="n">
        <v>6.995</v>
      </c>
      <c r="L17" t="n">
        <v>0</v>
      </c>
      <c r="M17">
        <f>K17+MIN(L17,Assumptions!$H$16)</f>
        <v/>
      </c>
      <c r="N17">
        <f>M17-Assumptions!$I$16</f>
        <v/>
      </c>
      <c r="O17">
        <f>N17-Assumptions!$B$25*Q17</f>
        <v/>
      </c>
      <c r="P17" t="n">
        <v>3</v>
      </c>
      <c r="Q17" t="n">
        <v>3.722</v>
      </c>
      <c r="R17" t="inlineStr">
        <is>
          <t>my estimate: sector view + typical vol; no price data pulled (verify quotes before drafting)</t>
        </is>
      </c>
      <c r="S17" t="inlineStr">
        <is>
          <t>2026-10-08</t>
        </is>
      </c>
      <c r="T17" s="9" t="inlineStr">
        <is>
          <t>C</t>
        </is>
      </c>
      <c r="U17" t="inlineStr">
        <is>
          <t>[v2: flattened — pure luck, everyone equal]</t>
        </is>
      </c>
      <c r="Y17">
        <f>N17-IF(T17="C",Assumptions!$B$27,IF(T17="B",Assumptions!$B$26,0))</f>
        <v/>
      </c>
    </row>
    <row r="18">
      <c r="A18" t="inlineStr">
        <is>
          <t>CVNA (Short)</t>
        </is>
      </c>
      <c r="B18" t="inlineStr">
        <is>
          <t>owned; no price data pulled</t>
        </is>
      </c>
      <c r="D18" t="inlineStr">
        <is>
          <t>Short</t>
        </is>
      </c>
      <c r="I18" t="n">
        <v>14</v>
      </c>
      <c r="J18" t="n">
        <v>60</v>
      </c>
      <c r="K18" t="n">
        <v>6.991</v>
      </c>
      <c r="L18" t="n">
        <v>0</v>
      </c>
      <c r="M18">
        <f>K18+MIN(L18,Assumptions!$H$16)</f>
        <v/>
      </c>
      <c r="N18">
        <f>M18-Assumptions!$I$16</f>
        <v/>
      </c>
      <c r="O18">
        <f>N18-Assumptions!$B$25*Q18</f>
        <v/>
      </c>
      <c r="P18" t="n">
        <v>4</v>
      </c>
      <c r="Q18" t="n">
        <v>3.726</v>
      </c>
      <c r="R18" t="inlineStr">
        <is>
          <t>added because a league member currently owns this pick (draft_picks_2026.py); not in the first-pass pool, so figures are placeholders (conf C)</t>
        </is>
      </c>
      <c r="S18" t="inlineStr">
        <is>
          <t>2026-10-08</t>
        </is>
      </c>
      <c r="T18" s="9" t="inlineStr">
        <is>
          <t>C</t>
        </is>
      </c>
      <c r="U18" t="inlineStr">
        <is>
          <t>[v2: flattened — pure luck, everyone equal]</t>
        </is>
      </c>
      <c r="X18" s="16" t="inlineStr">
        <is>
          <t>Mitchell</t>
        </is>
      </c>
      <c r="Y18">
        <f>N18-IF(T18="C",Assumptions!$B$27,IF(T18="B",Assumptions!$B$26,0))</f>
        <v/>
      </c>
    </row>
    <row r="19">
      <c r="A19" t="inlineStr">
        <is>
          <t>LULU (Long)</t>
        </is>
      </c>
      <c r="B19" t="inlineStr">
        <is>
          <t>owned; no price data pulled</t>
        </is>
      </c>
      <c r="D19" t="inlineStr">
        <is>
          <t>Long</t>
        </is>
      </c>
      <c r="I19" t="n">
        <v>14</v>
      </c>
      <c r="J19" t="n">
        <v>60</v>
      </c>
      <c r="K19" t="n">
        <v>6.989</v>
      </c>
      <c r="L19" t="n">
        <v>0</v>
      </c>
      <c r="M19">
        <f>K19+MIN(L19,Assumptions!$H$16)</f>
        <v/>
      </c>
      <c r="N19">
        <f>M19-Assumptions!$I$16</f>
        <v/>
      </c>
      <c r="O19">
        <f>N19-Assumptions!$B$25*Q19</f>
        <v/>
      </c>
      <c r="P19" t="n">
        <v>4</v>
      </c>
      <c r="Q19" t="n">
        <v>3.738</v>
      </c>
      <c r="R19" t="inlineStr">
        <is>
          <t>added because a league member currently owns this pick (draft_picks_2026.py); not in the first-pass pool, so figures are placeholders (conf C)</t>
        </is>
      </c>
      <c r="S19" t="inlineStr">
        <is>
          <t>2026-10-08</t>
        </is>
      </c>
      <c r="T19" s="9" t="inlineStr">
        <is>
          <t>C</t>
        </is>
      </c>
      <c r="U19" t="inlineStr">
        <is>
          <t>[v2: flattened — pure luck, everyone equal]</t>
        </is>
      </c>
      <c r="X19" s="16" t="inlineStr">
        <is>
          <t>Wu</t>
        </is>
      </c>
      <c r="Y19">
        <f>N19-IF(T19="C",Assumptions!$B$27,IF(T19="B",Assumptions!$B$26,0))</f>
        <v/>
      </c>
    </row>
    <row r="20">
      <c r="A20" t="inlineStr">
        <is>
          <t>PLTR (Short)</t>
        </is>
      </c>
      <c r="B20" t="inlineStr">
        <is>
          <t>valuation short; painful if momentum persists</t>
        </is>
      </c>
      <c r="D20" t="inlineStr">
        <is>
          <t>Short</t>
        </is>
      </c>
      <c r="I20" t="n">
        <v>14</v>
      </c>
      <c r="J20" t="n">
        <v>60</v>
      </c>
      <c r="K20" t="n">
        <v>6.987</v>
      </c>
      <c r="L20" t="n">
        <v>0</v>
      </c>
      <c r="M20">
        <f>K20+MIN(L20,Assumptions!$H$16)</f>
        <v/>
      </c>
      <c r="N20">
        <f>M20-Assumptions!$I$16</f>
        <v/>
      </c>
      <c r="O20">
        <f>N20-Assumptions!$B$25*Q20</f>
        <v/>
      </c>
      <c r="P20" t="n">
        <v>4</v>
      </c>
      <c r="Q20" t="n">
        <v>3.714</v>
      </c>
      <c r="R20" t="inlineStr">
        <is>
          <t>my estimate: sector view + typical vol; no price data pulled (verify quotes before drafting)</t>
        </is>
      </c>
      <c r="S20" t="inlineStr">
        <is>
          <t>2026-10-08</t>
        </is>
      </c>
      <c r="T20" s="9" t="inlineStr">
        <is>
          <t>C</t>
        </is>
      </c>
      <c r="U20" t="inlineStr">
        <is>
          <t>[v2: flattened — pure luck, everyone equal]</t>
        </is>
      </c>
      <c r="Y20">
        <f>N20-IF(T20="C",Assumptions!$B$27,IF(T20="B",Assumptions!$B$26,0))</f>
        <v/>
      </c>
    </row>
    <row r="21">
      <c r="A21" t="inlineStr">
        <is>
          <t>OKLO (Long)</t>
        </is>
      </c>
      <c r="B21" t="inlineStr">
        <is>
          <t>nuclear/AI power milestones</t>
        </is>
      </c>
      <c r="D21" t="inlineStr">
        <is>
          <t>Long</t>
        </is>
      </c>
      <c r="I21" t="n">
        <v>14</v>
      </c>
      <c r="J21" t="n">
        <v>60</v>
      </c>
      <c r="K21" t="n">
        <v>6.987</v>
      </c>
      <c r="L21" t="n">
        <v>0</v>
      </c>
      <c r="M21">
        <f>K21+MIN(L21,Assumptions!$H$16)</f>
        <v/>
      </c>
      <c r="N21">
        <f>M21-Assumptions!$I$16</f>
        <v/>
      </c>
      <c r="O21">
        <f>N21-Assumptions!$B$25*Q21</f>
        <v/>
      </c>
      <c r="P21" t="n">
        <v>4</v>
      </c>
      <c r="Q21" t="n">
        <v>3.715</v>
      </c>
      <c r="R21" t="inlineStr">
        <is>
          <t>my estimate: sector view + typical vol; no price data pulled (verify quotes before drafting)</t>
        </is>
      </c>
      <c r="S21" t="inlineStr">
        <is>
          <t>2026-10-08</t>
        </is>
      </c>
      <c r="T21" s="9" t="inlineStr">
        <is>
          <t>C</t>
        </is>
      </c>
      <c r="U21" t="inlineStr">
        <is>
          <t>[v2: flattened — pure luck, everyone equal]</t>
        </is>
      </c>
      <c r="Y21">
        <f>N21-IF(T21="C",Assumptions!$B$27,IF(T21="B",Assumptions!$B$26,0))</f>
        <v/>
      </c>
    </row>
    <row r="22">
      <c r="A22" t="inlineStr">
        <is>
          <t>NVDA (Long)</t>
        </is>
      </c>
      <c r="B22" t="inlineStr">
        <is>
          <t>mega-cap AI; ~$221 (Sep 1); beta ~1.7</t>
        </is>
      </c>
      <c r="D22" t="inlineStr">
        <is>
          <t>Long</t>
        </is>
      </c>
      <c r="I22" t="n">
        <v>14</v>
      </c>
      <c r="J22" t="n">
        <v>60</v>
      </c>
      <c r="K22" t="n">
        <v>6.983</v>
      </c>
      <c r="L22" t="n">
        <v>0</v>
      </c>
      <c r="M22">
        <f>K22+MIN(L22,Assumptions!$H$16)</f>
        <v/>
      </c>
      <c r="N22">
        <f>M22-Assumptions!$I$16</f>
        <v/>
      </c>
      <c r="O22">
        <f>N22-Assumptions!$B$25*Q22</f>
        <v/>
      </c>
      <c r="P22" t="n">
        <v>4</v>
      </c>
      <c r="Q22" t="n">
        <v>3.752</v>
      </c>
      <c r="R22" t="inlineStr">
        <is>
          <t>my estimate: sector view + typical vol; no price data pulled (verify quotes before drafting)</t>
        </is>
      </c>
      <c r="S22" t="inlineStr">
        <is>
          <t>2026-10-08</t>
        </is>
      </c>
      <c r="T22" s="9" t="inlineStr">
        <is>
          <t>C</t>
        </is>
      </c>
      <c r="U22" t="inlineStr">
        <is>
          <t>consensus target $300-345; Q4 FY27 earnings Feb [v2: flattened — pure luck, everyone equal]</t>
        </is>
      </c>
      <c r="X22" s="16" t="inlineStr">
        <is>
          <t>Todd</t>
        </is>
      </c>
      <c r="Y22">
        <f>N22-IF(T22="C",Assumptions!$B$27,IF(T22="B",Assumptions!$B$26,0))</f>
        <v/>
      </c>
    </row>
    <row r="23">
      <c r="A23" t="inlineStr">
        <is>
          <t>CMG (Long)</t>
        </is>
      </c>
      <c r="B23" t="inlineStr">
        <is>
          <t>owned; no price data pulled</t>
        </is>
      </c>
      <c r="D23" t="inlineStr">
        <is>
          <t>Long</t>
        </is>
      </c>
      <c r="I23" t="n">
        <v>14</v>
      </c>
      <c r="J23" t="n">
        <v>60</v>
      </c>
      <c r="K23" t="n">
        <v>6.98</v>
      </c>
      <c r="L23" t="n">
        <v>0</v>
      </c>
      <c r="M23">
        <f>K23+MIN(L23,Assumptions!$H$16)</f>
        <v/>
      </c>
      <c r="N23">
        <f>M23-Assumptions!$I$16</f>
        <v/>
      </c>
      <c r="O23">
        <f>N23-Assumptions!$B$25*Q23</f>
        <v/>
      </c>
      <c r="P23" t="n">
        <v>4</v>
      </c>
      <c r="Q23" t="n">
        <v>3.748</v>
      </c>
      <c r="R23" t="inlineStr">
        <is>
          <t>added because a league member currently owns this pick (draft_picks_2026.py); not in the first-pass pool, so figures are placeholders (conf C)</t>
        </is>
      </c>
      <c r="S23" t="inlineStr">
        <is>
          <t>2026-10-08</t>
        </is>
      </c>
      <c r="T23" s="9" t="inlineStr">
        <is>
          <t>C</t>
        </is>
      </c>
      <c r="U23" t="inlineStr">
        <is>
          <t>[v2: flattened — pure luck, everyone equal]</t>
        </is>
      </c>
      <c r="X23" s="16" t="inlineStr">
        <is>
          <t>Theo</t>
        </is>
      </c>
      <c r="Y23">
        <f>N23-IF(T23="C",Assumptions!$B$27,IF(T23="B",Assumptions!$B$26,0))</f>
        <v/>
      </c>
    </row>
    <row r="24">
      <c r="A24" t="inlineStr">
        <is>
          <t>CRCL (Long)</t>
        </is>
      </c>
      <c r="B24" t="inlineStr">
        <is>
          <t>stablecoin; rate-cut sensitivity</t>
        </is>
      </c>
      <c r="D24" t="inlineStr">
        <is>
          <t>Long</t>
        </is>
      </c>
      <c r="I24" t="n">
        <v>14</v>
      </c>
      <c r="J24" t="n">
        <v>60</v>
      </c>
      <c r="K24" t="n">
        <v>6.976</v>
      </c>
      <c r="L24" t="n">
        <v>0</v>
      </c>
      <c r="M24">
        <f>K24+MIN(L24,Assumptions!$H$16)</f>
        <v/>
      </c>
      <c r="N24">
        <f>M24-Assumptions!$I$16</f>
        <v/>
      </c>
      <c r="O24">
        <f>N24-Assumptions!$B$25*Q24</f>
        <v/>
      </c>
      <c r="P24" t="n">
        <v>4</v>
      </c>
      <c r="Q24" t="n">
        <v>3.756</v>
      </c>
      <c r="R24" t="inlineStr">
        <is>
          <t>my estimate: sector view + typical vol; no price data pulled (verify quotes before drafting)</t>
        </is>
      </c>
      <c r="S24" t="inlineStr">
        <is>
          <t>2026-10-08</t>
        </is>
      </c>
      <c r="T24" s="9" t="inlineStr">
        <is>
          <t>C</t>
        </is>
      </c>
      <c r="U24" t="inlineStr">
        <is>
          <t>[v2: flattened — pure luck, everyone equal]</t>
        </is>
      </c>
      <c r="Y24">
        <f>N24-IF(T24="C",Assumptions!$B$27,IF(T24="B",Assumptions!$B$26,0))</f>
        <v/>
      </c>
    </row>
    <row r="25">
      <c r="A25" t="inlineStr">
        <is>
          <t>UNH (Long)</t>
        </is>
      </c>
      <c r="B25" t="inlineStr">
        <is>
          <t>turnaround</t>
        </is>
      </c>
      <c r="D25" t="inlineStr">
        <is>
          <t>Long</t>
        </is>
      </c>
      <c r="I25" t="n">
        <v>14</v>
      </c>
      <c r="J25" t="n">
        <v>60</v>
      </c>
      <c r="K25" t="n">
        <v>6.97</v>
      </c>
      <c r="L25" t="n">
        <v>0</v>
      </c>
      <c r="M25">
        <f>K25+MIN(L25,Assumptions!$H$16)</f>
        <v/>
      </c>
      <c r="N25">
        <f>M25-Assumptions!$I$16</f>
        <v/>
      </c>
      <c r="O25">
        <f>N25-Assumptions!$B$25*Q25</f>
        <v/>
      </c>
      <c r="P25" t="n">
        <v>4</v>
      </c>
      <c r="Q25" t="n">
        <v>3.768</v>
      </c>
      <c r="R25" t="inlineStr">
        <is>
          <t>my estimate: sector view + typical vol; no price data pulled (verify quotes before drafting)</t>
        </is>
      </c>
      <c r="S25" t="inlineStr">
        <is>
          <t>2026-10-08</t>
        </is>
      </c>
      <c r="T25" s="9" t="inlineStr">
        <is>
          <t>C</t>
        </is>
      </c>
      <c r="U25" t="inlineStr">
        <is>
          <t>[v2: flattened — pure luck, everyone equal]</t>
        </is>
      </c>
      <c r="Y25">
        <f>N25-IF(T25="C",Assumptions!$B$27,IF(T25="B",Assumptions!$B$26,0))</f>
        <v/>
      </c>
    </row>
    <row r="26">
      <c r="A26" t="inlineStr">
        <is>
          <t>INTC (Long)</t>
        </is>
      </c>
      <c r="B26" t="inlineStr">
        <is>
          <t>foundry / 14A news; +187% in 2026 already</t>
        </is>
      </c>
      <c r="D26" t="inlineStr">
        <is>
          <t>Long</t>
        </is>
      </c>
      <c r="I26" t="n">
        <v>14</v>
      </c>
      <c r="J26" t="n">
        <v>60</v>
      </c>
      <c r="K26" t="n">
        <v>6.963</v>
      </c>
      <c r="L26" t="n">
        <v>0</v>
      </c>
      <c r="M26">
        <f>K26+MIN(L26,Assumptions!$H$16)</f>
        <v/>
      </c>
      <c r="N26">
        <f>M26-Assumptions!$I$16</f>
        <v/>
      </c>
      <c r="O26">
        <f>N26-Assumptions!$B$25*Q26</f>
        <v/>
      </c>
      <c r="P26" t="n">
        <v>4</v>
      </c>
      <c r="Q26" t="n">
        <v>3.766</v>
      </c>
      <c r="R26" t="inlineStr">
        <is>
          <t>my estimate: sector view + typical vol; no price data pulled (verify quotes before drafting)</t>
        </is>
      </c>
      <c r="S26" t="inlineStr">
        <is>
          <t>2026-10-08</t>
        </is>
      </c>
      <c r="T26" s="9" t="inlineStr">
        <is>
          <t>C</t>
        </is>
      </c>
      <c r="U26" t="inlineStr">
        <is>
          <t>[v2: flattened — pure luck, everyone equal]</t>
        </is>
      </c>
      <c r="X26" s="16" t="inlineStr">
        <is>
          <t>Jamzee</t>
        </is>
      </c>
      <c r="Y26">
        <f>N26-IF(T26="C",Assumptions!$B$27,IF(T26="B",Assumptions!$B$26,0))</f>
        <v/>
      </c>
    </row>
    <row r="27">
      <c r="A27" t="inlineStr">
        <is>
          <t>PLTR (Long)</t>
        </is>
      </c>
      <c r="B27" t="inlineStr">
        <is>
          <t>momentum; valuation risk</t>
        </is>
      </c>
      <c r="D27" t="inlineStr">
        <is>
          <t>Long</t>
        </is>
      </c>
      <c r="I27" t="n">
        <v>14</v>
      </c>
      <c r="J27" t="n">
        <v>60</v>
      </c>
      <c r="K27" t="n">
        <v>6.962</v>
      </c>
      <c r="L27" t="n">
        <v>0</v>
      </c>
      <c r="M27">
        <f>K27+MIN(L27,Assumptions!$H$16)</f>
        <v/>
      </c>
      <c r="N27">
        <f>M27-Assumptions!$I$16</f>
        <v/>
      </c>
      <c r="O27">
        <f>N27-Assumptions!$B$25*Q27</f>
        <v/>
      </c>
      <c r="P27" t="n">
        <v>4</v>
      </c>
      <c r="Q27" t="n">
        <v>3.747</v>
      </c>
      <c r="R27" t="inlineStr">
        <is>
          <t>my estimate: sector view + typical vol; no price data pulled (verify quotes before drafting)</t>
        </is>
      </c>
      <c r="S27" t="inlineStr">
        <is>
          <t>2026-10-08</t>
        </is>
      </c>
      <c r="T27" s="9" t="inlineStr">
        <is>
          <t>C</t>
        </is>
      </c>
      <c r="U27" t="inlineStr">
        <is>
          <t>[v2: flattened — pure luck, everyone equal]</t>
        </is>
      </c>
      <c r="X27" s="16" t="inlineStr">
        <is>
          <t>Feder</t>
        </is>
      </c>
      <c r="Y27">
        <f>N27-IF(T27="C",Assumptions!$B$27,IF(T27="B",Assumptions!$B$26,0))</f>
        <v/>
      </c>
    </row>
    <row r="28">
      <c r="A28" t="inlineStr">
        <is>
          <t>MU (Long)</t>
        </is>
      </c>
      <c r="B28" t="inlineStr">
        <is>
          <t>HBM4; memory-cycle peak risk</t>
        </is>
      </c>
      <c r="D28" t="inlineStr">
        <is>
          <t>Long</t>
        </is>
      </c>
      <c r="I28" t="n">
        <v>14</v>
      </c>
      <c r="J28" t="n">
        <v>60</v>
      </c>
      <c r="K28" t="n">
        <v>6.95</v>
      </c>
      <c r="L28" t="n">
        <v>0</v>
      </c>
      <c r="M28">
        <f>K28+MIN(L28,Assumptions!$H$16)</f>
        <v/>
      </c>
      <c r="N28">
        <f>M28-Assumptions!$I$16</f>
        <v/>
      </c>
      <c r="O28">
        <f>N28-Assumptions!$B$25*Q28</f>
        <v/>
      </c>
      <c r="P28" t="n">
        <v>4</v>
      </c>
      <c r="Q28" t="n">
        <v>3.719</v>
      </c>
      <c r="R28" t="inlineStr">
        <is>
          <t>my estimate: sector view + typical vol; no price data pulled (verify quotes before drafting)</t>
        </is>
      </c>
      <c r="S28" t="inlineStr">
        <is>
          <t>2026-10-08</t>
        </is>
      </c>
      <c r="T28" s="9" t="inlineStr">
        <is>
          <t>C</t>
        </is>
      </c>
      <c r="U28" t="inlineStr">
        <is>
          <t>[v2: flattened — pure luck, everyone equal]</t>
        </is>
      </c>
      <c r="Y28">
        <f>N28-IF(T28="C",Assumptions!$B$27,IF(T28="B",Assumptions!$B$26,0))</f>
        <v/>
      </c>
    </row>
    <row r="29">
      <c r="A29" t="inlineStr">
        <is>
          <t>AVGO (Long)</t>
        </is>
      </c>
      <c r="B29" t="inlineStr">
        <is>
          <t>custom ASIC demand</t>
        </is>
      </c>
      <c r="D29" t="inlineStr">
        <is>
          <t>Long</t>
        </is>
      </c>
      <c r="I29" t="n">
        <v>14</v>
      </c>
      <c r="J29" t="n">
        <v>60</v>
      </c>
      <c r="K29" t="n">
        <v>6.931</v>
      </c>
      <c r="L29" t="n">
        <v>0</v>
      </c>
      <c r="M29">
        <f>K29+MIN(L29,Assumptions!$H$16)</f>
        <v/>
      </c>
      <c r="N29">
        <f>M29-Assumptions!$I$16</f>
        <v/>
      </c>
      <c r="O29">
        <f>N29-Assumptions!$B$25*Q29</f>
        <v/>
      </c>
      <c r="P29" t="n">
        <v>4</v>
      </c>
      <c r="Q29" t="n">
        <v>3.746</v>
      </c>
      <c r="R29" t="inlineStr">
        <is>
          <t>my estimate: sector view + typical vol; no price data pulled (verify quotes before drafting)</t>
        </is>
      </c>
      <c r="S29" t="inlineStr">
        <is>
          <t>2026-10-08</t>
        </is>
      </c>
      <c r="T29" s="9" t="inlineStr">
        <is>
          <t>C</t>
        </is>
      </c>
      <c r="U29" t="inlineStr">
        <is>
          <t>[v2: flattened — pure luck, everyone equal]</t>
        </is>
      </c>
      <c r="X29" s="16" t="inlineStr">
        <is>
          <t>Fryar</t>
        </is>
      </c>
      <c r="Y29">
        <f>N29-IF(T29="C",Assumptions!$B$27,IF(T29="B",Assumptions!$B$26,0))</f>
        <v/>
      </c>
    </row>
    <row r="30">
      <c r="A30" t="inlineStr">
        <is>
          <t>NEE (Long)</t>
        </is>
      </c>
      <c r="B30" t="inlineStr">
        <is>
          <t>owned; no price data pulled</t>
        </is>
      </c>
      <c r="D30" t="inlineStr">
        <is>
          <t>Long</t>
        </is>
      </c>
      <c r="I30" t="n">
        <v>14</v>
      </c>
      <c r="J30" t="n">
        <v>60</v>
      </c>
      <c r="K30" t="n">
        <v>6.918</v>
      </c>
      <c r="L30" t="n">
        <v>0</v>
      </c>
      <c r="M30">
        <f>K30+MIN(L30,Assumptions!$H$16)</f>
        <v/>
      </c>
      <c r="N30">
        <f>M30-Assumptions!$I$16</f>
        <v/>
      </c>
      <c r="O30">
        <f>N30-Assumptions!$B$25*Q30</f>
        <v/>
      </c>
      <c r="P30" t="n">
        <v>4</v>
      </c>
      <c r="Q30" t="n">
        <v>3.723</v>
      </c>
      <c r="R30" t="inlineStr">
        <is>
          <t>added because a league member currently owns this pick (draft_picks_2026.py); not in the first-pass pool, so figures are placeholders (conf C)</t>
        </is>
      </c>
      <c r="S30" t="inlineStr">
        <is>
          <t>2026-10-08</t>
        </is>
      </c>
      <c r="T30" s="9" t="inlineStr">
        <is>
          <t>C</t>
        </is>
      </c>
      <c r="U30" t="inlineStr">
        <is>
          <t>[v2: flattened — pure luck, everyone equal]</t>
        </is>
      </c>
      <c r="X30" s="16" t="inlineStr">
        <is>
          <t>Buckley</t>
        </is>
      </c>
      <c r="Y30">
        <f>N30-IF(T30="C",Assumptions!$B$27,IF(T30="B",Assumptions!$B$26,0))</f>
        <v/>
      </c>
    </row>
    <row r="32">
      <c r="A32" s="8" t="inlineStr">
        <is>
          <t>Replacement-level EV (Nth best)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590"/>
  <sheetViews>
    <sheetView workbookViewId="0">
      <selection activeCell="A1" sqref="A1"/>
    </sheetView>
  </sheetViews>
  <sheetFormatPr baseColWidth="8" defaultRowHeight="15"/>
  <cols>
    <col width="10" customWidth="1" min="1" max="1"/>
    <col width="12" customWidth="1" min="2" max="2"/>
    <col width="32" customWidth="1" min="3" max="3"/>
    <col width="80" customWidth="1" min="4" max="4"/>
  </cols>
  <sheetData>
    <row r="1">
      <c r="A1" s="2" t="inlineStr">
        <is>
          <t>Severity</t>
        </is>
      </c>
      <c r="B1" s="2" t="inlineStr">
        <is>
          <t>Category</t>
        </is>
      </c>
      <c r="C1" s="2" t="inlineStr">
        <is>
          <t>Candidate</t>
        </is>
      </c>
      <c r="D1" s="2" t="inlineStr">
        <is>
          <t>Issue</t>
        </is>
      </c>
    </row>
    <row r="2">
      <c r="A2" t="inlineStr">
        <is>
          <t>WARN</t>
        </is>
      </c>
      <c r="B2" t="inlineStr">
        <is>
          <t>NFL</t>
        </is>
      </c>
      <c r="C2" t="inlineStr">
        <is>
          <t>San Francisco 49ers</t>
        </is>
      </c>
      <c r="D2" t="inlineStr">
        <is>
          <t>stale: 14 days old</t>
        </is>
      </c>
    </row>
    <row r="3">
      <c r="A3" t="inlineStr">
        <is>
          <t>WARN</t>
        </is>
      </c>
      <c r="B3" t="inlineStr">
        <is>
          <t>NFL</t>
        </is>
      </c>
      <c r="C3" t="inlineStr">
        <is>
          <t>Kansas City Chiefs</t>
        </is>
      </c>
      <c r="D3" t="inlineStr">
        <is>
          <t>stale: 14 days old</t>
        </is>
      </c>
    </row>
    <row r="4">
      <c r="A4" t="inlineStr">
        <is>
          <t>WARN</t>
        </is>
      </c>
      <c r="B4" t="inlineStr">
        <is>
          <t>NFL</t>
        </is>
      </c>
      <c r="C4" t="inlineStr">
        <is>
          <t>Buffalo Bills</t>
        </is>
      </c>
      <c r="D4" t="inlineStr">
        <is>
          <t>stale: 14 days old</t>
        </is>
      </c>
    </row>
    <row r="5">
      <c r="A5" t="inlineStr">
        <is>
          <t>WARN</t>
        </is>
      </c>
      <c r="B5" t="inlineStr">
        <is>
          <t>NFL</t>
        </is>
      </c>
      <c r="C5" t="inlineStr">
        <is>
          <t>Minnesota Vikings</t>
        </is>
      </c>
      <c r="D5" t="inlineStr">
        <is>
          <t>stale: 14 days old</t>
        </is>
      </c>
    </row>
    <row r="6">
      <c r="A6" t="inlineStr">
        <is>
          <t>WARN</t>
        </is>
      </c>
      <c r="B6" t="inlineStr">
        <is>
          <t>NFL</t>
        </is>
      </c>
      <c r="C6" t="inlineStr">
        <is>
          <t>Baltimore Ravens</t>
        </is>
      </c>
      <c r="D6" t="inlineStr">
        <is>
          <t>stale: 14 days old</t>
        </is>
      </c>
    </row>
    <row r="7">
      <c r="A7" t="inlineStr">
        <is>
          <t>WARN</t>
        </is>
      </c>
      <c r="B7" t="inlineStr">
        <is>
          <t>NFL</t>
        </is>
      </c>
      <c r="C7" t="inlineStr">
        <is>
          <t>Jacksonville Jaguars</t>
        </is>
      </c>
      <c r="D7" t="inlineStr">
        <is>
          <t>stale: 14 days old</t>
        </is>
      </c>
    </row>
    <row r="8">
      <c r="A8" t="inlineStr">
        <is>
          <t>WARN</t>
        </is>
      </c>
      <c r="B8" t="inlineStr">
        <is>
          <t>NFL</t>
        </is>
      </c>
      <c r="C8" t="inlineStr">
        <is>
          <t>Chicago Bears</t>
        </is>
      </c>
      <c r="D8" t="inlineStr">
        <is>
          <t>stale: 14 days old</t>
        </is>
      </c>
    </row>
    <row r="9">
      <c r="A9" t="inlineStr">
        <is>
          <t>WARN</t>
        </is>
      </c>
      <c r="B9" t="inlineStr">
        <is>
          <t>NFL</t>
        </is>
      </c>
      <c r="C9" t="inlineStr">
        <is>
          <t>Denver Broncos</t>
        </is>
      </c>
      <c r="D9" t="inlineStr">
        <is>
          <t>stale: 14 days old</t>
        </is>
      </c>
    </row>
    <row r="10">
      <c r="A10" t="inlineStr">
        <is>
          <t>WARN</t>
        </is>
      </c>
      <c r="B10" t="inlineStr">
        <is>
          <t>NFL</t>
        </is>
      </c>
      <c r="C10" t="inlineStr">
        <is>
          <t>New England Patriots</t>
        </is>
      </c>
      <c r="D10" t="inlineStr">
        <is>
          <t>stale: 14 days old</t>
        </is>
      </c>
    </row>
    <row r="11">
      <c r="A11" t="inlineStr">
        <is>
          <t>WARN</t>
        </is>
      </c>
      <c r="B11" t="inlineStr">
        <is>
          <t>NFL</t>
        </is>
      </c>
      <c r="C11" t="inlineStr">
        <is>
          <t>Cincinnati Bengals</t>
        </is>
      </c>
      <c r="D11" t="inlineStr">
        <is>
          <t>stale: 14 days old</t>
        </is>
      </c>
    </row>
    <row r="12">
      <c r="A12" t="inlineStr">
        <is>
          <t>WARN</t>
        </is>
      </c>
      <c r="B12" t="inlineStr">
        <is>
          <t>NFL</t>
        </is>
      </c>
      <c r="C12" t="inlineStr">
        <is>
          <t>Detroit Lions</t>
        </is>
      </c>
      <c r="D12" t="inlineStr">
        <is>
          <t>stale: 14 days old</t>
        </is>
      </c>
    </row>
    <row r="13">
      <c r="A13" t="inlineStr">
        <is>
          <t>WARN</t>
        </is>
      </c>
      <c r="B13" t="inlineStr">
        <is>
          <t>NFL</t>
        </is>
      </c>
      <c r="C13" t="inlineStr">
        <is>
          <t>Seattle Seahawks</t>
        </is>
      </c>
      <c r="D13" t="inlineStr">
        <is>
          <t>stale: 14 days old</t>
        </is>
      </c>
    </row>
    <row r="14">
      <c r="A14" t="inlineStr">
        <is>
          <t>WARN</t>
        </is>
      </c>
      <c r="B14" t="inlineStr">
        <is>
          <t>NFL</t>
        </is>
      </c>
      <c r="C14" t="inlineStr">
        <is>
          <t>Green Bay Packers</t>
        </is>
      </c>
      <c r="D14" t="inlineStr">
        <is>
          <t>stale: 14 days old</t>
        </is>
      </c>
    </row>
    <row r="15">
      <c r="A15" t="inlineStr">
        <is>
          <t>WARN</t>
        </is>
      </c>
      <c r="B15" t="inlineStr">
        <is>
          <t>NFL</t>
        </is>
      </c>
      <c r="C15" t="inlineStr">
        <is>
          <t>Los Angeles Rams</t>
        </is>
      </c>
      <c r="D15" t="inlineStr">
        <is>
          <t>stale: 14 days old</t>
        </is>
      </c>
    </row>
    <row r="16">
      <c r="A16" t="inlineStr">
        <is>
          <t>WARN</t>
        </is>
      </c>
      <c r="B16" t="inlineStr">
        <is>
          <t>NFL</t>
        </is>
      </c>
      <c r="C16" t="inlineStr">
        <is>
          <t>Houston Texans</t>
        </is>
      </c>
      <c r="D16" t="inlineStr">
        <is>
          <t>stale: 14 days old</t>
        </is>
      </c>
    </row>
    <row r="17">
      <c r="A17" t="inlineStr">
        <is>
          <t>WARN</t>
        </is>
      </c>
      <c r="B17" t="inlineStr">
        <is>
          <t>NFL</t>
        </is>
      </c>
      <c r="C17" t="inlineStr">
        <is>
          <t>Carolina Panthers</t>
        </is>
      </c>
      <c r="D17" t="inlineStr">
        <is>
          <t>stale: 14 days old</t>
        </is>
      </c>
    </row>
    <row r="18">
      <c r="A18" t="inlineStr">
        <is>
          <t>WARN</t>
        </is>
      </c>
      <c r="B18" t="inlineStr">
        <is>
          <t>NFL</t>
        </is>
      </c>
      <c r="C18" t="inlineStr">
        <is>
          <t>Pittsburgh Steelers</t>
        </is>
      </c>
      <c r="D18" t="inlineStr">
        <is>
          <t>stale: 14 days old</t>
        </is>
      </c>
    </row>
    <row r="19">
      <c r="A19" t="inlineStr">
        <is>
          <t>WARN</t>
        </is>
      </c>
      <c r="B19" t="inlineStr">
        <is>
          <t>NFL</t>
        </is>
      </c>
      <c r="C19" t="inlineStr">
        <is>
          <t>Dallas Cowboys</t>
        </is>
      </c>
      <c r="D19" t="inlineStr">
        <is>
          <t>stale: 14 days old</t>
        </is>
      </c>
    </row>
    <row r="20">
      <c r="A20" t="inlineStr">
        <is>
          <t>WARN</t>
        </is>
      </c>
      <c r="B20" t="inlineStr">
        <is>
          <t>NFL</t>
        </is>
      </c>
      <c r="C20" t="inlineStr">
        <is>
          <t>Cleveland Browns</t>
        </is>
      </c>
      <c r="D20" t="inlineStr">
        <is>
          <t>stale: 14 days old</t>
        </is>
      </c>
    </row>
    <row r="21">
      <c r="A21" t="inlineStr">
        <is>
          <t>WARN</t>
        </is>
      </c>
      <c r="B21" t="inlineStr">
        <is>
          <t>NFL</t>
        </is>
      </c>
      <c r="C21" t="inlineStr">
        <is>
          <t>New York Giants</t>
        </is>
      </c>
      <c r="D21" t="inlineStr">
        <is>
          <t>stale: 14 days old</t>
        </is>
      </c>
    </row>
    <row r="22">
      <c r="A22" t="inlineStr">
        <is>
          <t>WARN</t>
        </is>
      </c>
      <c r="B22" t="inlineStr">
        <is>
          <t>NFL</t>
        </is>
      </c>
      <c r="C22" t="inlineStr">
        <is>
          <t>Las Vegas Raiders</t>
        </is>
      </c>
      <c r="D22" t="inlineStr">
        <is>
          <t>stale: 14 days old</t>
        </is>
      </c>
    </row>
    <row r="23">
      <c r="A23" t="inlineStr">
        <is>
          <t>WARN</t>
        </is>
      </c>
      <c r="B23" t="inlineStr">
        <is>
          <t>NFL</t>
        </is>
      </c>
      <c r="C23" t="inlineStr">
        <is>
          <t>New Orleans Saints</t>
        </is>
      </c>
      <c r="D23" t="inlineStr">
        <is>
          <t>stale: 14 days old</t>
        </is>
      </c>
    </row>
    <row r="24">
      <c r="A24" t="inlineStr">
        <is>
          <t>WARN</t>
        </is>
      </c>
      <c r="B24" t="inlineStr">
        <is>
          <t>NFL</t>
        </is>
      </c>
      <c r="C24" t="inlineStr">
        <is>
          <t>Atlanta Falcons</t>
        </is>
      </c>
      <c r="D24" t="inlineStr">
        <is>
          <t>stale: 14 days old</t>
        </is>
      </c>
    </row>
    <row r="25">
      <c r="A25" t="inlineStr">
        <is>
          <t>WARN</t>
        </is>
      </c>
      <c r="B25" t="inlineStr">
        <is>
          <t>NFL</t>
        </is>
      </c>
      <c r="C25" t="inlineStr">
        <is>
          <t>New York Jets</t>
        </is>
      </c>
      <c r="D25" t="inlineStr">
        <is>
          <t>stale: 14 days old</t>
        </is>
      </c>
    </row>
    <row r="26">
      <c r="A26" t="inlineStr">
        <is>
          <t>WARN</t>
        </is>
      </c>
      <c r="B26" t="inlineStr">
        <is>
          <t>NFL</t>
        </is>
      </c>
      <c r="C26" t="inlineStr">
        <is>
          <t>Philadelphia Eagles</t>
        </is>
      </c>
      <c r="D26" t="inlineStr">
        <is>
          <t>stale: 14 days old</t>
        </is>
      </c>
    </row>
    <row r="27">
      <c r="A27" t="inlineStr">
        <is>
          <t>WARN</t>
        </is>
      </c>
      <c r="B27" t="inlineStr">
        <is>
          <t>NFL</t>
        </is>
      </c>
      <c r="C27" t="inlineStr">
        <is>
          <t>Indianapolis Colts</t>
        </is>
      </c>
      <c r="D27" t="inlineStr">
        <is>
          <t>stale: 14 days old</t>
        </is>
      </c>
    </row>
    <row r="28">
      <c r="A28" t="inlineStr">
        <is>
          <t>WARN</t>
        </is>
      </c>
      <c r="B28" t="inlineStr">
        <is>
          <t>NFL</t>
        </is>
      </c>
      <c r="C28" t="inlineStr">
        <is>
          <t>Washington Commanders</t>
        </is>
      </c>
      <c r="D28" t="inlineStr">
        <is>
          <t>stale: 14 days old</t>
        </is>
      </c>
    </row>
    <row r="29">
      <c r="A29" t="inlineStr">
        <is>
          <t>WARN</t>
        </is>
      </c>
      <c r="B29" t="inlineStr">
        <is>
          <t>NFL</t>
        </is>
      </c>
      <c r="C29" t="inlineStr">
        <is>
          <t>Tampa Bay Buccaneers</t>
        </is>
      </c>
      <c r="D29" t="inlineStr">
        <is>
          <t>stale: 14 days old</t>
        </is>
      </c>
    </row>
    <row r="30">
      <c r="A30" t="inlineStr">
        <is>
          <t>WARN</t>
        </is>
      </c>
      <c r="B30" t="inlineStr">
        <is>
          <t>NFL</t>
        </is>
      </c>
      <c r="C30" t="inlineStr">
        <is>
          <t>Arizona Cardinals</t>
        </is>
      </c>
      <c r="D30" t="inlineStr">
        <is>
          <t>stale: 14 days old</t>
        </is>
      </c>
    </row>
    <row r="31">
      <c r="A31" t="inlineStr">
        <is>
          <t>WARN</t>
        </is>
      </c>
      <c r="B31" t="inlineStr">
        <is>
          <t>NFL</t>
        </is>
      </c>
      <c r="C31" t="inlineStr">
        <is>
          <t>Miami Dolphins</t>
        </is>
      </c>
      <c r="D31" t="inlineStr">
        <is>
          <t>stale: 14 days old</t>
        </is>
      </c>
    </row>
    <row r="32">
      <c r="A32" t="inlineStr">
        <is>
          <t>WARN</t>
        </is>
      </c>
      <c r="B32" t="inlineStr">
        <is>
          <t>NFL</t>
        </is>
      </c>
      <c r="C32" t="inlineStr">
        <is>
          <t>Tennessee Titans</t>
        </is>
      </c>
      <c r="D32" t="inlineStr">
        <is>
          <t>stale: 14 days old</t>
        </is>
      </c>
    </row>
    <row r="33">
      <c r="A33" t="inlineStr">
        <is>
          <t>WARN</t>
        </is>
      </c>
      <c r="B33" t="inlineStr">
        <is>
          <t>NFL</t>
        </is>
      </c>
      <c r="C33" t="inlineStr">
        <is>
          <t>Los Angeles Chargers</t>
        </is>
      </c>
      <c r="D33" t="inlineStr">
        <is>
          <t>stale: 14 days old</t>
        </is>
      </c>
    </row>
    <row r="34">
      <c r="A34" t="inlineStr">
        <is>
          <t>WARN</t>
        </is>
      </c>
      <c r="B34" t="inlineStr">
        <is>
          <t>NBA</t>
        </is>
      </c>
      <c r="C34" t="inlineStr">
        <is>
          <t>Oklahoma City Thunder</t>
        </is>
      </c>
      <c r="D34" t="inlineStr">
        <is>
          <t>stale: 14 days old</t>
        </is>
      </c>
    </row>
    <row r="35">
      <c r="A35" t="inlineStr">
        <is>
          <t>WARN</t>
        </is>
      </c>
      <c r="B35" t="inlineStr">
        <is>
          <t>NBA</t>
        </is>
      </c>
      <c r="C35" t="inlineStr">
        <is>
          <t>San Antonio Spurs</t>
        </is>
      </c>
      <c r="D35" t="inlineStr">
        <is>
          <t>stale: 14 days old</t>
        </is>
      </c>
    </row>
    <row r="36">
      <c r="A36" t="inlineStr">
        <is>
          <t>WARN</t>
        </is>
      </c>
      <c r="B36" t="inlineStr">
        <is>
          <t>NBA</t>
        </is>
      </c>
      <c r="C36" t="inlineStr">
        <is>
          <t>Philadelphia 76ers</t>
        </is>
      </c>
      <c r="D36" t="inlineStr">
        <is>
          <t>stale: 14 days old</t>
        </is>
      </c>
    </row>
    <row r="37">
      <c r="A37" t="inlineStr">
        <is>
          <t>WARN</t>
        </is>
      </c>
      <c r="B37" t="inlineStr">
        <is>
          <t>NBA</t>
        </is>
      </c>
      <c r="C37" t="inlineStr">
        <is>
          <t>New York Knicks</t>
        </is>
      </c>
      <c r="D37" t="inlineStr">
        <is>
          <t>stale: 14 days old</t>
        </is>
      </c>
    </row>
    <row r="38">
      <c r="A38" t="inlineStr">
        <is>
          <t>WARN</t>
        </is>
      </c>
      <c r="B38" t="inlineStr">
        <is>
          <t>NBA</t>
        </is>
      </c>
      <c r="C38" t="inlineStr">
        <is>
          <t>Minnesota Timberwolves</t>
        </is>
      </c>
      <c r="D38" t="inlineStr">
        <is>
          <t>stale: 14 days old</t>
        </is>
      </c>
    </row>
    <row r="39">
      <c r="A39" t="inlineStr">
        <is>
          <t>WARN</t>
        </is>
      </c>
      <c r="B39" t="inlineStr">
        <is>
          <t>NBA</t>
        </is>
      </c>
      <c r="C39" t="inlineStr">
        <is>
          <t>Boston Celtics</t>
        </is>
      </c>
      <c r="D39" t="inlineStr">
        <is>
          <t>stale: 14 days old</t>
        </is>
      </c>
    </row>
    <row r="40">
      <c r="A40" t="inlineStr">
        <is>
          <t>WARN</t>
        </is>
      </c>
      <c r="B40" t="inlineStr">
        <is>
          <t>NBA</t>
        </is>
      </c>
      <c r="C40" t="inlineStr">
        <is>
          <t>Toronto Raptors</t>
        </is>
      </c>
      <c r="D40" t="inlineStr">
        <is>
          <t>stale: 14 days old</t>
        </is>
      </c>
    </row>
    <row r="41">
      <c r="A41" t="inlineStr">
        <is>
          <t>WARN</t>
        </is>
      </c>
      <c r="B41" t="inlineStr">
        <is>
          <t>NBA</t>
        </is>
      </c>
      <c r="C41" t="inlineStr">
        <is>
          <t>Miami Heat</t>
        </is>
      </c>
      <c r="D41" t="inlineStr">
        <is>
          <t>stale: 14 days old</t>
        </is>
      </c>
    </row>
    <row r="42">
      <c r="A42" t="inlineStr">
        <is>
          <t>WARN</t>
        </is>
      </c>
      <c r="B42" t="inlineStr">
        <is>
          <t>NBA</t>
        </is>
      </c>
      <c r="C42" t="inlineStr">
        <is>
          <t>Los Angeles Lakers</t>
        </is>
      </c>
      <c r="D42" t="inlineStr">
        <is>
          <t>stale: 14 days old</t>
        </is>
      </c>
    </row>
    <row r="43">
      <c r="A43" t="inlineStr">
        <is>
          <t>WARN</t>
        </is>
      </c>
      <c r="B43" t="inlineStr">
        <is>
          <t>NBA</t>
        </is>
      </c>
      <c r="C43" t="inlineStr">
        <is>
          <t>Detroit Pistons</t>
        </is>
      </c>
      <c r="D43" t="inlineStr">
        <is>
          <t>stale: 14 days old</t>
        </is>
      </c>
    </row>
    <row r="44">
      <c r="A44" t="inlineStr">
        <is>
          <t>WARN</t>
        </is>
      </c>
      <c r="B44" t="inlineStr">
        <is>
          <t>NBA</t>
        </is>
      </c>
      <c r="C44" t="inlineStr">
        <is>
          <t>Denver Nuggets</t>
        </is>
      </c>
      <c r="D44" t="inlineStr">
        <is>
          <t>stale: 14 days old</t>
        </is>
      </c>
    </row>
    <row r="45">
      <c r="A45" t="inlineStr">
        <is>
          <t>WARN</t>
        </is>
      </c>
      <c r="B45" t="inlineStr">
        <is>
          <t>NBA</t>
        </is>
      </c>
      <c r="C45" t="inlineStr">
        <is>
          <t>Houston Rockets</t>
        </is>
      </c>
      <c r="D45" t="inlineStr">
        <is>
          <t>stale: 14 days old</t>
        </is>
      </c>
    </row>
    <row r="46">
      <c r="A46" t="inlineStr">
        <is>
          <t>WARN</t>
        </is>
      </c>
      <c r="B46" t="inlineStr">
        <is>
          <t>NBA</t>
        </is>
      </c>
      <c r="C46" t="inlineStr">
        <is>
          <t>Indiana Pacers</t>
        </is>
      </c>
      <c r="D46" t="inlineStr">
        <is>
          <t>stale: 14 days old</t>
        </is>
      </c>
    </row>
    <row r="47">
      <c r="A47" t="inlineStr">
        <is>
          <t>WARN</t>
        </is>
      </c>
      <c r="B47" t="inlineStr">
        <is>
          <t>NBA</t>
        </is>
      </c>
      <c r="C47" t="inlineStr">
        <is>
          <t>Cleveland Cavaliers</t>
        </is>
      </c>
      <c r="D47" t="inlineStr">
        <is>
          <t>stale: 14 days old</t>
        </is>
      </c>
    </row>
    <row r="48">
      <c r="A48" t="inlineStr">
        <is>
          <t>WARN</t>
        </is>
      </c>
      <c r="B48" t="inlineStr">
        <is>
          <t>NBA</t>
        </is>
      </c>
      <c r="C48" t="inlineStr">
        <is>
          <t>Portland Trail Blazers</t>
        </is>
      </c>
      <c r="D48" t="inlineStr">
        <is>
          <t>stale: 14 days old</t>
        </is>
      </c>
    </row>
    <row r="49">
      <c r="A49" t="inlineStr">
        <is>
          <t>WARN</t>
        </is>
      </c>
      <c r="B49" t="inlineStr">
        <is>
          <t>NBA</t>
        </is>
      </c>
      <c r="C49" t="inlineStr">
        <is>
          <t>Atlanta Hawks</t>
        </is>
      </c>
      <c r="D49" t="inlineStr">
        <is>
          <t>stale: 14 days old</t>
        </is>
      </c>
    </row>
    <row r="50">
      <c r="A50" t="inlineStr">
        <is>
          <t>WARN</t>
        </is>
      </c>
      <c r="B50" t="inlineStr">
        <is>
          <t>NBA</t>
        </is>
      </c>
      <c r="C50" t="inlineStr">
        <is>
          <t>Phoenix Suns</t>
        </is>
      </c>
      <c r="D50" t="inlineStr">
        <is>
          <t>stale: 14 days old</t>
        </is>
      </c>
    </row>
    <row r="51">
      <c r="A51" t="inlineStr">
        <is>
          <t>WARN</t>
        </is>
      </c>
      <c r="B51" t="inlineStr">
        <is>
          <t>NBA</t>
        </is>
      </c>
      <c r="C51" t="inlineStr">
        <is>
          <t>Orlando Magic</t>
        </is>
      </c>
      <c r="D51" t="inlineStr">
        <is>
          <t>stale: 14 days old</t>
        </is>
      </c>
    </row>
    <row r="52">
      <c r="A52" t="inlineStr">
        <is>
          <t>WARN</t>
        </is>
      </c>
      <c r="B52" t="inlineStr">
        <is>
          <t>NBA</t>
        </is>
      </c>
      <c r="C52" t="inlineStr">
        <is>
          <t>Dallas Mavericks</t>
        </is>
      </c>
      <c r="D52" t="inlineStr">
        <is>
          <t>stale: 14 days old</t>
        </is>
      </c>
    </row>
    <row r="53">
      <c r="A53" t="inlineStr">
        <is>
          <t>WARN</t>
        </is>
      </c>
      <c r="B53" t="inlineStr">
        <is>
          <t>NBA</t>
        </is>
      </c>
      <c r="C53" t="inlineStr">
        <is>
          <t>Washington Wizards</t>
        </is>
      </c>
      <c r="D53" t="inlineStr">
        <is>
          <t>stale: 14 days old</t>
        </is>
      </c>
    </row>
    <row r="54">
      <c r="A54" t="inlineStr">
        <is>
          <t>WARN</t>
        </is>
      </c>
      <c r="B54" t="inlineStr">
        <is>
          <t>NBA</t>
        </is>
      </c>
      <c r="C54" t="inlineStr">
        <is>
          <t>Charlotte Hornets</t>
        </is>
      </c>
      <c r="D54" t="inlineStr">
        <is>
          <t>stale: 14 days old</t>
        </is>
      </c>
    </row>
    <row r="55">
      <c r="A55" t="inlineStr">
        <is>
          <t>WARN</t>
        </is>
      </c>
      <c r="B55" t="inlineStr">
        <is>
          <t>NBA</t>
        </is>
      </c>
      <c r="C55" t="inlineStr">
        <is>
          <t>Utah Jazz</t>
        </is>
      </c>
      <c r="D55" t="inlineStr">
        <is>
          <t>stale: 14 days old</t>
        </is>
      </c>
    </row>
    <row r="56">
      <c r="A56" t="inlineStr">
        <is>
          <t>WARN</t>
        </is>
      </c>
      <c r="B56" t="inlineStr">
        <is>
          <t>NBA</t>
        </is>
      </c>
      <c r="C56" t="inlineStr">
        <is>
          <t>Golden State Warriors</t>
        </is>
      </c>
      <c r="D56" t="inlineStr">
        <is>
          <t>stale: 14 days old</t>
        </is>
      </c>
    </row>
    <row r="57">
      <c r="A57" t="inlineStr">
        <is>
          <t>WARN</t>
        </is>
      </c>
      <c r="B57" t="inlineStr">
        <is>
          <t>NBA</t>
        </is>
      </c>
      <c r="C57" t="inlineStr">
        <is>
          <t>Memphis Grizzlies</t>
        </is>
      </c>
      <c r="D57" t="inlineStr">
        <is>
          <t>stale: 14 days old</t>
        </is>
      </c>
    </row>
    <row r="58">
      <c r="A58" t="inlineStr">
        <is>
          <t>WARN</t>
        </is>
      </c>
      <c r="B58" t="inlineStr">
        <is>
          <t>NBA</t>
        </is>
      </c>
      <c r="C58" t="inlineStr">
        <is>
          <t>Los Angeles Clippers</t>
        </is>
      </c>
      <c r="D58" t="inlineStr">
        <is>
          <t>stale: 14 days old</t>
        </is>
      </c>
    </row>
    <row r="59">
      <c r="A59" t="inlineStr">
        <is>
          <t>WARN</t>
        </is>
      </c>
      <c r="B59" t="inlineStr">
        <is>
          <t>NBA</t>
        </is>
      </c>
      <c r="C59" t="inlineStr">
        <is>
          <t>New Orleans Pelicans</t>
        </is>
      </c>
      <c r="D59" t="inlineStr">
        <is>
          <t>stale: 14 days old</t>
        </is>
      </c>
    </row>
    <row r="60">
      <c r="A60" t="inlineStr">
        <is>
          <t>WARN</t>
        </is>
      </c>
      <c r="B60" t="inlineStr">
        <is>
          <t>NBA</t>
        </is>
      </c>
      <c r="C60" t="inlineStr">
        <is>
          <t>Brooklyn Nets</t>
        </is>
      </c>
      <c r="D60" t="inlineStr">
        <is>
          <t>stale: 14 days old</t>
        </is>
      </c>
    </row>
    <row r="61">
      <c r="A61" t="inlineStr">
        <is>
          <t>WARN</t>
        </is>
      </c>
      <c r="B61" t="inlineStr">
        <is>
          <t>NBA</t>
        </is>
      </c>
      <c r="C61" t="inlineStr">
        <is>
          <t>Chicago Bulls</t>
        </is>
      </c>
      <c r="D61" t="inlineStr">
        <is>
          <t>stale: 14 days old</t>
        </is>
      </c>
    </row>
    <row r="62">
      <c r="A62" t="inlineStr">
        <is>
          <t>WARN</t>
        </is>
      </c>
      <c r="B62" t="inlineStr">
        <is>
          <t>NBA</t>
        </is>
      </c>
      <c r="C62" t="inlineStr">
        <is>
          <t>Milwaukee Bucks</t>
        </is>
      </c>
      <c r="D62" t="inlineStr">
        <is>
          <t>stale: 14 days old</t>
        </is>
      </c>
    </row>
    <row r="63">
      <c r="A63" t="inlineStr">
        <is>
          <t>WARN</t>
        </is>
      </c>
      <c r="B63" t="inlineStr">
        <is>
          <t>NBA</t>
        </is>
      </c>
      <c r="C63" t="inlineStr">
        <is>
          <t>Sacramento Kings</t>
        </is>
      </c>
      <c r="D63" t="inlineStr">
        <is>
          <t>stale: 14 days old</t>
        </is>
      </c>
    </row>
    <row r="64">
      <c r="A64" t="inlineStr">
        <is>
          <t>WARN</t>
        </is>
      </c>
      <c r="B64" t="inlineStr">
        <is>
          <t>MLB</t>
        </is>
      </c>
      <c r="C64" t="inlineStr">
        <is>
          <t>Los Angeles Dodgers</t>
        </is>
      </c>
      <c r="D64" t="inlineStr">
        <is>
          <t>stale: 14 days old</t>
        </is>
      </c>
    </row>
    <row r="65">
      <c r="A65" t="inlineStr">
        <is>
          <t>WARN</t>
        </is>
      </c>
      <c r="B65" t="inlineStr">
        <is>
          <t>MLB</t>
        </is>
      </c>
      <c r="C65" t="inlineStr">
        <is>
          <t>Milwaukee Brewers</t>
        </is>
      </c>
      <c r="D65" t="inlineStr">
        <is>
          <t>stale: 14 days old</t>
        </is>
      </c>
    </row>
    <row r="66">
      <c r="A66" t="inlineStr">
        <is>
          <t>WARN</t>
        </is>
      </c>
      <c r="B66" t="inlineStr">
        <is>
          <t>MLB</t>
        </is>
      </c>
      <c r="C66" t="inlineStr">
        <is>
          <t>New York Yankees</t>
        </is>
      </c>
      <c r="D66" t="inlineStr">
        <is>
          <t>stale: 14 days old</t>
        </is>
      </c>
    </row>
    <row r="67">
      <c r="A67" t="inlineStr">
        <is>
          <t>WARN</t>
        </is>
      </c>
      <c r="B67" t="inlineStr">
        <is>
          <t>MLB</t>
        </is>
      </c>
      <c r="C67" t="inlineStr">
        <is>
          <t>Atlanta Braves</t>
        </is>
      </c>
      <c r="D67" t="inlineStr">
        <is>
          <t>stale: 14 days old</t>
        </is>
      </c>
    </row>
    <row r="68">
      <c r="A68" t="inlineStr">
        <is>
          <t>WARN</t>
        </is>
      </c>
      <c r="B68" t="inlineStr">
        <is>
          <t>MLB</t>
        </is>
      </c>
      <c r="C68" t="inlineStr">
        <is>
          <t>Tampa Bay Rays</t>
        </is>
      </c>
      <c r="D68" t="inlineStr">
        <is>
          <t>stale: 14 days old</t>
        </is>
      </c>
    </row>
    <row r="69">
      <c r="A69" t="inlineStr">
        <is>
          <t>WARN</t>
        </is>
      </c>
      <c r="B69" t="inlineStr">
        <is>
          <t>MLB</t>
        </is>
      </c>
      <c r="C69" t="inlineStr">
        <is>
          <t>Chicago Cubs</t>
        </is>
      </c>
      <c r="D69" t="inlineStr">
        <is>
          <t>stale: 14 days old</t>
        </is>
      </c>
    </row>
    <row r="70">
      <c r="A70" t="inlineStr">
        <is>
          <t>WARN</t>
        </is>
      </c>
      <c r="B70" t="inlineStr">
        <is>
          <t>MLB</t>
        </is>
      </c>
      <c r="C70" t="inlineStr">
        <is>
          <t>San Diego Padres</t>
        </is>
      </c>
      <c r="D70" t="inlineStr">
        <is>
          <t>stale: 14 days old</t>
        </is>
      </c>
    </row>
    <row r="71">
      <c r="A71" t="inlineStr">
        <is>
          <t>WARN</t>
        </is>
      </c>
      <c r="B71" t="inlineStr">
        <is>
          <t>MLB</t>
        </is>
      </c>
      <c r="C71" t="inlineStr">
        <is>
          <t>Philadelphia Phillies</t>
        </is>
      </c>
      <c r="D71" t="inlineStr">
        <is>
          <t>stale: 14 days old</t>
        </is>
      </c>
    </row>
    <row r="72">
      <c r="A72" t="inlineStr">
        <is>
          <t>WARN</t>
        </is>
      </c>
      <c r="B72" t="inlineStr">
        <is>
          <t>MLB</t>
        </is>
      </c>
      <c r="C72" t="inlineStr">
        <is>
          <t>Boston Red Sox</t>
        </is>
      </c>
      <c r="D72" t="inlineStr">
        <is>
          <t>stale: 14 days old</t>
        </is>
      </c>
    </row>
    <row r="73">
      <c r="A73" t="inlineStr">
        <is>
          <t>WARN</t>
        </is>
      </c>
      <c r="B73" t="inlineStr">
        <is>
          <t>MLB</t>
        </is>
      </c>
      <c r="C73" t="inlineStr">
        <is>
          <t>Arizona Diamondbacks</t>
        </is>
      </c>
      <c r="D73" t="inlineStr">
        <is>
          <t>stale: 14 days old</t>
        </is>
      </c>
    </row>
    <row r="74">
      <c r="A74" t="inlineStr">
        <is>
          <t>WARN</t>
        </is>
      </c>
      <c r="B74" t="inlineStr">
        <is>
          <t>MLB</t>
        </is>
      </c>
      <c r="C74" t="inlineStr">
        <is>
          <t>Cleveland Guardians</t>
        </is>
      </c>
      <c r="D74" t="inlineStr">
        <is>
          <t>stale: 14 days old</t>
        </is>
      </c>
    </row>
    <row r="75">
      <c r="A75" t="inlineStr">
        <is>
          <t>WARN</t>
        </is>
      </c>
      <c r="B75" t="inlineStr">
        <is>
          <t>MLB</t>
        </is>
      </c>
      <c r="C75" t="inlineStr">
        <is>
          <t>Pittsburgh Pirates</t>
        </is>
      </c>
      <c r="D75" t="inlineStr">
        <is>
          <t>stale: 14 days old</t>
        </is>
      </c>
    </row>
    <row r="76">
      <c r="A76" t="inlineStr">
        <is>
          <t>WARN</t>
        </is>
      </c>
      <c r="B76" t="inlineStr">
        <is>
          <t>MLB</t>
        </is>
      </c>
      <c r="C76" t="inlineStr">
        <is>
          <t>Toronto Blue Jays</t>
        </is>
      </c>
      <c r="D76" t="inlineStr">
        <is>
          <t>stale: 14 days old</t>
        </is>
      </c>
    </row>
    <row r="77">
      <c r="A77" t="inlineStr">
        <is>
          <t>WARN</t>
        </is>
      </c>
      <c r="B77" t="inlineStr">
        <is>
          <t>MLB</t>
        </is>
      </c>
      <c r="C77" t="inlineStr">
        <is>
          <t>Baltimore Orioles</t>
        </is>
      </c>
      <c r="D77" t="inlineStr">
        <is>
          <t>stale: 14 days old</t>
        </is>
      </c>
    </row>
    <row r="78">
      <c r="A78" t="inlineStr">
        <is>
          <t>WARN</t>
        </is>
      </c>
      <c r="B78" t="inlineStr">
        <is>
          <t>MLB</t>
        </is>
      </c>
      <c r="C78" t="inlineStr">
        <is>
          <t>New York Mets</t>
        </is>
      </c>
      <c r="D78" t="inlineStr">
        <is>
          <t>stale: 14 days old</t>
        </is>
      </c>
    </row>
    <row r="79">
      <c r="A79" t="inlineStr">
        <is>
          <t>WARN</t>
        </is>
      </c>
      <c r="B79" t="inlineStr">
        <is>
          <t>MLB</t>
        </is>
      </c>
      <c r="C79" t="inlineStr">
        <is>
          <t>Houston Astros</t>
        </is>
      </c>
      <c r="D79" t="inlineStr">
        <is>
          <t>stale: 14 days old</t>
        </is>
      </c>
    </row>
    <row r="80">
      <c r="A80" t="inlineStr">
        <is>
          <t>WARN</t>
        </is>
      </c>
      <c r="B80" t="inlineStr">
        <is>
          <t>MLB</t>
        </is>
      </c>
      <c r="C80" t="inlineStr">
        <is>
          <t>Chicago White Sox</t>
        </is>
      </c>
      <c r="D80" t="inlineStr">
        <is>
          <t>stale: 14 days old</t>
        </is>
      </c>
    </row>
    <row r="81">
      <c r="A81" t="inlineStr">
        <is>
          <t>WARN</t>
        </is>
      </c>
      <c r="B81" t="inlineStr">
        <is>
          <t>MLB</t>
        </is>
      </c>
      <c r="C81" t="inlineStr">
        <is>
          <t>Texas Rangers</t>
        </is>
      </c>
      <c r="D81" t="inlineStr">
        <is>
          <t>stale: 14 days old</t>
        </is>
      </c>
    </row>
    <row r="82">
      <c r="A82" t="inlineStr">
        <is>
          <t>WARN</t>
        </is>
      </c>
      <c r="B82" t="inlineStr">
        <is>
          <t>MLB</t>
        </is>
      </c>
      <c r="C82" t="inlineStr">
        <is>
          <t>Seattle Mariners</t>
        </is>
      </c>
      <c r="D82" t="inlineStr">
        <is>
          <t>stale: 14 days old</t>
        </is>
      </c>
    </row>
    <row r="83">
      <c r="A83" t="inlineStr">
        <is>
          <t>WARN</t>
        </is>
      </c>
      <c r="B83" t="inlineStr">
        <is>
          <t>MLB</t>
        </is>
      </c>
      <c r="C83" t="inlineStr">
        <is>
          <t>Detroit Tigers</t>
        </is>
      </c>
      <c r="D83" t="inlineStr">
        <is>
          <t>stale: 14 days old</t>
        </is>
      </c>
    </row>
    <row r="84">
      <c r="A84" t="inlineStr">
        <is>
          <t>WARN</t>
        </is>
      </c>
      <c r="B84" t="inlineStr">
        <is>
          <t>MLB</t>
        </is>
      </c>
      <c r="C84" t="inlineStr">
        <is>
          <t>Miami Marlins</t>
        </is>
      </c>
      <c r="D84" t="inlineStr">
        <is>
          <t>stale: 14 days old</t>
        </is>
      </c>
    </row>
    <row r="85">
      <c r="A85" t="inlineStr">
        <is>
          <t>WARN</t>
        </is>
      </c>
      <c r="B85" t="inlineStr">
        <is>
          <t>MLB</t>
        </is>
      </c>
      <c r="C85" t="inlineStr">
        <is>
          <t>Cincinnati Reds</t>
        </is>
      </c>
      <c r="D85" t="inlineStr">
        <is>
          <t>stale: 14 days old</t>
        </is>
      </c>
    </row>
    <row r="86">
      <c r="A86" t="inlineStr">
        <is>
          <t>WARN</t>
        </is>
      </c>
      <c r="B86" t="inlineStr">
        <is>
          <t>MLB</t>
        </is>
      </c>
      <c r="C86" t="inlineStr">
        <is>
          <t>Minnesota Twins</t>
        </is>
      </c>
      <c r="D86" t="inlineStr">
        <is>
          <t>stale: 14 days old</t>
        </is>
      </c>
    </row>
    <row r="87">
      <c r="A87" t="inlineStr">
        <is>
          <t>WARN</t>
        </is>
      </c>
      <c r="B87" t="inlineStr">
        <is>
          <t>MLB</t>
        </is>
      </c>
      <c r="C87" t="inlineStr">
        <is>
          <t>Washington Nationals</t>
        </is>
      </c>
      <c r="D87" t="inlineStr">
        <is>
          <t>stale: 14 days old</t>
        </is>
      </c>
    </row>
    <row r="88">
      <c r="A88" t="inlineStr">
        <is>
          <t>WARN</t>
        </is>
      </c>
      <c r="B88" t="inlineStr">
        <is>
          <t>MLB</t>
        </is>
      </c>
      <c r="C88" t="inlineStr">
        <is>
          <t>St. Louis Cardinals</t>
        </is>
      </c>
      <c r="D88" t="inlineStr">
        <is>
          <t>stale: 14 days old</t>
        </is>
      </c>
    </row>
    <row r="89">
      <c r="A89" t="inlineStr">
        <is>
          <t>WARN</t>
        </is>
      </c>
      <c r="B89" t="inlineStr">
        <is>
          <t>MLB</t>
        </is>
      </c>
      <c r="C89" t="inlineStr">
        <is>
          <t>Kansas City Royals</t>
        </is>
      </c>
      <c r="D89" t="inlineStr">
        <is>
          <t>stale: 14 days old</t>
        </is>
      </c>
    </row>
    <row r="90">
      <c r="A90" t="inlineStr">
        <is>
          <t>WARN</t>
        </is>
      </c>
      <c r="B90" t="inlineStr">
        <is>
          <t>MLB</t>
        </is>
      </c>
      <c r="C90" t="inlineStr">
        <is>
          <t>Athletics</t>
        </is>
      </c>
      <c r="D90" t="inlineStr">
        <is>
          <t>stale: 14 days old</t>
        </is>
      </c>
    </row>
    <row r="91">
      <c r="A91" t="inlineStr">
        <is>
          <t>WARN</t>
        </is>
      </c>
      <c r="B91" t="inlineStr">
        <is>
          <t>MLB</t>
        </is>
      </c>
      <c r="C91" t="inlineStr">
        <is>
          <t>San Francisco Giants</t>
        </is>
      </c>
      <c r="D91" t="inlineStr">
        <is>
          <t>stale: 14 days old</t>
        </is>
      </c>
    </row>
    <row r="92">
      <c r="A92" t="inlineStr">
        <is>
          <t>WARN</t>
        </is>
      </c>
      <c r="B92" t="inlineStr">
        <is>
          <t>MLB</t>
        </is>
      </c>
      <c r="C92" t="inlineStr">
        <is>
          <t>Los Angeles Angels</t>
        </is>
      </c>
      <c r="D92" t="inlineStr">
        <is>
          <t>stale: 14 days old</t>
        </is>
      </c>
    </row>
    <row r="93">
      <c r="A93" t="inlineStr">
        <is>
          <t>WARN</t>
        </is>
      </c>
      <c r="B93" t="inlineStr">
        <is>
          <t>MLB</t>
        </is>
      </c>
      <c r="C93" t="inlineStr">
        <is>
          <t>Colorado Rockies</t>
        </is>
      </c>
      <c r="D93" t="inlineStr">
        <is>
          <t>stale: 14 days old</t>
        </is>
      </c>
    </row>
    <row r="94">
      <c r="A94" t="inlineStr">
        <is>
          <t>WARN</t>
        </is>
      </c>
      <c r="B94" t="inlineStr">
        <is>
          <t>NHL</t>
        </is>
      </c>
      <c r="C94" t="inlineStr">
        <is>
          <t>Carolina Hurricanes</t>
        </is>
      </c>
      <c r="D94" t="inlineStr">
        <is>
          <t>stale: 14 days old</t>
        </is>
      </c>
    </row>
    <row r="95">
      <c r="A95" t="inlineStr">
        <is>
          <t>WARN</t>
        </is>
      </c>
      <c r="B95" t="inlineStr">
        <is>
          <t>NHL</t>
        </is>
      </c>
      <c r="C95" t="inlineStr">
        <is>
          <t>Tampa Bay Lightning</t>
        </is>
      </c>
      <c r="D95" t="inlineStr">
        <is>
          <t>stale: 14 days old</t>
        </is>
      </c>
    </row>
    <row r="96">
      <c r="A96" t="inlineStr">
        <is>
          <t>WARN</t>
        </is>
      </c>
      <c r="B96" t="inlineStr">
        <is>
          <t>NHL</t>
        </is>
      </c>
      <c r="C96" t="inlineStr">
        <is>
          <t>Edmonton Oilers</t>
        </is>
      </c>
      <c r="D96" t="inlineStr">
        <is>
          <t>stale: 14 days old</t>
        </is>
      </c>
    </row>
    <row r="97">
      <c r="A97" t="inlineStr">
        <is>
          <t>WARN</t>
        </is>
      </c>
      <c r="B97" t="inlineStr">
        <is>
          <t>NHL</t>
        </is>
      </c>
      <c r="C97" t="inlineStr">
        <is>
          <t>Colorado Avalanche</t>
        </is>
      </c>
      <c r="D97" t="inlineStr">
        <is>
          <t>stale: 14 days old</t>
        </is>
      </c>
    </row>
    <row r="98">
      <c r="A98" t="inlineStr">
        <is>
          <t>WARN</t>
        </is>
      </c>
      <c r="B98" t="inlineStr">
        <is>
          <t>NHL</t>
        </is>
      </c>
      <c r="C98" t="inlineStr">
        <is>
          <t>Florida Panthers</t>
        </is>
      </c>
      <c r="D98" t="inlineStr">
        <is>
          <t>stale: 14 days old</t>
        </is>
      </c>
    </row>
    <row r="99">
      <c r="A99" t="inlineStr">
        <is>
          <t>WARN</t>
        </is>
      </c>
      <c r="B99" t="inlineStr">
        <is>
          <t>NHL</t>
        </is>
      </c>
      <c r="C99" t="inlineStr">
        <is>
          <t>Vegas Golden Knights</t>
        </is>
      </c>
      <c r="D99" t="inlineStr">
        <is>
          <t>stale: 14 days old</t>
        </is>
      </c>
    </row>
    <row r="100">
      <c r="A100" t="inlineStr">
        <is>
          <t>WARN</t>
        </is>
      </c>
      <c r="B100" t="inlineStr">
        <is>
          <t>NHL</t>
        </is>
      </c>
      <c r="C100" t="inlineStr">
        <is>
          <t>Minnesota Wild</t>
        </is>
      </c>
      <c r="D100" t="inlineStr">
        <is>
          <t>stale: 14 days old</t>
        </is>
      </c>
    </row>
    <row r="101">
      <c r="A101" t="inlineStr">
        <is>
          <t>WARN</t>
        </is>
      </c>
      <c r="B101" t="inlineStr">
        <is>
          <t>NHL</t>
        </is>
      </c>
      <c r="C101" t="inlineStr">
        <is>
          <t>Utah Mammoth</t>
        </is>
      </c>
      <c r="D101" t="inlineStr">
        <is>
          <t>stale: 14 days old</t>
        </is>
      </c>
    </row>
    <row r="102">
      <c r="A102" t="inlineStr">
        <is>
          <t>WARN</t>
        </is>
      </c>
      <c r="B102" t="inlineStr">
        <is>
          <t>NHL</t>
        </is>
      </c>
      <c r="C102" t="inlineStr">
        <is>
          <t>Washington Capitals</t>
        </is>
      </c>
      <c r="D102" t="inlineStr">
        <is>
          <t>stale: 14 days old</t>
        </is>
      </c>
    </row>
    <row r="103">
      <c r="A103" t="inlineStr">
        <is>
          <t>WARN</t>
        </is>
      </c>
      <c r="B103" t="inlineStr">
        <is>
          <t>NHL</t>
        </is>
      </c>
      <c r="C103" t="inlineStr">
        <is>
          <t>Dallas Stars</t>
        </is>
      </c>
      <c r="D103" t="inlineStr">
        <is>
          <t>stale: 14 days old</t>
        </is>
      </c>
    </row>
    <row r="104">
      <c r="A104" t="inlineStr">
        <is>
          <t>WARN</t>
        </is>
      </c>
      <c r="B104" t="inlineStr">
        <is>
          <t>NHL</t>
        </is>
      </c>
      <c r="C104" t="inlineStr">
        <is>
          <t>Boston Bruins</t>
        </is>
      </c>
      <c r="D104" t="inlineStr">
        <is>
          <t>stale: 14 days old</t>
        </is>
      </c>
    </row>
    <row r="105">
      <c r="A105" t="inlineStr">
        <is>
          <t>WARN</t>
        </is>
      </c>
      <c r="B105" t="inlineStr">
        <is>
          <t>NHL</t>
        </is>
      </c>
      <c r="C105" t="inlineStr">
        <is>
          <t>Ottawa Senators</t>
        </is>
      </c>
      <c r="D105" t="inlineStr">
        <is>
          <t>stale: 14 days old</t>
        </is>
      </c>
    </row>
    <row r="106">
      <c r="A106" t="inlineStr">
        <is>
          <t>WARN</t>
        </is>
      </c>
      <c r="B106" t="inlineStr">
        <is>
          <t>NHL</t>
        </is>
      </c>
      <c r="C106" t="inlineStr">
        <is>
          <t>New Jersey Devils</t>
        </is>
      </c>
      <c r="D106" t="inlineStr">
        <is>
          <t>stale: 14 days old</t>
        </is>
      </c>
    </row>
    <row r="107">
      <c r="A107" t="inlineStr">
        <is>
          <t>WARN</t>
        </is>
      </c>
      <c r="B107" t="inlineStr">
        <is>
          <t>NHL</t>
        </is>
      </c>
      <c r="C107" t="inlineStr">
        <is>
          <t>Montreal Canadiens</t>
        </is>
      </c>
      <c r="D107" t="inlineStr">
        <is>
          <t>stale: 14 days old</t>
        </is>
      </c>
    </row>
    <row r="108">
      <c r="A108" t="inlineStr">
        <is>
          <t>WARN</t>
        </is>
      </c>
      <c r="B108" t="inlineStr">
        <is>
          <t>NHL</t>
        </is>
      </c>
      <c r="C108" t="inlineStr">
        <is>
          <t>San Jose Sharks</t>
        </is>
      </c>
      <c r="D108" t="inlineStr">
        <is>
          <t>stale: 14 days old</t>
        </is>
      </c>
    </row>
    <row r="109">
      <c r="A109" t="inlineStr">
        <is>
          <t>WARN</t>
        </is>
      </c>
      <c r="B109" t="inlineStr">
        <is>
          <t>NHL</t>
        </is>
      </c>
      <c r="C109" t="inlineStr">
        <is>
          <t>Buffalo Sabres</t>
        </is>
      </c>
      <c r="D109" t="inlineStr">
        <is>
          <t>stale: 14 days old</t>
        </is>
      </c>
    </row>
    <row r="110">
      <c r="A110" t="inlineStr">
        <is>
          <t>WARN</t>
        </is>
      </c>
      <c r="B110" t="inlineStr">
        <is>
          <t>NHL</t>
        </is>
      </c>
      <c r="C110" t="inlineStr">
        <is>
          <t>Anaheim Ducks</t>
        </is>
      </c>
      <c r="D110" t="inlineStr">
        <is>
          <t>stale: 14 days old</t>
        </is>
      </c>
    </row>
    <row r="111">
      <c r="A111" t="inlineStr">
        <is>
          <t>WARN</t>
        </is>
      </c>
      <c r="B111" t="inlineStr">
        <is>
          <t>NHL</t>
        </is>
      </c>
      <c r="C111" t="inlineStr">
        <is>
          <t>New York Rangers</t>
        </is>
      </c>
      <c r="D111" t="inlineStr">
        <is>
          <t>stale: 14 days old</t>
        </is>
      </c>
    </row>
    <row r="112">
      <c r="A112" t="inlineStr">
        <is>
          <t>WARN</t>
        </is>
      </c>
      <c r="B112" t="inlineStr">
        <is>
          <t>NHL</t>
        </is>
      </c>
      <c r="C112" t="inlineStr">
        <is>
          <t>Toronto Maple Leafs</t>
        </is>
      </c>
      <c r="D112" t="inlineStr">
        <is>
          <t>stale: 14 days old</t>
        </is>
      </c>
    </row>
    <row r="113">
      <c r="A113" t="inlineStr">
        <is>
          <t>WARN</t>
        </is>
      </c>
      <c r="B113" t="inlineStr">
        <is>
          <t>NHL</t>
        </is>
      </c>
      <c r="C113" t="inlineStr">
        <is>
          <t>Los Angeles Kings</t>
        </is>
      </c>
      <c r="D113" t="inlineStr">
        <is>
          <t>stale: 14 days old</t>
        </is>
      </c>
    </row>
    <row r="114">
      <c r="A114" t="inlineStr">
        <is>
          <t>WARN</t>
        </is>
      </c>
      <c r="B114" t="inlineStr">
        <is>
          <t>NHL</t>
        </is>
      </c>
      <c r="C114" t="inlineStr">
        <is>
          <t>Seattle Kraken</t>
        </is>
      </c>
      <c r="D114" t="inlineStr">
        <is>
          <t>stale: 14 days old</t>
        </is>
      </c>
    </row>
    <row r="115">
      <c r="A115" t="inlineStr">
        <is>
          <t>WARN</t>
        </is>
      </c>
      <c r="B115" t="inlineStr">
        <is>
          <t>NHL</t>
        </is>
      </c>
      <c r="C115" t="inlineStr">
        <is>
          <t>St. Louis Blues</t>
        </is>
      </c>
      <c r="D115" t="inlineStr">
        <is>
          <t>stale: 14 days old</t>
        </is>
      </c>
    </row>
    <row r="116">
      <c r="A116" t="inlineStr">
        <is>
          <t>WARN</t>
        </is>
      </c>
      <c r="B116" t="inlineStr">
        <is>
          <t>NHL</t>
        </is>
      </c>
      <c r="C116" t="inlineStr">
        <is>
          <t>New York Islanders</t>
        </is>
      </c>
      <c r="D116" t="inlineStr">
        <is>
          <t>stale: 14 days old</t>
        </is>
      </c>
    </row>
    <row r="117">
      <c r="A117" t="inlineStr">
        <is>
          <t>WARN</t>
        </is>
      </c>
      <c r="B117" t="inlineStr">
        <is>
          <t>NHL</t>
        </is>
      </c>
      <c r="C117" t="inlineStr">
        <is>
          <t>Columbus Blue Jackets</t>
        </is>
      </c>
      <c r="D117" t="inlineStr">
        <is>
          <t>stale: 14 days old</t>
        </is>
      </c>
    </row>
    <row r="118">
      <c r="A118" t="inlineStr">
        <is>
          <t>WARN</t>
        </is>
      </c>
      <c r="B118" t="inlineStr">
        <is>
          <t>NHL</t>
        </is>
      </c>
      <c r="C118" t="inlineStr">
        <is>
          <t>Winnipeg Jets</t>
        </is>
      </c>
      <c r="D118" t="inlineStr">
        <is>
          <t>stale: 14 days old</t>
        </is>
      </c>
    </row>
    <row r="119">
      <c r="A119" t="inlineStr">
        <is>
          <t>WARN</t>
        </is>
      </c>
      <c r="B119" t="inlineStr">
        <is>
          <t>NHL</t>
        </is>
      </c>
      <c r="C119" t="inlineStr">
        <is>
          <t>Philadelphia Flyers</t>
        </is>
      </c>
      <c r="D119" t="inlineStr">
        <is>
          <t>stale: 14 days old</t>
        </is>
      </c>
    </row>
    <row r="120">
      <c r="A120" t="inlineStr">
        <is>
          <t>WARN</t>
        </is>
      </c>
      <c r="B120" t="inlineStr">
        <is>
          <t>NHL</t>
        </is>
      </c>
      <c r="C120" t="inlineStr">
        <is>
          <t>Pittsburgh Penguins</t>
        </is>
      </c>
      <c r="D120" t="inlineStr">
        <is>
          <t>stale: 14 days old</t>
        </is>
      </c>
    </row>
    <row r="121">
      <c r="A121" t="inlineStr">
        <is>
          <t>WARN</t>
        </is>
      </c>
      <c r="B121" t="inlineStr">
        <is>
          <t>NHL</t>
        </is>
      </c>
      <c r="C121" t="inlineStr">
        <is>
          <t>Chicago Blackhawks</t>
        </is>
      </c>
      <c r="D121" t="inlineStr">
        <is>
          <t>stale: 14 days old</t>
        </is>
      </c>
    </row>
    <row r="122">
      <c r="A122" t="inlineStr">
        <is>
          <t>WARN</t>
        </is>
      </c>
      <c r="B122" t="inlineStr">
        <is>
          <t>NHL</t>
        </is>
      </c>
      <c r="C122" t="inlineStr">
        <is>
          <t>Nashville Predators</t>
        </is>
      </c>
      <c r="D122" t="inlineStr">
        <is>
          <t>stale: 14 days old</t>
        </is>
      </c>
    </row>
    <row r="123">
      <c r="A123" t="inlineStr">
        <is>
          <t>WARN</t>
        </is>
      </c>
      <c r="B123" t="inlineStr">
        <is>
          <t>NHL</t>
        </is>
      </c>
      <c r="C123" t="inlineStr">
        <is>
          <t>Detroit Red Wings</t>
        </is>
      </c>
      <c r="D123" t="inlineStr">
        <is>
          <t>stale: 14 days old</t>
        </is>
      </c>
    </row>
    <row r="124">
      <c r="A124" t="inlineStr">
        <is>
          <t>WARN</t>
        </is>
      </c>
      <c r="B124" t="inlineStr">
        <is>
          <t>NHL</t>
        </is>
      </c>
      <c r="C124" t="inlineStr">
        <is>
          <t>Calgary Flames</t>
        </is>
      </c>
      <c r="D124" t="inlineStr">
        <is>
          <t>stale: 14 days old</t>
        </is>
      </c>
    </row>
    <row r="125">
      <c r="A125" t="inlineStr">
        <is>
          <t>WARN</t>
        </is>
      </c>
      <c r="B125" t="inlineStr">
        <is>
          <t>NHL</t>
        </is>
      </c>
      <c r="C125" t="inlineStr">
        <is>
          <t>Vancouver Canucks</t>
        </is>
      </c>
      <c r="D125" t="inlineStr">
        <is>
          <t>stale: 14 days old</t>
        </is>
      </c>
    </row>
    <row r="126">
      <c r="A126" t="inlineStr">
        <is>
          <t>WARN</t>
        </is>
      </c>
      <c r="B126" t="inlineStr">
        <is>
          <t>NCAAF</t>
        </is>
      </c>
      <c r="C126" t="inlineStr">
        <is>
          <t>Missouri</t>
        </is>
      </c>
      <c r="D126" t="inlineStr">
        <is>
          <t>stale: 14 days old</t>
        </is>
      </c>
    </row>
    <row r="127">
      <c r="A127" t="inlineStr">
        <is>
          <t>WARN</t>
        </is>
      </c>
      <c r="B127" t="inlineStr">
        <is>
          <t>NCAAF</t>
        </is>
      </c>
      <c r="C127" t="inlineStr">
        <is>
          <t>Oklahoma State</t>
        </is>
      </c>
      <c r="D127" t="inlineStr">
        <is>
          <t>stale: 14 days old</t>
        </is>
      </c>
    </row>
    <row r="128">
      <c r="A128" t="inlineStr">
        <is>
          <t>WARN</t>
        </is>
      </c>
      <c r="B128" t="inlineStr">
        <is>
          <t>NCAAF</t>
        </is>
      </c>
      <c r="C128" t="inlineStr">
        <is>
          <t>USC</t>
        </is>
      </c>
      <c r="D128" t="inlineStr">
        <is>
          <t>stale: 14 days old</t>
        </is>
      </c>
    </row>
    <row r="129">
      <c r="A129" t="inlineStr">
        <is>
          <t>WARN</t>
        </is>
      </c>
      <c r="B129" t="inlineStr">
        <is>
          <t>NCAAF</t>
        </is>
      </c>
      <c r="C129" t="inlineStr">
        <is>
          <t>Iowa</t>
        </is>
      </c>
      <c r="D129" t="inlineStr">
        <is>
          <t>stale: 14 days old</t>
        </is>
      </c>
    </row>
    <row r="130">
      <c r="A130" t="inlineStr">
        <is>
          <t>WARN</t>
        </is>
      </c>
      <c r="B130" t="inlineStr">
        <is>
          <t>NCAAF</t>
        </is>
      </c>
      <c r="C130" t="inlineStr">
        <is>
          <t>Mississippi State</t>
        </is>
      </c>
      <c r="D130" t="inlineStr">
        <is>
          <t>stale: 14 days old</t>
        </is>
      </c>
    </row>
    <row r="131">
      <c r="A131" t="inlineStr">
        <is>
          <t>WARN</t>
        </is>
      </c>
      <c r="B131" t="inlineStr">
        <is>
          <t>NCAAF</t>
        </is>
      </c>
      <c r="C131" t="inlineStr">
        <is>
          <t>Michigan</t>
        </is>
      </c>
      <c r="D131" t="inlineStr">
        <is>
          <t>stale: 14 days old</t>
        </is>
      </c>
    </row>
    <row r="132">
      <c r="A132" t="inlineStr">
        <is>
          <t>WARN</t>
        </is>
      </c>
      <c r="B132" t="inlineStr">
        <is>
          <t>NCAAF</t>
        </is>
      </c>
      <c r="C132" t="inlineStr">
        <is>
          <t>Texas A&amp;M</t>
        </is>
      </c>
      <c r="D132" t="inlineStr">
        <is>
          <t>stale: 14 days old</t>
        </is>
      </c>
    </row>
    <row r="133">
      <c r="A133" t="inlineStr">
        <is>
          <t>WARN</t>
        </is>
      </c>
      <c r="B133" t="inlineStr">
        <is>
          <t>NCAAF</t>
        </is>
      </c>
      <c r="C133" t="inlineStr">
        <is>
          <t>Georgia Tech</t>
        </is>
      </c>
      <c r="D133" t="inlineStr">
        <is>
          <t>stale: 14 days old</t>
        </is>
      </c>
    </row>
    <row r="134">
      <c r="A134" t="inlineStr">
        <is>
          <t>WARN</t>
        </is>
      </c>
      <c r="B134" t="inlineStr">
        <is>
          <t>NCAAF</t>
        </is>
      </c>
      <c r="C134" t="inlineStr">
        <is>
          <t>Boise State</t>
        </is>
      </c>
      <c r="D134" t="inlineStr">
        <is>
          <t>stale: 14 days old</t>
        </is>
      </c>
    </row>
    <row r="135">
      <c r="A135" t="inlineStr">
        <is>
          <t>WARN</t>
        </is>
      </c>
      <c r="B135" t="inlineStr">
        <is>
          <t>NCAAF</t>
        </is>
      </c>
      <c r="C135" t="inlineStr">
        <is>
          <t>Houston</t>
        </is>
      </c>
      <c r="D135" t="inlineStr">
        <is>
          <t>stale: 14 days old</t>
        </is>
      </c>
    </row>
    <row r="136">
      <c r="A136" t="inlineStr">
        <is>
          <t>WARN</t>
        </is>
      </c>
      <c r="B136" t="inlineStr">
        <is>
          <t>NCAAF</t>
        </is>
      </c>
      <c r="C136" t="inlineStr">
        <is>
          <t>Pittsburgh</t>
        </is>
      </c>
      <c r="D136" t="inlineStr">
        <is>
          <t>stale: 14 days old</t>
        </is>
      </c>
    </row>
    <row r="137">
      <c r="A137" t="inlineStr">
        <is>
          <t>WARN</t>
        </is>
      </c>
      <c r="B137" t="inlineStr">
        <is>
          <t>NCAAF</t>
        </is>
      </c>
      <c r="C137" t="inlineStr">
        <is>
          <t>SMU</t>
        </is>
      </c>
      <c r="D137" t="inlineStr">
        <is>
          <t>stale: 14 days old</t>
        </is>
      </c>
    </row>
    <row r="138">
      <c r="A138" t="inlineStr">
        <is>
          <t>WARN</t>
        </is>
      </c>
      <c r="B138" t="inlineStr">
        <is>
          <t>NCAAB</t>
        </is>
      </c>
      <c r="C138" t="inlineStr">
        <is>
          <t>Florida</t>
        </is>
      </c>
      <c r="D138" t="inlineStr">
        <is>
          <t>stale: 14 days old</t>
        </is>
      </c>
    </row>
    <row r="139">
      <c r="A139" t="inlineStr">
        <is>
          <t>WARN</t>
        </is>
      </c>
      <c r="B139" t="inlineStr">
        <is>
          <t>NCAAB</t>
        </is>
      </c>
      <c r="C139" t="inlineStr">
        <is>
          <t>Duke</t>
        </is>
      </c>
      <c r="D139" t="inlineStr">
        <is>
          <t>stale: 14 days old</t>
        </is>
      </c>
    </row>
    <row r="140">
      <c r="A140" t="inlineStr">
        <is>
          <t>WARN</t>
        </is>
      </c>
      <c r="B140" t="inlineStr">
        <is>
          <t>NCAAB</t>
        </is>
      </c>
      <c r="C140" t="inlineStr">
        <is>
          <t>UConn</t>
        </is>
      </c>
      <c r="D140" t="inlineStr">
        <is>
          <t>stale: 14 days old</t>
        </is>
      </c>
    </row>
    <row r="141">
      <c r="A141" t="inlineStr">
        <is>
          <t>WARN</t>
        </is>
      </c>
      <c r="B141" t="inlineStr">
        <is>
          <t>NCAAB</t>
        </is>
      </c>
      <c r="C141" t="inlineStr">
        <is>
          <t>Illinois</t>
        </is>
      </c>
      <c r="D141" t="inlineStr">
        <is>
          <t>stale: 14 days old</t>
        </is>
      </c>
    </row>
    <row r="142">
      <c r="A142" t="inlineStr">
        <is>
          <t>WARN</t>
        </is>
      </c>
      <c r="B142" t="inlineStr">
        <is>
          <t>NCAAB</t>
        </is>
      </c>
      <c r="C142" t="inlineStr">
        <is>
          <t>Michigan</t>
        </is>
      </c>
      <c r="D142" t="inlineStr">
        <is>
          <t>stale: 14 days old</t>
        </is>
      </c>
    </row>
    <row r="143">
      <c r="A143" t="inlineStr">
        <is>
          <t>WARN</t>
        </is>
      </c>
      <c r="B143" t="inlineStr">
        <is>
          <t>NCAAB</t>
        </is>
      </c>
      <c r="C143" t="inlineStr">
        <is>
          <t>Michigan State</t>
        </is>
      </c>
      <c r="D143" t="inlineStr">
        <is>
          <t>stale: 14 days old</t>
        </is>
      </c>
    </row>
    <row r="144">
      <c r="A144" t="inlineStr">
        <is>
          <t>WARN</t>
        </is>
      </c>
      <c r="B144" t="inlineStr">
        <is>
          <t>NCAAB</t>
        </is>
      </c>
      <c r="C144" t="inlineStr">
        <is>
          <t>Houston</t>
        </is>
      </c>
      <c r="D144" t="inlineStr">
        <is>
          <t>stale: 14 days old</t>
        </is>
      </c>
    </row>
    <row r="145">
      <c r="A145" t="inlineStr">
        <is>
          <t>WARN</t>
        </is>
      </c>
      <c r="B145" t="inlineStr">
        <is>
          <t>NCAAB</t>
        </is>
      </c>
      <c r="C145" t="inlineStr">
        <is>
          <t>Arizona</t>
        </is>
      </c>
      <c r="D145" t="inlineStr">
        <is>
          <t>stale: 14 days old</t>
        </is>
      </c>
    </row>
    <row r="146">
      <c r="A146" t="inlineStr">
        <is>
          <t>WARN</t>
        </is>
      </c>
      <c r="B146" t="inlineStr">
        <is>
          <t>NCAAB</t>
        </is>
      </c>
      <c r="C146" t="inlineStr">
        <is>
          <t>Kansas</t>
        </is>
      </c>
      <c r="D146" t="inlineStr">
        <is>
          <t>stale: 14 days old</t>
        </is>
      </c>
    </row>
    <row r="147">
      <c r="A147" t="inlineStr">
        <is>
          <t>WARN</t>
        </is>
      </c>
      <c r="B147" t="inlineStr">
        <is>
          <t>NCAAB</t>
        </is>
      </c>
      <c r="C147" t="inlineStr">
        <is>
          <t>Kentucky</t>
        </is>
      </c>
      <c r="D147" t="inlineStr">
        <is>
          <t>stale: 14 days old</t>
        </is>
      </c>
    </row>
    <row r="148">
      <c r="A148" t="inlineStr">
        <is>
          <t>WARN</t>
        </is>
      </c>
      <c r="B148" t="inlineStr">
        <is>
          <t>NCAAB</t>
        </is>
      </c>
      <c r="C148" t="inlineStr">
        <is>
          <t>Purdue</t>
        </is>
      </c>
      <c r="D148" t="inlineStr">
        <is>
          <t>stale: 14 days old</t>
        </is>
      </c>
    </row>
    <row r="149">
      <c r="A149" t="inlineStr">
        <is>
          <t>WARN</t>
        </is>
      </c>
      <c r="B149" t="inlineStr">
        <is>
          <t>NCAAB</t>
        </is>
      </c>
      <c r="C149" t="inlineStr">
        <is>
          <t>Louisville</t>
        </is>
      </c>
      <c r="D149" t="inlineStr">
        <is>
          <t>stale: 14 days old</t>
        </is>
      </c>
    </row>
    <row r="150">
      <c r="A150" t="inlineStr">
        <is>
          <t>WARN</t>
        </is>
      </c>
      <c r="B150" t="inlineStr">
        <is>
          <t>NCAAB</t>
        </is>
      </c>
      <c r="C150" t="inlineStr">
        <is>
          <t>Tennessee</t>
        </is>
      </c>
      <c r="D150" t="inlineStr">
        <is>
          <t>stale: 14 days old</t>
        </is>
      </c>
    </row>
    <row r="151">
      <c r="A151" t="inlineStr">
        <is>
          <t>WARN</t>
        </is>
      </c>
      <c r="B151" t="inlineStr">
        <is>
          <t>NCAAB</t>
        </is>
      </c>
      <c r="C151" t="inlineStr">
        <is>
          <t>Alabama</t>
        </is>
      </c>
      <c r="D151" t="inlineStr">
        <is>
          <t>stale: 14 days old</t>
        </is>
      </c>
    </row>
    <row r="152">
      <c r="A152" t="inlineStr">
        <is>
          <t>WARN</t>
        </is>
      </c>
      <c r="B152" t="inlineStr">
        <is>
          <t>NCAAB</t>
        </is>
      </c>
      <c r="C152" t="inlineStr">
        <is>
          <t>Texas Tech</t>
        </is>
      </c>
      <c r="D152" t="inlineStr">
        <is>
          <t>stale: 14 days old</t>
        </is>
      </c>
    </row>
    <row r="153">
      <c r="A153" t="inlineStr">
        <is>
          <t>WARN</t>
        </is>
      </c>
      <c r="B153" t="inlineStr">
        <is>
          <t>NCAAB</t>
        </is>
      </c>
      <c r="C153" t="inlineStr">
        <is>
          <t>BYU</t>
        </is>
      </c>
      <c r="D153" t="inlineStr">
        <is>
          <t>stale: 14 days old</t>
        </is>
      </c>
    </row>
    <row r="154">
      <c r="A154" t="inlineStr">
        <is>
          <t>WARN</t>
        </is>
      </c>
      <c r="B154" t="inlineStr">
        <is>
          <t>NCAAB</t>
        </is>
      </c>
      <c r="C154" t="inlineStr">
        <is>
          <t>Iowa State</t>
        </is>
      </c>
      <c r="D154" t="inlineStr">
        <is>
          <t>stale: 14 days old</t>
        </is>
      </c>
    </row>
    <row r="155">
      <c r="A155" t="inlineStr">
        <is>
          <t>WARN</t>
        </is>
      </c>
      <c r="B155" t="inlineStr">
        <is>
          <t>NCAAB</t>
        </is>
      </c>
      <c r="C155" t="inlineStr">
        <is>
          <t>Gonzaga</t>
        </is>
      </c>
      <c r="D155" t="inlineStr">
        <is>
          <t>stale: 14 days old</t>
        </is>
      </c>
    </row>
    <row r="156">
      <c r="A156" t="inlineStr">
        <is>
          <t>WARN</t>
        </is>
      </c>
      <c r="B156" t="inlineStr">
        <is>
          <t>NCAAB</t>
        </is>
      </c>
      <c r="C156" t="inlineStr">
        <is>
          <t>Arkansas</t>
        </is>
      </c>
      <c r="D156" t="inlineStr">
        <is>
          <t>stale: 14 days old</t>
        </is>
      </c>
    </row>
    <row r="157">
      <c r="A157" t="inlineStr">
        <is>
          <t>WARN</t>
        </is>
      </c>
      <c r="B157" t="inlineStr">
        <is>
          <t>NCAAB</t>
        </is>
      </c>
      <c r="C157" t="inlineStr">
        <is>
          <t>North Carolina</t>
        </is>
      </c>
      <c r="D157" t="inlineStr">
        <is>
          <t>stale: 14 days old</t>
        </is>
      </c>
    </row>
    <row r="158">
      <c r="A158" t="inlineStr">
        <is>
          <t>WARN</t>
        </is>
      </c>
      <c r="B158" t="inlineStr">
        <is>
          <t>NCAAB</t>
        </is>
      </c>
      <c r="C158" t="inlineStr">
        <is>
          <t>Auburn</t>
        </is>
      </c>
      <c r="D158" t="inlineStr">
        <is>
          <t>stale: 14 days old</t>
        </is>
      </c>
    </row>
    <row r="159">
      <c r="A159" t="inlineStr">
        <is>
          <t>WARN</t>
        </is>
      </c>
      <c r="B159" t="inlineStr">
        <is>
          <t>NCAAB</t>
        </is>
      </c>
      <c r="C159" t="inlineStr">
        <is>
          <t>St. John's</t>
        </is>
      </c>
      <c r="D159" t="inlineStr">
        <is>
          <t>stale: 14 days old</t>
        </is>
      </c>
    </row>
    <row r="160">
      <c r="A160" t="inlineStr">
        <is>
          <t>WARN</t>
        </is>
      </c>
      <c r="B160" t="inlineStr">
        <is>
          <t>NCAAB</t>
        </is>
      </c>
      <c r="C160" t="inlineStr">
        <is>
          <t>Vanderbilt</t>
        </is>
      </c>
      <c r="D160" t="inlineStr">
        <is>
          <t>stale: 14 days old</t>
        </is>
      </c>
    </row>
    <row r="161">
      <c r="A161" t="inlineStr">
        <is>
          <t>WARN</t>
        </is>
      </c>
      <c r="B161" t="inlineStr">
        <is>
          <t>NCAAB</t>
        </is>
      </c>
      <c r="C161" t="inlineStr">
        <is>
          <t>Texas</t>
        </is>
      </c>
      <c r="D161" t="inlineStr">
        <is>
          <t>stale: 14 days old</t>
        </is>
      </c>
    </row>
    <row r="162">
      <c r="A162" t="inlineStr">
        <is>
          <t>WARN</t>
        </is>
      </c>
      <c r="B162" t="inlineStr">
        <is>
          <t>NCAAB</t>
        </is>
      </c>
      <c r="C162" t="inlineStr">
        <is>
          <t>Wisconsin</t>
        </is>
      </c>
      <c r="D162" t="inlineStr">
        <is>
          <t>stale: 14 days old</t>
        </is>
      </c>
    </row>
    <row r="163">
      <c r="A163" t="inlineStr">
        <is>
          <t>WARN</t>
        </is>
      </c>
      <c r="B163" t="inlineStr">
        <is>
          <t>NCAAB</t>
        </is>
      </c>
      <c r="C163" t="inlineStr">
        <is>
          <t>Creighton</t>
        </is>
      </c>
      <c r="D163" t="inlineStr">
        <is>
          <t>stale: 14 days old</t>
        </is>
      </c>
    </row>
    <row r="164">
      <c r="A164" t="inlineStr">
        <is>
          <t>WARN</t>
        </is>
      </c>
      <c r="B164" t="inlineStr">
        <is>
          <t>NCAAB</t>
        </is>
      </c>
      <c r="C164" t="inlineStr">
        <is>
          <t>Baylor</t>
        </is>
      </c>
      <c r="D164" t="inlineStr">
        <is>
          <t>stale: 14 days old</t>
        </is>
      </c>
    </row>
    <row r="165">
      <c r="A165" t="inlineStr">
        <is>
          <t>WARN</t>
        </is>
      </c>
      <c r="B165" t="inlineStr">
        <is>
          <t>NCAAB</t>
        </is>
      </c>
      <c r="C165" t="inlineStr">
        <is>
          <t>Virginia</t>
        </is>
      </c>
      <c r="D165" t="inlineStr">
        <is>
          <t>stale: 14 days old</t>
        </is>
      </c>
    </row>
    <row r="166">
      <c r="A166" t="inlineStr">
        <is>
          <t>WARN</t>
        </is>
      </c>
      <c r="B166" t="inlineStr">
        <is>
          <t>NCAAB</t>
        </is>
      </c>
      <c r="C166" t="inlineStr">
        <is>
          <t>Missouri</t>
        </is>
      </c>
      <c r="D166" t="inlineStr">
        <is>
          <t>stale: 14 days old</t>
        </is>
      </c>
    </row>
    <row r="167">
      <c r="A167" t="inlineStr">
        <is>
          <t>WARN</t>
        </is>
      </c>
      <c r="B167" t="inlineStr">
        <is>
          <t>NCAAB</t>
        </is>
      </c>
      <c r="C167" t="inlineStr">
        <is>
          <t>UCLA</t>
        </is>
      </c>
      <c r="D167" t="inlineStr">
        <is>
          <t>stale: 14 days old</t>
        </is>
      </c>
    </row>
    <row r="168">
      <c r="A168" t="inlineStr">
        <is>
          <t>WARN</t>
        </is>
      </c>
      <c r="B168" t="inlineStr">
        <is>
          <t>Tennis</t>
        </is>
      </c>
      <c r="C168" t="inlineStr">
        <is>
          <t>Jannik Sinner</t>
        </is>
      </c>
      <c r="D168" t="inlineStr">
        <is>
          <t>stale: 14 days old</t>
        </is>
      </c>
    </row>
    <row r="169">
      <c r="A169" t="inlineStr">
        <is>
          <t>WARN</t>
        </is>
      </c>
      <c r="B169" t="inlineStr">
        <is>
          <t>Tennis</t>
        </is>
      </c>
      <c r="C169" t="inlineStr">
        <is>
          <t>Elena Rybakina</t>
        </is>
      </c>
      <c r="D169" t="inlineStr">
        <is>
          <t>stale: 14 days old</t>
        </is>
      </c>
    </row>
    <row r="170">
      <c r="A170" t="inlineStr">
        <is>
          <t>WARN</t>
        </is>
      </c>
      <c r="B170" t="inlineStr">
        <is>
          <t>Tennis</t>
        </is>
      </c>
      <c r="C170" t="inlineStr">
        <is>
          <t>Aryna Sabalenka</t>
        </is>
      </c>
      <c r="D170" t="inlineStr">
        <is>
          <t>stale: 14 days old</t>
        </is>
      </c>
    </row>
    <row r="171">
      <c r="A171" t="inlineStr">
        <is>
          <t>WARN</t>
        </is>
      </c>
      <c r="B171" t="inlineStr">
        <is>
          <t>Tennis</t>
        </is>
      </c>
      <c r="C171" t="inlineStr">
        <is>
          <t>Carlos Alcaraz</t>
        </is>
      </c>
      <c r="D171" t="inlineStr">
        <is>
          <t>stale: 14 days old</t>
        </is>
      </c>
    </row>
    <row r="172">
      <c r="A172" t="inlineStr">
        <is>
          <t>WARN</t>
        </is>
      </c>
      <c r="B172" t="inlineStr">
        <is>
          <t>Tennis</t>
        </is>
      </c>
      <c r="C172" t="inlineStr">
        <is>
          <t>Alexander Zverev</t>
        </is>
      </c>
      <c r="D172" t="inlineStr">
        <is>
          <t>stale: 14 days old</t>
        </is>
      </c>
    </row>
    <row r="173">
      <c r="A173" t="inlineStr">
        <is>
          <t>WARN</t>
        </is>
      </c>
      <c r="B173" t="inlineStr">
        <is>
          <t>Tennis</t>
        </is>
      </c>
      <c r="C173" t="inlineStr">
        <is>
          <t>Jessica Pegula</t>
        </is>
      </c>
      <c r="D173" t="inlineStr">
        <is>
          <t>stale: 14 days old</t>
        </is>
      </c>
    </row>
    <row r="174">
      <c r="A174" t="inlineStr">
        <is>
          <t>WARN</t>
        </is>
      </c>
      <c r="B174" t="inlineStr">
        <is>
          <t>Tennis</t>
        </is>
      </c>
      <c r="C174" t="inlineStr">
        <is>
          <t>Ben Shelton</t>
        </is>
      </c>
      <c r="D174" t="inlineStr">
        <is>
          <t>stale: 14 days old</t>
        </is>
      </c>
    </row>
    <row r="175">
      <c r="A175" t="inlineStr">
        <is>
          <t>WARN</t>
        </is>
      </c>
      <c r="B175" t="inlineStr">
        <is>
          <t>Tennis</t>
        </is>
      </c>
      <c r="C175" t="inlineStr">
        <is>
          <t>Coco Gauff</t>
        </is>
      </c>
      <c r="D175" t="inlineStr">
        <is>
          <t>stale: 14 days old</t>
        </is>
      </c>
    </row>
    <row r="176">
      <c r="A176" t="inlineStr">
        <is>
          <t>WARN</t>
        </is>
      </c>
      <c r="B176" t="inlineStr">
        <is>
          <t>Tennis</t>
        </is>
      </c>
      <c r="C176" t="inlineStr">
        <is>
          <t>Mirra Andreeva</t>
        </is>
      </c>
      <c r="D176" t="inlineStr">
        <is>
          <t>stale: 14 days old</t>
        </is>
      </c>
    </row>
    <row r="177">
      <c r="A177" t="inlineStr">
        <is>
          <t>WARN</t>
        </is>
      </c>
      <c r="B177" t="inlineStr">
        <is>
          <t>Tennis</t>
        </is>
      </c>
      <c r="C177" t="inlineStr">
        <is>
          <t>Felix Auger-Aliassime</t>
        </is>
      </c>
      <c r="D177" t="inlineStr">
        <is>
          <t>stale: 14 days old</t>
        </is>
      </c>
    </row>
    <row r="178">
      <c r="A178" t="inlineStr">
        <is>
          <t>WARN</t>
        </is>
      </c>
      <c r="B178" t="inlineStr">
        <is>
          <t>Tennis</t>
        </is>
      </c>
      <c r="C178" t="inlineStr">
        <is>
          <t>Daniil Medvedev</t>
        </is>
      </c>
      <c r="D178" t="inlineStr">
        <is>
          <t>stale: 14 days old</t>
        </is>
      </c>
    </row>
    <row r="179">
      <c r="A179" t="inlineStr">
        <is>
          <t>WARN</t>
        </is>
      </c>
      <c r="B179" t="inlineStr">
        <is>
          <t>Tennis</t>
        </is>
      </c>
      <c r="C179" t="inlineStr">
        <is>
          <t>Linda Noskova</t>
        </is>
      </c>
      <c r="D179" t="inlineStr">
        <is>
          <t>stale: 14 days old</t>
        </is>
      </c>
    </row>
    <row r="180">
      <c r="A180" t="inlineStr">
        <is>
          <t>WARN</t>
        </is>
      </c>
      <c r="B180" t="inlineStr">
        <is>
          <t>Tennis</t>
        </is>
      </c>
      <c r="C180" t="inlineStr">
        <is>
          <t>Flavio Cobolli</t>
        </is>
      </c>
      <c r="D180" t="inlineStr">
        <is>
          <t>stale: 14 days old</t>
        </is>
      </c>
    </row>
    <row r="181">
      <c r="A181" t="inlineStr">
        <is>
          <t>WARN</t>
        </is>
      </c>
      <c r="B181" t="inlineStr">
        <is>
          <t>Tennis</t>
        </is>
      </c>
      <c r="C181" t="inlineStr">
        <is>
          <t>Elina Svitolina</t>
        </is>
      </c>
      <c r="D181" t="inlineStr">
        <is>
          <t>stale: 14 days old</t>
        </is>
      </c>
    </row>
    <row r="182">
      <c r="A182" t="inlineStr">
        <is>
          <t>WARN</t>
        </is>
      </c>
      <c r="B182" t="inlineStr">
        <is>
          <t>Tennis</t>
        </is>
      </c>
      <c r="C182" t="inlineStr">
        <is>
          <t>Novak Djokovic</t>
        </is>
      </c>
      <c r="D182" t="inlineStr">
        <is>
          <t>stale: 14 days old</t>
        </is>
      </c>
    </row>
    <row r="183">
      <c r="A183" t="inlineStr">
        <is>
          <t>WARN</t>
        </is>
      </c>
      <c r="B183" t="inlineStr">
        <is>
          <t>Tennis</t>
        </is>
      </c>
      <c r="C183" t="inlineStr">
        <is>
          <t>Iga Swiatek</t>
        </is>
      </c>
      <c r="D183" t="inlineStr">
        <is>
          <t>stale: 14 days old</t>
        </is>
      </c>
    </row>
    <row r="184">
      <c r="A184" t="inlineStr">
        <is>
          <t>WARN</t>
        </is>
      </c>
      <c r="B184" t="inlineStr">
        <is>
          <t>Tennis</t>
        </is>
      </c>
      <c r="C184" t="inlineStr">
        <is>
          <t>Karolina Muchova</t>
        </is>
      </c>
      <c r="D184" t="inlineStr">
        <is>
          <t>stale: 14 days old</t>
        </is>
      </c>
    </row>
    <row r="185">
      <c r="A185" t="inlineStr">
        <is>
          <t>WARN</t>
        </is>
      </c>
      <c r="B185" t="inlineStr">
        <is>
          <t>Tennis</t>
        </is>
      </c>
      <c r="C185" t="inlineStr">
        <is>
          <t>Alex de Minaur</t>
        </is>
      </c>
      <c r="D185" t="inlineStr">
        <is>
          <t>stale: 14 days old</t>
        </is>
      </c>
    </row>
    <row r="186">
      <c r="A186" t="inlineStr">
        <is>
          <t>WARN</t>
        </is>
      </c>
      <c r="B186" t="inlineStr">
        <is>
          <t>Tennis</t>
        </is>
      </c>
      <c r="C186" t="inlineStr">
        <is>
          <t>Frances Tiafoe</t>
        </is>
      </c>
      <c r="D186" t="inlineStr">
        <is>
          <t>stale: 14 days old</t>
        </is>
      </c>
    </row>
    <row r="187">
      <c r="A187" t="inlineStr">
        <is>
          <t>WARN</t>
        </is>
      </c>
      <c r="B187" t="inlineStr">
        <is>
          <t>Tennis</t>
        </is>
      </c>
      <c r="C187" t="inlineStr">
        <is>
          <t>Marta Kostyuk</t>
        </is>
      </c>
      <c r="D187" t="inlineStr">
        <is>
          <t>stale: 14 days old</t>
        </is>
      </c>
    </row>
    <row r="188">
      <c r="A188" t="inlineStr">
        <is>
          <t>WARN</t>
        </is>
      </c>
      <c r="B188" t="inlineStr">
        <is>
          <t>Tennis</t>
        </is>
      </c>
      <c r="C188" t="inlineStr">
        <is>
          <t>Arthur Fils</t>
        </is>
      </c>
      <c r="D188" t="inlineStr">
        <is>
          <t>stale: 14 days old</t>
        </is>
      </c>
    </row>
    <row r="189">
      <c r="A189" t="inlineStr">
        <is>
          <t>WARN</t>
        </is>
      </c>
      <c r="B189" t="inlineStr">
        <is>
          <t>Tennis</t>
        </is>
      </c>
      <c r="C189" t="inlineStr">
        <is>
          <t>Taylor Fritz</t>
        </is>
      </c>
      <c r="D189" t="inlineStr">
        <is>
          <t>stale: 14 days old</t>
        </is>
      </c>
    </row>
    <row r="190">
      <c r="A190" t="inlineStr">
        <is>
          <t>WARN</t>
        </is>
      </c>
      <c r="B190" t="inlineStr">
        <is>
          <t>Tennis</t>
        </is>
      </c>
      <c r="C190" t="inlineStr">
        <is>
          <t>Amanda Anisimova</t>
        </is>
      </c>
      <c r="D190" t="inlineStr">
        <is>
          <t>stale: 14 days old</t>
        </is>
      </c>
    </row>
    <row r="191">
      <c r="A191" t="inlineStr">
        <is>
          <t>WARN</t>
        </is>
      </c>
      <c r="B191" t="inlineStr">
        <is>
          <t>Tennis</t>
        </is>
      </c>
      <c r="C191" t="inlineStr">
        <is>
          <t>Jasmine Paolini</t>
        </is>
      </c>
      <c r="D191" t="inlineStr">
        <is>
          <t>stale: 14 days old</t>
        </is>
      </c>
    </row>
    <row r="192">
      <c r="A192" t="inlineStr">
        <is>
          <t>WARN</t>
        </is>
      </c>
      <c r="B192" t="inlineStr">
        <is>
          <t>Tennis</t>
        </is>
      </c>
      <c r="C192" t="inlineStr">
        <is>
          <t>Madison Keys</t>
        </is>
      </c>
      <c r="D192" t="inlineStr">
        <is>
          <t>stale: 14 days old</t>
        </is>
      </c>
    </row>
    <row r="193">
      <c r="A193" t="inlineStr">
        <is>
          <t>WARN</t>
        </is>
      </c>
      <c r="B193" t="inlineStr">
        <is>
          <t>Golf</t>
        </is>
      </c>
      <c r="C193" t="inlineStr">
        <is>
          <t>Scottie Scheffler</t>
        </is>
      </c>
      <c r="D193" t="inlineStr">
        <is>
          <t>stale: 14 days old</t>
        </is>
      </c>
    </row>
    <row r="194">
      <c r="A194" t="inlineStr">
        <is>
          <t>WARN</t>
        </is>
      </c>
      <c r="B194" t="inlineStr">
        <is>
          <t>Golf</t>
        </is>
      </c>
      <c r="C194" t="inlineStr">
        <is>
          <t>Rory McIlroy</t>
        </is>
      </c>
      <c r="D194" t="inlineStr">
        <is>
          <t>stale: 14 days old</t>
        </is>
      </c>
    </row>
    <row r="195">
      <c r="A195" t="inlineStr">
        <is>
          <t>WARN</t>
        </is>
      </c>
      <c r="B195" t="inlineStr">
        <is>
          <t>Golf</t>
        </is>
      </c>
      <c r="C195" t="inlineStr">
        <is>
          <t>Matt Fitzpatrick</t>
        </is>
      </c>
      <c r="D195" t="inlineStr">
        <is>
          <t>stale: 14 days old</t>
        </is>
      </c>
    </row>
    <row r="196">
      <c r="A196" t="inlineStr">
        <is>
          <t>WARN</t>
        </is>
      </c>
      <c r="B196" t="inlineStr">
        <is>
          <t>Golf</t>
        </is>
      </c>
      <c r="C196" t="inlineStr">
        <is>
          <t>Cameron Young</t>
        </is>
      </c>
      <c r="D196" t="inlineStr">
        <is>
          <t>stale: 14 days old</t>
        </is>
      </c>
    </row>
    <row r="197">
      <c r="A197" t="inlineStr">
        <is>
          <t>WARN</t>
        </is>
      </c>
      <c r="B197" t="inlineStr">
        <is>
          <t>Golf</t>
        </is>
      </c>
      <c r="C197" t="inlineStr">
        <is>
          <t>Wyndham Clark</t>
        </is>
      </c>
      <c r="D197" t="inlineStr">
        <is>
          <t>stale: 14 days old</t>
        </is>
      </c>
    </row>
    <row r="198">
      <c r="A198" t="inlineStr">
        <is>
          <t>WARN</t>
        </is>
      </c>
      <c r="B198" t="inlineStr">
        <is>
          <t>Golf</t>
        </is>
      </c>
      <c r="C198" t="inlineStr">
        <is>
          <t>Russell Henley</t>
        </is>
      </c>
      <c r="D198" t="inlineStr">
        <is>
          <t>stale: 14 days old</t>
        </is>
      </c>
    </row>
    <row r="199">
      <c r="A199" t="inlineStr">
        <is>
          <t>WARN</t>
        </is>
      </c>
      <c r="B199" t="inlineStr">
        <is>
          <t>Golf</t>
        </is>
      </c>
      <c r="C199" t="inlineStr">
        <is>
          <t>Tommy Fleetwood</t>
        </is>
      </c>
      <c r="D199" t="inlineStr">
        <is>
          <t>stale: 14 days old</t>
        </is>
      </c>
    </row>
    <row r="200">
      <c r="A200" t="inlineStr">
        <is>
          <t>WARN</t>
        </is>
      </c>
      <c r="B200" t="inlineStr">
        <is>
          <t>Golf</t>
        </is>
      </c>
      <c r="C200" t="inlineStr">
        <is>
          <t>Chris Gotterup</t>
        </is>
      </c>
      <c r="D200" t="inlineStr">
        <is>
          <t>stale: 14 days old</t>
        </is>
      </c>
    </row>
    <row r="201">
      <c r="A201" t="inlineStr">
        <is>
          <t>WARN</t>
        </is>
      </c>
      <c r="B201" t="inlineStr">
        <is>
          <t>Golf</t>
        </is>
      </c>
      <c r="C201" t="inlineStr">
        <is>
          <t>Sam Burns</t>
        </is>
      </c>
      <c r="D201" t="inlineStr">
        <is>
          <t>stale: 14 days old</t>
        </is>
      </c>
    </row>
    <row r="202">
      <c r="A202" t="inlineStr">
        <is>
          <t>WARN</t>
        </is>
      </c>
      <c r="B202" t="inlineStr">
        <is>
          <t>Golf</t>
        </is>
      </c>
      <c r="C202" t="inlineStr">
        <is>
          <t>Xander Schauffele</t>
        </is>
      </c>
      <c r="D202" t="inlineStr">
        <is>
          <t>stale: 14 days old</t>
        </is>
      </c>
    </row>
    <row r="203">
      <c r="A203" t="inlineStr">
        <is>
          <t>WARN</t>
        </is>
      </c>
      <c r="B203" t="inlineStr">
        <is>
          <t>Golf</t>
        </is>
      </c>
      <c r="C203" t="inlineStr">
        <is>
          <t>Collin Morikawa</t>
        </is>
      </c>
      <c r="D203" t="inlineStr">
        <is>
          <t>stale: 14 days old</t>
        </is>
      </c>
    </row>
    <row r="204">
      <c r="A204" t="inlineStr">
        <is>
          <t>WARN</t>
        </is>
      </c>
      <c r="B204" t="inlineStr">
        <is>
          <t>Golf</t>
        </is>
      </c>
      <c r="C204" t="inlineStr">
        <is>
          <t>J.J. Spaun</t>
        </is>
      </c>
      <c r="D204" t="inlineStr">
        <is>
          <t>stale: 14 days old</t>
        </is>
      </c>
    </row>
    <row r="205">
      <c r="A205" t="inlineStr">
        <is>
          <t>WARN</t>
        </is>
      </c>
      <c r="B205" t="inlineStr">
        <is>
          <t>Golf</t>
        </is>
      </c>
      <c r="C205" t="inlineStr">
        <is>
          <t>Viktor Hovland</t>
        </is>
      </c>
      <c r="D205" t="inlineStr">
        <is>
          <t>stale: 14 days old</t>
        </is>
      </c>
    </row>
    <row r="206">
      <c r="A206" t="inlineStr">
        <is>
          <t>WARN</t>
        </is>
      </c>
      <c r="B206" t="inlineStr">
        <is>
          <t>Golf</t>
        </is>
      </c>
      <c r="C206" t="inlineStr">
        <is>
          <t>Si Woo Kim</t>
        </is>
      </c>
      <c r="D206" t="inlineStr">
        <is>
          <t>stale: 14 days old</t>
        </is>
      </c>
    </row>
    <row r="207">
      <c r="A207" t="inlineStr">
        <is>
          <t>WARN</t>
        </is>
      </c>
      <c r="B207" t="inlineStr">
        <is>
          <t>Golf</t>
        </is>
      </c>
      <c r="C207" t="inlineStr">
        <is>
          <t>Jon Rahm</t>
        </is>
      </c>
      <c r="D207" t="inlineStr">
        <is>
          <t>stale: 14 days old</t>
        </is>
      </c>
    </row>
    <row r="208">
      <c r="A208" t="inlineStr">
        <is>
          <t>WARN</t>
        </is>
      </c>
      <c r="B208" t="inlineStr">
        <is>
          <t>Golf</t>
        </is>
      </c>
      <c r="C208" t="inlineStr">
        <is>
          <t>Aaron Rai</t>
        </is>
      </c>
      <c r="D208" t="inlineStr">
        <is>
          <t>stale: 14 days old</t>
        </is>
      </c>
    </row>
    <row r="209">
      <c r="A209" t="inlineStr">
        <is>
          <t>WARN</t>
        </is>
      </c>
      <c r="B209" t="inlineStr">
        <is>
          <t>Golf</t>
        </is>
      </c>
      <c r="C209" t="inlineStr">
        <is>
          <t>Justin Rose</t>
        </is>
      </c>
      <c r="D209" t="inlineStr">
        <is>
          <t>stale: 14 days old</t>
        </is>
      </c>
    </row>
    <row r="210">
      <c r="A210" t="inlineStr">
        <is>
          <t>WARN</t>
        </is>
      </c>
      <c r="B210" t="inlineStr">
        <is>
          <t>Golf</t>
        </is>
      </c>
      <c r="C210" t="inlineStr">
        <is>
          <t>Ludvig Åberg</t>
        </is>
      </c>
      <c r="D210" t="inlineStr">
        <is>
          <t>stale: 14 days old</t>
        </is>
      </c>
    </row>
    <row r="211">
      <c r="A211" t="inlineStr">
        <is>
          <t>WARN</t>
        </is>
      </c>
      <c r="B211" t="inlineStr">
        <is>
          <t>Golf</t>
        </is>
      </c>
      <c r="C211" t="inlineStr">
        <is>
          <t>Robert MacIntyre</t>
        </is>
      </c>
      <c r="D211" t="inlineStr">
        <is>
          <t>stale: 14 days old</t>
        </is>
      </c>
    </row>
    <row r="212">
      <c r="A212" t="inlineStr">
        <is>
          <t>WARN</t>
        </is>
      </c>
      <c r="B212" t="inlineStr">
        <is>
          <t>Golf</t>
        </is>
      </c>
      <c r="C212" t="inlineStr">
        <is>
          <t>Jacob Bridgeman</t>
        </is>
      </c>
      <c r="D212" t="inlineStr">
        <is>
          <t>stale: 14 days old</t>
        </is>
      </c>
    </row>
    <row r="213">
      <c r="A213" t="inlineStr">
        <is>
          <t>WARN</t>
        </is>
      </c>
      <c r="B213" t="inlineStr">
        <is>
          <t>Golf</t>
        </is>
      </c>
      <c r="C213" t="inlineStr">
        <is>
          <t>Alex Noren</t>
        </is>
      </c>
      <c r="D213" t="inlineStr">
        <is>
          <t>stale: 14 days old</t>
        </is>
      </c>
    </row>
    <row r="214">
      <c r="A214" t="inlineStr">
        <is>
          <t>WARN</t>
        </is>
      </c>
      <c r="B214" t="inlineStr">
        <is>
          <t>Golf</t>
        </is>
      </c>
      <c r="C214" t="inlineStr">
        <is>
          <t>Ryan Fox</t>
        </is>
      </c>
      <c r="D214" t="inlineStr">
        <is>
          <t>stale: 14 days old</t>
        </is>
      </c>
    </row>
    <row r="215">
      <c r="A215" t="inlineStr">
        <is>
          <t>WARN</t>
        </is>
      </c>
      <c r="B215" t="inlineStr">
        <is>
          <t>Golf</t>
        </is>
      </c>
      <c r="C215" t="inlineStr">
        <is>
          <t>Ryan Gerard</t>
        </is>
      </c>
      <c r="D215" t="inlineStr">
        <is>
          <t>stale: 14 days old</t>
        </is>
      </c>
    </row>
    <row r="216">
      <c r="A216" t="inlineStr">
        <is>
          <t>WARN</t>
        </is>
      </c>
      <c r="B216" t="inlineStr">
        <is>
          <t>Golf</t>
        </is>
      </c>
      <c r="C216" t="inlineStr">
        <is>
          <t>Tyrrell Hatton</t>
        </is>
      </c>
      <c r="D216" t="inlineStr">
        <is>
          <t>stale: 14 days old</t>
        </is>
      </c>
    </row>
    <row r="217">
      <c r="A217" t="inlineStr">
        <is>
          <t>WARN</t>
        </is>
      </c>
      <c r="B217" t="inlineStr">
        <is>
          <t>Golf</t>
        </is>
      </c>
      <c r="C217" t="inlineStr">
        <is>
          <t>Ben Griffin</t>
        </is>
      </c>
      <c r="D217" t="inlineStr">
        <is>
          <t>stale: 14 days old</t>
        </is>
      </c>
    </row>
    <row r="218">
      <c r="A218" t="inlineStr">
        <is>
          <t>WARN</t>
        </is>
      </c>
      <c r="B218" t="inlineStr">
        <is>
          <t>Golf</t>
        </is>
      </c>
      <c r="C218" t="inlineStr">
        <is>
          <t>Hideki Matsuyama</t>
        </is>
      </c>
      <c r="D218" t="inlineStr">
        <is>
          <t>stale: 14 days old</t>
        </is>
      </c>
    </row>
    <row r="219">
      <c r="A219" t="inlineStr">
        <is>
          <t>WARN</t>
        </is>
      </c>
      <c r="B219" t="inlineStr">
        <is>
          <t>Golf</t>
        </is>
      </c>
      <c r="C219" t="inlineStr">
        <is>
          <t>Justin Thomas</t>
        </is>
      </c>
      <c r="D219" t="inlineStr">
        <is>
          <t>stale: 14 days old</t>
        </is>
      </c>
    </row>
    <row r="220">
      <c r="A220" t="inlineStr">
        <is>
          <t>WARN</t>
        </is>
      </c>
      <c r="B220" t="inlineStr">
        <is>
          <t>Golf</t>
        </is>
      </c>
      <c r="C220" t="inlineStr">
        <is>
          <t>Patrick Cantlay</t>
        </is>
      </c>
      <c r="D220" t="inlineStr">
        <is>
          <t>stale: 14 days old</t>
        </is>
      </c>
    </row>
    <row r="221">
      <c r="A221" t="inlineStr">
        <is>
          <t>WARN</t>
        </is>
      </c>
      <c r="B221" t="inlineStr">
        <is>
          <t>Golf</t>
        </is>
      </c>
      <c r="C221" t="inlineStr">
        <is>
          <t>Patrick Reed</t>
        </is>
      </c>
      <c r="D221" t="inlineStr">
        <is>
          <t>stale: 14 days old</t>
        </is>
      </c>
    </row>
    <row r="222">
      <c r="A222" t="inlineStr">
        <is>
          <t>WARN</t>
        </is>
      </c>
      <c r="B222" t="inlineStr">
        <is>
          <t>Golf</t>
        </is>
      </c>
      <c r="C222" t="inlineStr">
        <is>
          <t>Kristoffer Reitan</t>
        </is>
      </c>
      <c r="D222" t="inlineStr">
        <is>
          <t>stale: 14 days old</t>
        </is>
      </c>
    </row>
    <row r="223">
      <c r="A223" t="inlineStr">
        <is>
          <t>WARN</t>
        </is>
      </c>
      <c r="B223" t="inlineStr">
        <is>
          <t>Golf</t>
        </is>
      </c>
      <c r="C223" t="inlineStr">
        <is>
          <t>Min Woo Lee</t>
        </is>
      </c>
      <c r="D223" t="inlineStr">
        <is>
          <t>stale: 14 days old</t>
        </is>
      </c>
    </row>
    <row r="224">
      <c r="A224" t="inlineStr">
        <is>
          <t>WARN</t>
        </is>
      </c>
      <c r="B224" t="inlineStr">
        <is>
          <t>Golf</t>
        </is>
      </c>
      <c r="C224" t="inlineStr">
        <is>
          <t>Tom Kim</t>
        </is>
      </c>
      <c r="D224" t="inlineStr">
        <is>
          <t>stale: 14 days old</t>
        </is>
      </c>
    </row>
    <row r="225">
      <c r="A225" t="inlineStr">
        <is>
          <t>WARN</t>
        </is>
      </c>
      <c r="B225" t="inlineStr">
        <is>
          <t>Golf</t>
        </is>
      </c>
      <c r="C225" t="inlineStr">
        <is>
          <t>Michael Brennan</t>
        </is>
      </c>
      <c r="D225" t="inlineStr">
        <is>
          <t>stale: 14 days old</t>
        </is>
      </c>
    </row>
    <row r="226">
      <c r="A226" t="inlineStr">
        <is>
          <t>WARN</t>
        </is>
      </c>
      <c r="B226" t="inlineStr">
        <is>
          <t>Golf</t>
        </is>
      </c>
      <c r="C226" t="inlineStr">
        <is>
          <t>Akshay Bhatia</t>
        </is>
      </c>
      <c r="D226" t="inlineStr">
        <is>
          <t>stale: 14 days old</t>
        </is>
      </c>
    </row>
    <row r="227">
      <c r="A227" t="inlineStr">
        <is>
          <t>WARN</t>
        </is>
      </c>
      <c r="B227" t="inlineStr">
        <is>
          <t>Golf</t>
        </is>
      </c>
      <c r="C227" t="inlineStr">
        <is>
          <t>Joaquin Niemann</t>
        </is>
      </c>
      <c r="D227" t="inlineStr">
        <is>
          <t>stale: 14 days old</t>
        </is>
      </c>
    </row>
    <row r="228">
      <c r="A228" t="inlineStr">
        <is>
          <t>WARN</t>
        </is>
      </c>
      <c r="B228" t="inlineStr">
        <is>
          <t>Golf</t>
        </is>
      </c>
      <c r="C228" t="inlineStr">
        <is>
          <t>Sepp Straka</t>
        </is>
      </c>
      <c r="D228" t="inlineStr">
        <is>
          <t>stale: 14 days old</t>
        </is>
      </c>
    </row>
    <row r="229">
      <c r="A229" t="inlineStr">
        <is>
          <t>WARN</t>
        </is>
      </c>
      <c r="B229" t="inlineStr">
        <is>
          <t>Golf</t>
        </is>
      </c>
      <c r="C229" t="inlineStr">
        <is>
          <t>Bryson DeChambeau</t>
        </is>
      </c>
      <c r="D229" t="inlineStr">
        <is>
          <t>stale: 14 days old</t>
        </is>
      </c>
    </row>
    <row r="230">
      <c r="A230" t="inlineStr">
        <is>
          <t>WARN</t>
        </is>
      </c>
      <c r="B230" t="inlineStr">
        <is>
          <t>Golf</t>
        </is>
      </c>
      <c r="C230" t="inlineStr">
        <is>
          <t>J.T. Poston</t>
        </is>
      </c>
      <c r="D230" t="inlineStr">
        <is>
          <t>stale: 14 days old</t>
        </is>
      </c>
    </row>
    <row r="231">
      <c r="A231" t="inlineStr">
        <is>
          <t>WARN</t>
        </is>
      </c>
      <c r="B231" t="inlineStr">
        <is>
          <t>Golf</t>
        </is>
      </c>
      <c r="C231" t="inlineStr">
        <is>
          <t>Shane Lowry</t>
        </is>
      </c>
      <c r="D231" t="inlineStr">
        <is>
          <t>stale: 14 days old</t>
        </is>
      </c>
    </row>
    <row r="232">
      <c r="A232" t="inlineStr">
        <is>
          <t>WARN</t>
        </is>
      </c>
      <c r="B232" t="inlineStr">
        <is>
          <t>Golf</t>
        </is>
      </c>
      <c r="C232" t="inlineStr">
        <is>
          <t>Michael Thorbjornsen</t>
        </is>
      </c>
      <c r="D232" t="inlineStr">
        <is>
          <t>stale: 14 days old</t>
        </is>
      </c>
    </row>
    <row r="233">
      <c r="A233" t="inlineStr">
        <is>
          <t>WARN</t>
        </is>
      </c>
      <c r="B233" t="inlineStr">
        <is>
          <t>NASCAR</t>
        </is>
      </c>
      <c r="C233" t="inlineStr">
        <is>
          <t>Kyle Larson</t>
        </is>
      </c>
      <c r="D233" t="inlineStr">
        <is>
          <t>stale: 14 days old</t>
        </is>
      </c>
    </row>
    <row r="234">
      <c r="A234" t="inlineStr">
        <is>
          <t>WARN</t>
        </is>
      </c>
      <c r="B234" t="inlineStr">
        <is>
          <t>NASCAR</t>
        </is>
      </c>
      <c r="C234" t="inlineStr">
        <is>
          <t>Kyle Larson</t>
        </is>
      </c>
      <c r="D234" t="inlineStr">
        <is>
          <t>confidence-C candidate is in the overall board top 10 — verify before relying</t>
        </is>
      </c>
    </row>
    <row r="235">
      <c r="A235" t="inlineStr">
        <is>
          <t>WARN</t>
        </is>
      </c>
      <c r="B235" t="inlineStr">
        <is>
          <t>NASCAR</t>
        </is>
      </c>
      <c r="C235" t="inlineStr">
        <is>
          <t>Denny Hamlin</t>
        </is>
      </c>
      <c r="D235" t="inlineStr">
        <is>
          <t>stale: 14 days old</t>
        </is>
      </c>
    </row>
    <row r="236">
      <c r="A236" t="inlineStr">
        <is>
          <t>WARN</t>
        </is>
      </c>
      <c r="B236" t="inlineStr">
        <is>
          <t>NASCAR</t>
        </is>
      </c>
      <c r="C236" t="inlineStr">
        <is>
          <t>Christopher Bell</t>
        </is>
      </c>
      <c r="D236" t="inlineStr">
        <is>
          <t>stale: 14 days old</t>
        </is>
      </c>
    </row>
    <row r="237">
      <c r="A237" t="inlineStr">
        <is>
          <t>WARN</t>
        </is>
      </c>
      <c r="B237" t="inlineStr">
        <is>
          <t>NASCAR</t>
        </is>
      </c>
      <c r="C237" t="inlineStr">
        <is>
          <t>Joey Logano</t>
        </is>
      </c>
      <c r="D237" t="inlineStr">
        <is>
          <t>stale: 14 days old</t>
        </is>
      </c>
    </row>
    <row r="238">
      <c r="A238" t="inlineStr">
        <is>
          <t>WARN</t>
        </is>
      </c>
      <c r="B238" t="inlineStr">
        <is>
          <t>NASCAR</t>
        </is>
      </c>
      <c r="C238" t="inlineStr">
        <is>
          <t>Ryan Blaney</t>
        </is>
      </c>
      <c r="D238" t="inlineStr">
        <is>
          <t>stale: 14 days old</t>
        </is>
      </c>
    </row>
    <row r="239">
      <c r="A239" t="inlineStr">
        <is>
          <t>WARN</t>
        </is>
      </c>
      <c r="B239" t="inlineStr">
        <is>
          <t>NASCAR</t>
        </is>
      </c>
      <c r="C239" t="inlineStr">
        <is>
          <t>William Byron</t>
        </is>
      </c>
      <c r="D239" t="inlineStr">
        <is>
          <t>stale: 14 days old</t>
        </is>
      </c>
    </row>
    <row r="240">
      <c r="A240" t="inlineStr">
        <is>
          <t>WARN</t>
        </is>
      </c>
      <c r="B240" t="inlineStr">
        <is>
          <t>NASCAR</t>
        </is>
      </c>
      <c r="C240" t="inlineStr">
        <is>
          <t>Chase Briscoe</t>
        </is>
      </c>
      <c r="D240" t="inlineStr">
        <is>
          <t>stale: 14 days old</t>
        </is>
      </c>
    </row>
    <row r="241">
      <c r="A241" t="inlineStr">
        <is>
          <t>WARN</t>
        </is>
      </c>
      <c r="B241" t="inlineStr">
        <is>
          <t>NASCAR</t>
        </is>
      </c>
      <c r="C241" t="inlineStr">
        <is>
          <t>Chase Elliott</t>
        </is>
      </c>
      <c r="D241" t="inlineStr">
        <is>
          <t>stale: 14 days old</t>
        </is>
      </c>
    </row>
    <row r="242">
      <c r="A242" t="inlineStr">
        <is>
          <t>WARN</t>
        </is>
      </c>
      <c r="B242" t="inlineStr">
        <is>
          <t>NASCAR</t>
        </is>
      </c>
      <c r="C242" t="inlineStr">
        <is>
          <t>Tyler Reddick</t>
        </is>
      </c>
      <c r="D242" t="inlineStr">
        <is>
          <t>stale: 14 days old</t>
        </is>
      </c>
    </row>
    <row r="243">
      <c r="A243" t="inlineStr">
        <is>
          <t>WARN</t>
        </is>
      </c>
      <c r="B243" t="inlineStr">
        <is>
          <t>NASCAR</t>
        </is>
      </c>
      <c r="C243" t="inlineStr">
        <is>
          <t>Shane van Gisbergen</t>
        </is>
      </c>
      <c r="D243" t="inlineStr">
        <is>
          <t>stale: 14 days old</t>
        </is>
      </c>
    </row>
    <row r="244">
      <c r="A244" t="inlineStr">
        <is>
          <t>WARN</t>
        </is>
      </c>
      <c r="B244" t="inlineStr">
        <is>
          <t>NASCAR</t>
        </is>
      </c>
      <c r="C244" t="inlineStr">
        <is>
          <t>Michael McDowell</t>
        </is>
      </c>
      <c r="D244" t="inlineStr">
        <is>
          <t>stale: 14 days old</t>
        </is>
      </c>
    </row>
    <row r="245">
      <c r="A245" t="inlineStr">
        <is>
          <t>WARN</t>
        </is>
      </c>
      <c r="B245" t="inlineStr">
        <is>
          <t>NASCAR</t>
        </is>
      </c>
      <c r="C245" t="inlineStr">
        <is>
          <t>Ty Gibbs</t>
        </is>
      </c>
      <c r="D245" t="inlineStr">
        <is>
          <t>stale: 14 days old</t>
        </is>
      </c>
    </row>
    <row r="246">
      <c r="A246" t="inlineStr">
        <is>
          <t>WARN</t>
        </is>
      </c>
      <c r="B246" t="inlineStr">
        <is>
          <t>NASCAR</t>
        </is>
      </c>
      <c r="C246" t="inlineStr">
        <is>
          <t>AJ Allmendinger</t>
        </is>
      </c>
      <c r="D246" t="inlineStr">
        <is>
          <t>stale: 14 days old</t>
        </is>
      </c>
    </row>
    <row r="247">
      <c r="A247" t="inlineStr">
        <is>
          <t>WARN</t>
        </is>
      </c>
      <c r="B247" t="inlineStr">
        <is>
          <t>NASCAR</t>
        </is>
      </c>
      <c r="C247" t="inlineStr">
        <is>
          <t>Alex Bowman</t>
        </is>
      </c>
      <c r="D247" t="inlineStr">
        <is>
          <t>stale: 14 days old</t>
        </is>
      </c>
    </row>
    <row r="248">
      <c r="A248" t="inlineStr">
        <is>
          <t>WARN</t>
        </is>
      </c>
      <c r="B248" t="inlineStr">
        <is>
          <t>NASCAR</t>
        </is>
      </c>
      <c r="C248" t="inlineStr">
        <is>
          <t>Riley Herbst</t>
        </is>
      </c>
      <c r="D248" t="inlineStr">
        <is>
          <t>stale: 14 days old</t>
        </is>
      </c>
    </row>
    <row r="249">
      <c r="A249" t="inlineStr">
        <is>
          <t>WARN</t>
        </is>
      </c>
      <c r="B249" t="inlineStr">
        <is>
          <t>NASCAR</t>
        </is>
      </c>
      <c r="C249" t="inlineStr">
        <is>
          <t>Ross Chastain</t>
        </is>
      </c>
      <c r="D249" t="inlineStr">
        <is>
          <t>stale: 14 days old</t>
        </is>
      </c>
    </row>
    <row r="250">
      <c r="A250" t="inlineStr">
        <is>
          <t>WARN</t>
        </is>
      </c>
      <c r="B250" t="inlineStr">
        <is>
          <t>NASCAR</t>
        </is>
      </c>
      <c r="C250" t="inlineStr">
        <is>
          <t>Todd Gilliland</t>
        </is>
      </c>
      <c r="D250" t="inlineStr">
        <is>
          <t>stale: 14 days old</t>
        </is>
      </c>
    </row>
    <row r="251">
      <c r="A251" t="inlineStr">
        <is>
          <t>WARN</t>
        </is>
      </c>
      <c r="B251" t="inlineStr">
        <is>
          <t>NASCAR</t>
        </is>
      </c>
      <c r="C251" t="inlineStr">
        <is>
          <t>Ryan Preece</t>
        </is>
      </c>
      <c r="D251" t="inlineStr">
        <is>
          <t>stale: 14 days old</t>
        </is>
      </c>
    </row>
    <row r="252">
      <c r="A252" t="inlineStr">
        <is>
          <t>WARN</t>
        </is>
      </c>
      <c r="B252" t="inlineStr">
        <is>
          <t>NASCAR</t>
        </is>
      </c>
      <c r="C252" t="inlineStr">
        <is>
          <t>Bubba Wallace</t>
        </is>
      </c>
      <c r="D252" t="inlineStr">
        <is>
          <t>stale: 14 days old</t>
        </is>
      </c>
    </row>
    <row r="253">
      <c r="A253" t="inlineStr">
        <is>
          <t>WARN</t>
        </is>
      </c>
      <c r="B253" t="inlineStr">
        <is>
          <t>NASCAR</t>
        </is>
      </c>
      <c r="C253" t="inlineStr">
        <is>
          <t>Zane Smith</t>
        </is>
      </c>
      <c r="D253" t="inlineStr">
        <is>
          <t>stale: 14 days old</t>
        </is>
      </c>
    </row>
    <row r="254">
      <c r="A254" t="inlineStr">
        <is>
          <t>WARN</t>
        </is>
      </c>
      <c r="B254" t="inlineStr">
        <is>
          <t>NASCAR</t>
        </is>
      </c>
      <c r="C254" t="inlineStr">
        <is>
          <t>Noah Gragson</t>
        </is>
      </c>
      <c r="D254" t="inlineStr">
        <is>
          <t>stale: 14 days old</t>
        </is>
      </c>
    </row>
    <row r="255">
      <c r="A255" t="inlineStr">
        <is>
          <t>WARN</t>
        </is>
      </c>
      <c r="B255" t="inlineStr">
        <is>
          <t>NASCAR</t>
        </is>
      </c>
      <c r="C255" t="inlineStr">
        <is>
          <t>Austin Cindric</t>
        </is>
      </c>
      <c r="D255" t="inlineStr">
        <is>
          <t>stale: 14 days old</t>
        </is>
      </c>
    </row>
    <row r="256">
      <c r="A256" t="inlineStr">
        <is>
          <t>WARN</t>
        </is>
      </c>
      <c r="B256" t="inlineStr">
        <is>
          <t>NASCAR</t>
        </is>
      </c>
      <c r="C256" t="inlineStr">
        <is>
          <t>Daniel Suarez</t>
        </is>
      </c>
      <c r="D256" t="inlineStr">
        <is>
          <t>stale: 14 days old</t>
        </is>
      </c>
    </row>
    <row r="257">
      <c r="A257" t="inlineStr">
        <is>
          <t>WARN</t>
        </is>
      </c>
      <c r="B257" t="inlineStr">
        <is>
          <t>NASCAR</t>
        </is>
      </c>
      <c r="C257" t="inlineStr">
        <is>
          <t>Carson Hocevar</t>
        </is>
      </c>
      <c r="D257" t="inlineStr">
        <is>
          <t>stale: 14 days old</t>
        </is>
      </c>
    </row>
    <row r="258">
      <c r="A258" t="inlineStr">
        <is>
          <t>WARN</t>
        </is>
      </c>
      <c r="B258" t="inlineStr">
        <is>
          <t>MLS</t>
        </is>
      </c>
      <c r="C258" t="inlineStr">
        <is>
          <t>Nashville SC</t>
        </is>
      </c>
      <c r="D258" t="inlineStr">
        <is>
          <t>stale: 14 days old</t>
        </is>
      </c>
    </row>
    <row r="259">
      <c r="A259" t="inlineStr">
        <is>
          <t>WARN</t>
        </is>
      </c>
      <c r="B259" t="inlineStr">
        <is>
          <t>MLS</t>
        </is>
      </c>
      <c r="C259" t="inlineStr">
        <is>
          <t>Vancouver Whitecaps FC</t>
        </is>
      </c>
      <c r="D259" t="inlineStr">
        <is>
          <t>stale: 14 days old</t>
        </is>
      </c>
    </row>
    <row r="260">
      <c r="A260" t="inlineStr">
        <is>
          <t>WARN</t>
        </is>
      </c>
      <c r="B260" t="inlineStr">
        <is>
          <t>MLS</t>
        </is>
      </c>
      <c r="C260" t="inlineStr">
        <is>
          <t>Inter Miami CF</t>
        </is>
      </c>
      <c r="D260" t="inlineStr">
        <is>
          <t>stale: 14 days old</t>
        </is>
      </c>
    </row>
    <row r="261">
      <c r="A261" t="inlineStr">
        <is>
          <t>WARN</t>
        </is>
      </c>
      <c r="B261" t="inlineStr">
        <is>
          <t>MLS</t>
        </is>
      </c>
      <c r="C261" t="inlineStr">
        <is>
          <t>St. Louis City SC</t>
        </is>
      </c>
      <c r="D261" t="inlineStr">
        <is>
          <t>stale: 14 days old</t>
        </is>
      </c>
    </row>
    <row r="262">
      <c r="A262" t="inlineStr">
        <is>
          <t>WARN</t>
        </is>
      </c>
      <c r="B262" t="inlineStr">
        <is>
          <t>MLS</t>
        </is>
      </c>
      <c r="C262" t="inlineStr">
        <is>
          <t>FC Dallas</t>
        </is>
      </c>
      <c r="D262" t="inlineStr">
        <is>
          <t>stale: 14 days old</t>
        </is>
      </c>
    </row>
    <row r="263">
      <c r="A263" t="inlineStr">
        <is>
          <t>WARN</t>
        </is>
      </c>
      <c r="B263" t="inlineStr">
        <is>
          <t>MLS</t>
        </is>
      </c>
      <c r="C263" t="inlineStr">
        <is>
          <t>New England Revolution</t>
        </is>
      </c>
      <c r="D263" t="inlineStr">
        <is>
          <t>stale: 14 days old</t>
        </is>
      </c>
    </row>
    <row r="264">
      <c r="A264" t="inlineStr">
        <is>
          <t>WARN</t>
        </is>
      </c>
      <c r="B264" t="inlineStr">
        <is>
          <t>MLS</t>
        </is>
      </c>
      <c r="C264" t="inlineStr">
        <is>
          <t>Chicago Fire FC</t>
        </is>
      </c>
      <c r="D264" t="inlineStr">
        <is>
          <t>stale: 14 days old</t>
        </is>
      </c>
    </row>
    <row r="265">
      <c r="A265" t="inlineStr">
        <is>
          <t>WARN</t>
        </is>
      </c>
      <c r="B265" t="inlineStr">
        <is>
          <t>MLS</t>
        </is>
      </c>
      <c r="C265" t="inlineStr">
        <is>
          <t>Los Angeles FC</t>
        </is>
      </c>
      <c r="D265" t="inlineStr">
        <is>
          <t>stale: 14 days old</t>
        </is>
      </c>
    </row>
    <row r="266">
      <c r="A266" t="inlineStr">
        <is>
          <t>WARN</t>
        </is>
      </c>
      <c r="B266" t="inlineStr">
        <is>
          <t>MLS</t>
        </is>
      </c>
      <c r="C266" t="inlineStr">
        <is>
          <t>Houston Dynamo FC</t>
        </is>
      </c>
      <c r="D266" t="inlineStr">
        <is>
          <t>stale: 14 days old</t>
        </is>
      </c>
    </row>
    <row r="267">
      <c r="A267" t="inlineStr">
        <is>
          <t>WARN</t>
        </is>
      </c>
      <c r="B267" t="inlineStr">
        <is>
          <t>MLS</t>
        </is>
      </c>
      <c r="C267" t="inlineStr">
        <is>
          <t>San Jose Earthquakes</t>
        </is>
      </c>
      <c r="D267" t="inlineStr">
        <is>
          <t>stale: 14 days old</t>
        </is>
      </c>
    </row>
    <row r="268">
      <c r="A268" t="inlineStr">
        <is>
          <t>WARN</t>
        </is>
      </c>
      <c r="B268" t="inlineStr">
        <is>
          <t>MLS</t>
        </is>
      </c>
      <c r="C268" t="inlineStr">
        <is>
          <t>Charlotte FC</t>
        </is>
      </c>
      <c r="D268" t="inlineStr">
        <is>
          <t>stale: 14 days old</t>
        </is>
      </c>
    </row>
    <row r="269">
      <c r="A269" t="inlineStr">
        <is>
          <t>WARN</t>
        </is>
      </c>
      <c r="B269" t="inlineStr">
        <is>
          <t>MLS</t>
        </is>
      </c>
      <c r="C269" t="inlineStr">
        <is>
          <t>Philadelphia Union</t>
        </is>
      </c>
      <c r="D269" t="inlineStr">
        <is>
          <t>stale: 14 days old</t>
        </is>
      </c>
    </row>
    <row r="270">
      <c r="A270" t="inlineStr">
        <is>
          <t>WARN</t>
        </is>
      </c>
      <c r="B270" t="inlineStr">
        <is>
          <t>MLS</t>
        </is>
      </c>
      <c r="C270" t="inlineStr">
        <is>
          <t>Seattle Sounders FC</t>
        </is>
      </c>
      <c r="D270" t="inlineStr">
        <is>
          <t>stale: 14 days old</t>
        </is>
      </c>
    </row>
    <row r="271">
      <c r="A271" t="inlineStr">
        <is>
          <t>WARN</t>
        </is>
      </c>
      <c r="B271" t="inlineStr">
        <is>
          <t>MLS</t>
        </is>
      </c>
      <c r="C271" t="inlineStr">
        <is>
          <t>LA Galaxy</t>
        </is>
      </c>
      <c r="D271" t="inlineStr">
        <is>
          <t>stale: 14 days old</t>
        </is>
      </c>
    </row>
    <row r="272">
      <c r="A272" t="inlineStr">
        <is>
          <t>WARN</t>
        </is>
      </c>
      <c r="B272" t="inlineStr">
        <is>
          <t>MLS</t>
        </is>
      </c>
      <c r="C272" t="inlineStr">
        <is>
          <t>Orlando City SC</t>
        </is>
      </c>
      <c r="D272" t="inlineStr">
        <is>
          <t>stale: 14 days old</t>
        </is>
      </c>
    </row>
    <row r="273">
      <c r="A273" t="inlineStr">
        <is>
          <t>WARN</t>
        </is>
      </c>
      <c r="B273" t="inlineStr">
        <is>
          <t>MLS</t>
        </is>
      </c>
      <c r="C273" t="inlineStr">
        <is>
          <t>Colorado Rapids</t>
        </is>
      </c>
      <c r="D273" t="inlineStr">
        <is>
          <t>stale: 14 days old</t>
        </is>
      </c>
    </row>
    <row r="274">
      <c r="A274" t="inlineStr">
        <is>
          <t>WARN</t>
        </is>
      </c>
      <c r="B274" t="inlineStr">
        <is>
          <t>MLS</t>
        </is>
      </c>
      <c r="C274" t="inlineStr">
        <is>
          <t>New York Red Bulls</t>
        </is>
      </c>
      <c r="D274" t="inlineStr">
        <is>
          <t>stale: 14 days old</t>
        </is>
      </c>
    </row>
    <row r="275">
      <c r="A275" t="inlineStr">
        <is>
          <t>WARN</t>
        </is>
      </c>
      <c r="B275" t="inlineStr">
        <is>
          <t>MLS</t>
        </is>
      </c>
      <c r="C275" t="inlineStr">
        <is>
          <t>New York City FC</t>
        </is>
      </c>
      <c r="D275" t="inlineStr">
        <is>
          <t>stale: 14 days old</t>
        </is>
      </c>
    </row>
    <row r="276">
      <c r="A276" t="inlineStr">
        <is>
          <t>WARN</t>
        </is>
      </c>
      <c r="B276" t="inlineStr">
        <is>
          <t>MLS</t>
        </is>
      </c>
      <c r="C276" t="inlineStr">
        <is>
          <t>FC Cincinnati</t>
        </is>
      </c>
      <c r="D276" t="inlineStr">
        <is>
          <t>stale: 14 days old</t>
        </is>
      </c>
    </row>
    <row r="277">
      <c r="A277" t="inlineStr">
        <is>
          <t>WARN</t>
        </is>
      </c>
      <c r="B277" t="inlineStr">
        <is>
          <t>MLS</t>
        </is>
      </c>
      <c r="C277" t="inlineStr">
        <is>
          <t>San Diego FC</t>
        </is>
      </c>
      <c r="D277" t="inlineStr">
        <is>
          <t>stale: 14 days old</t>
        </is>
      </c>
    </row>
    <row r="278">
      <c r="A278" t="inlineStr">
        <is>
          <t>WARN</t>
        </is>
      </c>
      <c r="B278" t="inlineStr">
        <is>
          <t>MLS</t>
        </is>
      </c>
      <c r="C278" t="inlineStr">
        <is>
          <t>Portland Timbers</t>
        </is>
      </c>
      <c r="D278" t="inlineStr">
        <is>
          <t>stale: 14 days old</t>
        </is>
      </c>
    </row>
    <row r="279">
      <c r="A279" t="inlineStr">
        <is>
          <t>WARN</t>
        </is>
      </c>
      <c r="B279" t="inlineStr">
        <is>
          <t>MLS</t>
        </is>
      </c>
      <c r="C279" t="inlineStr">
        <is>
          <t>Minnesota United FC</t>
        </is>
      </c>
      <c r="D279" t="inlineStr">
        <is>
          <t>stale: 14 days old</t>
        </is>
      </c>
    </row>
    <row r="280">
      <c r="A280" t="inlineStr">
        <is>
          <t>WARN</t>
        </is>
      </c>
      <c r="B280" t="inlineStr">
        <is>
          <t>MLS</t>
        </is>
      </c>
      <c r="C280" t="inlineStr">
        <is>
          <t>Real Salt Lake</t>
        </is>
      </c>
      <c r="D280" t="inlineStr">
        <is>
          <t>stale: 14 days old</t>
        </is>
      </c>
    </row>
    <row r="281">
      <c r="A281" t="inlineStr">
        <is>
          <t>WARN</t>
        </is>
      </c>
      <c r="B281" t="inlineStr">
        <is>
          <t>MLS</t>
        </is>
      </c>
      <c r="C281" t="inlineStr">
        <is>
          <t>Austin FC</t>
        </is>
      </c>
      <c r="D281" t="inlineStr">
        <is>
          <t>stale: 14 days old</t>
        </is>
      </c>
    </row>
    <row r="282">
      <c r="A282" t="inlineStr">
        <is>
          <t>WARN</t>
        </is>
      </c>
      <c r="B282" t="inlineStr">
        <is>
          <t>MLS</t>
        </is>
      </c>
      <c r="C282" t="inlineStr">
        <is>
          <t>D.C. United</t>
        </is>
      </c>
      <c r="D282" t="inlineStr">
        <is>
          <t>stale: 14 days old</t>
        </is>
      </c>
    </row>
    <row r="283">
      <c r="A283" t="inlineStr">
        <is>
          <t>WARN</t>
        </is>
      </c>
      <c r="B283" t="inlineStr">
        <is>
          <t>MLS</t>
        </is>
      </c>
      <c r="C283" t="inlineStr">
        <is>
          <t>Columbus Crew</t>
        </is>
      </c>
      <c r="D283" t="inlineStr">
        <is>
          <t>stale: 14 days old</t>
        </is>
      </c>
    </row>
    <row r="284">
      <c r="A284" t="inlineStr">
        <is>
          <t>WARN</t>
        </is>
      </c>
      <c r="B284" t="inlineStr">
        <is>
          <t>MLS</t>
        </is>
      </c>
      <c r="C284" t="inlineStr">
        <is>
          <t>Toronto FC</t>
        </is>
      </c>
      <c r="D284" t="inlineStr">
        <is>
          <t>stale: 14 days old</t>
        </is>
      </c>
    </row>
    <row r="285">
      <c r="A285" t="inlineStr">
        <is>
          <t>WARN</t>
        </is>
      </c>
      <c r="B285" t="inlineStr">
        <is>
          <t>MLS</t>
        </is>
      </c>
      <c r="C285" t="inlineStr">
        <is>
          <t>Atlanta United FC</t>
        </is>
      </c>
      <c r="D285" t="inlineStr">
        <is>
          <t>stale: 14 days old</t>
        </is>
      </c>
    </row>
    <row r="286">
      <c r="A286" t="inlineStr">
        <is>
          <t>WARN</t>
        </is>
      </c>
      <c r="B286" t="inlineStr">
        <is>
          <t>MLS</t>
        </is>
      </c>
      <c r="C286" t="inlineStr">
        <is>
          <t>CF Montréal</t>
        </is>
      </c>
      <c r="D286" t="inlineStr">
        <is>
          <t>stale: 14 days old</t>
        </is>
      </c>
    </row>
    <row r="287">
      <c r="A287" t="inlineStr">
        <is>
          <t>WARN</t>
        </is>
      </c>
      <c r="B287" t="inlineStr">
        <is>
          <t>MLS</t>
        </is>
      </c>
      <c r="C287" t="inlineStr">
        <is>
          <t>Sporting Kansas City</t>
        </is>
      </c>
      <c r="D287" t="inlineStr">
        <is>
          <t>stale: 14 days old</t>
        </is>
      </c>
    </row>
    <row r="288">
      <c r="A288" t="inlineStr">
        <is>
          <t>WARN</t>
        </is>
      </c>
      <c r="B288" t="inlineStr">
        <is>
          <t>Actor</t>
        </is>
      </c>
      <c r="C288" t="inlineStr">
        <is>
          <t>Ryan Gosling</t>
        </is>
      </c>
      <c r="D288" t="inlineStr">
        <is>
          <t>stale: 14 days old</t>
        </is>
      </c>
    </row>
    <row r="289">
      <c r="A289" t="inlineStr">
        <is>
          <t>WARN</t>
        </is>
      </c>
      <c r="B289" t="inlineStr">
        <is>
          <t>Actor</t>
        </is>
      </c>
      <c r="C289" t="inlineStr">
        <is>
          <t>John Malkovich</t>
        </is>
      </c>
      <c r="D289" t="inlineStr">
        <is>
          <t>stale: 14 days old</t>
        </is>
      </c>
    </row>
    <row r="290">
      <c r="A290" t="inlineStr">
        <is>
          <t>WARN</t>
        </is>
      </c>
      <c r="B290" t="inlineStr">
        <is>
          <t>Actor</t>
        </is>
      </c>
      <c r="C290" t="inlineStr">
        <is>
          <t>Aaron Pierre</t>
        </is>
      </c>
      <c r="D290" t="inlineStr">
        <is>
          <t>stale: 14 days old</t>
        </is>
      </c>
    </row>
    <row r="291">
      <c r="A291" t="inlineStr">
        <is>
          <t>WARN</t>
        </is>
      </c>
      <c r="B291" t="inlineStr">
        <is>
          <t>Actor</t>
        </is>
      </c>
      <c r="C291" t="inlineStr">
        <is>
          <t>Skyler Gisondo</t>
        </is>
      </c>
      <c r="D291" t="inlineStr">
        <is>
          <t>stale: 14 days old</t>
        </is>
      </c>
    </row>
    <row r="292">
      <c r="A292" t="inlineStr">
        <is>
          <t>WARN</t>
        </is>
      </c>
      <c r="B292" t="inlineStr">
        <is>
          <t>Actor</t>
        </is>
      </c>
      <c r="C292" t="inlineStr">
        <is>
          <t>Matt Damon</t>
        </is>
      </c>
      <c r="D292" t="inlineStr">
        <is>
          <t>stale: 14 days old</t>
        </is>
      </c>
    </row>
    <row r="293">
      <c r="A293" t="inlineStr">
        <is>
          <t>WARN</t>
        </is>
      </c>
      <c r="B293" t="inlineStr">
        <is>
          <t>Actor</t>
        </is>
      </c>
      <c r="C293" t="inlineStr">
        <is>
          <t>Andrew Scott</t>
        </is>
      </c>
      <c r="D293" t="inlineStr">
        <is>
          <t>stale: 14 days old</t>
        </is>
      </c>
    </row>
    <row r="294">
      <c r="A294" t="inlineStr">
        <is>
          <t>WARN</t>
        </is>
      </c>
      <c r="B294" t="inlineStr">
        <is>
          <t>Actor</t>
        </is>
      </c>
      <c r="C294" t="inlineStr">
        <is>
          <t>Josh Gad</t>
        </is>
      </c>
      <c r="D294" t="inlineStr">
        <is>
          <t>stale: 14 days old</t>
        </is>
      </c>
    </row>
    <row r="295">
      <c r="A295" t="inlineStr">
        <is>
          <t>WARN</t>
        </is>
      </c>
      <c r="B295" t="inlineStr">
        <is>
          <t>Actor</t>
        </is>
      </c>
      <c r="C295" t="inlineStr">
        <is>
          <t>Brian Tyree Henry</t>
        </is>
      </c>
      <c r="D295" t="inlineStr">
        <is>
          <t>stale: 14 days old</t>
        </is>
      </c>
    </row>
    <row r="296">
      <c r="A296" t="inlineStr">
        <is>
          <t>WARN</t>
        </is>
      </c>
      <c r="B296" t="inlineStr">
        <is>
          <t>Actor</t>
        </is>
      </c>
      <c r="C296" t="inlineStr">
        <is>
          <t>Matt Berry</t>
        </is>
      </c>
      <c r="D296" t="inlineStr">
        <is>
          <t>stale: 14 days old</t>
        </is>
      </c>
    </row>
    <row r="297">
      <c r="A297" t="inlineStr">
        <is>
          <t>WARN</t>
        </is>
      </c>
      <c r="B297" t="inlineStr">
        <is>
          <t>Actor</t>
        </is>
      </c>
      <c r="C297" t="inlineStr">
        <is>
          <t>Jake Johnson</t>
        </is>
      </c>
      <c r="D297" t="inlineStr">
        <is>
          <t>stale: 14 days old</t>
        </is>
      </c>
    </row>
    <row r="298">
      <c r="A298" t="inlineStr">
        <is>
          <t>WARN</t>
        </is>
      </c>
      <c r="B298" t="inlineStr">
        <is>
          <t>Actor</t>
        </is>
      </c>
      <c r="C298" t="inlineStr">
        <is>
          <t>Shameik Moore</t>
        </is>
      </c>
      <c r="D298" t="inlineStr">
        <is>
          <t>stale: 14 days old</t>
        </is>
      </c>
    </row>
    <row r="299">
      <c r="A299" t="inlineStr">
        <is>
          <t>WARN</t>
        </is>
      </c>
      <c r="B299" t="inlineStr">
        <is>
          <t>Actor</t>
        </is>
      </c>
      <c r="C299" t="inlineStr">
        <is>
          <t>Jason Schwartzman</t>
        </is>
      </c>
      <c r="D299" t="inlineStr">
        <is>
          <t>stale: 14 days old</t>
        </is>
      </c>
    </row>
    <row r="300">
      <c r="A300" t="inlineStr">
        <is>
          <t>WARN</t>
        </is>
      </c>
      <c r="B300" t="inlineStr">
        <is>
          <t>Actor</t>
        </is>
      </c>
      <c r="C300" t="inlineStr">
        <is>
          <t>John Mulaney</t>
        </is>
      </c>
      <c r="D300" t="inlineStr">
        <is>
          <t>stale: 14 days old</t>
        </is>
      </c>
    </row>
    <row r="301">
      <c r="A301" t="inlineStr">
        <is>
          <t>WARN</t>
        </is>
      </c>
      <c r="B301" t="inlineStr">
        <is>
          <t>Actor</t>
        </is>
      </c>
      <c r="C301" t="inlineStr">
        <is>
          <t>Karan Soni</t>
        </is>
      </c>
      <c r="D301" t="inlineStr">
        <is>
          <t>stale: 14 days old</t>
        </is>
      </c>
    </row>
    <row r="302">
      <c r="A302" t="inlineStr">
        <is>
          <t>WARN</t>
        </is>
      </c>
      <c r="B302" t="inlineStr">
        <is>
          <t>Actor</t>
        </is>
      </c>
      <c r="C302" t="inlineStr">
        <is>
          <t>Daniel Kaluuya</t>
        </is>
      </c>
      <c r="D302" t="inlineStr">
        <is>
          <t>stale: 14 days old</t>
        </is>
      </c>
    </row>
    <row r="303">
      <c r="A303" t="inlineStr">
        <is>
          <t>WARN</t>
        </is>
      </c>
      <c r="B303" t="inlineStr">
        <is>
          <t>Actor</t>
        </is>
      </c>
      <c r="C303" t="inlineStr">
        <is>
          <t>Nicolas Cage</t>
        </is>
      </c>
      <c r="D303" t="inlineStr">
        <is>
          <t>stale: 14 days old</t>
        </is>
      </c>
    </row>
    <row r="304">
      <c r="A304" t="inlineStr">
        <is>
          <t>WARN</t>
        </is>
      </c>
      <c r="B304" t="inlineStr">
        <is>
          <t>Actor</t>
        </is>
      </c>
      <c r="C304" t="inlineStr">
        <is>
          <t>Oscar Isaac</t>
        </is>
      </c>
      <c r="D304" t="inlineStr">
        <is>
          <t>stale: 14 days old</t>
        </is>
      </c>
    </row>
    <row r="305">
      <c r="A305" t="inlineStr">
        <is>
          <t>WARN</t>
        </is>
      </c>
      <c r="B305" t="inlineStr">
        <is>
          <t>Actor</t>
        </is>
      </c>
      <c r="C305" t="inlineStr">
        <is>
          <t>Mahershala Ali</t>
        </is>
      </c>
      <c r="D305" t="inlineStr">
        <is>
          <t>stale: 14 days old</t>
        </is>
      </c>
    </row>
    <row r="306">
      <c r="A306" t="inlineStr">
        <is>
          <t>WARN</t>
        </is>
      </c>
      <c r="B306" t="inlineStr">
        <is>
          <t>Actor</t>
        </is>
      </c>
      <c r="C306" t="inlineStr">
        <is>
          <t>Daniel Ings</t>
        </is>
      </c>
      <c r="D306" t="inlineStr">
        <is>
          <t>stale: 14 days old</t>
        </is>
      </c>
    </row>
    <row r="307">
      <c r="A307" t="inlineStr">
        <is>
          <t>WARN</t>
        </is>
      </c>
      <c r="B307" t="inlineStr">
        <is>
          <t>Actor</t>
        </is>
      </c>
      <c r="C307" t="inlineStr">
        <is>
          <t>Flynn Gray</t>
        </is>
      </c>
      <c r="D307" t="inlineStr">
        <is>
          <t>stale: 14 days old</t>
        </is>
      </c>
    </row>
    <row r="308">
      <c r="A308" t="inlineStr">
        <is>
          <t>WARN</t>
        </is>
      </c>
      <c r="B308" t="inlineStr">
        <is>
          <t>Actor</t>
        </is>
      </c>
      <c r="C308" t="inlineStr">
        <is>
          <t>Matt Smith</t>
        </is>
      </c>
      <c r="D308" t="inlineStr">
        <is>
          <t>stale: 14 days old</t>
        </is>
      </c>
    </row>
    <row r="309">
      <c r="A309" t="inlineStr">
        <is>
          <t>WARN</t>
        </is>
      </c>
      <c r="B309" t="inlineStr">
        <is>
          <t>Actor</t>
        </is>
      </c>
      <c r="C309" t="inlineStr">
        <is>
          <t>Simon Bird</t>
        </is>
      </c>
      <c r="D309" t="inlineStr">
        <is>
          <t>stale: 14 days old</t>
        </is>
      </c>
    </row>
    <row r="310">
      <c r="A310" t="inlineStr">
        <is>
          <t>WARN</t>
        </is>
      </c>
      <c r="B310" t="inlineStr">
        <is>
          <t>Actor</t>
        </is>
      </c>
      <c r="C310" t="inlineStr">
        <is>
          <t>Sam Neill</t>
        </is>
      </c>
      <c r="D310" t="inlineStr">
        <is>
          <t>stale: 14 days old</t>
        </is>
      </c>
    </row>
    <row r="311">
      <c r="A311" t="inlineStr">
        <is>
          <t>WARN</t>
        </is>
      </c>
      <c r="B311" t="inlineStr">
        <is>
          <t>Actor</t>
        </is>
      </c>
      <c r="C311" t="inlineStr">
        <is>
          <t>Jamael Westman</t>
        </is>
      </c>
      <c r="D311" t="inlineStr">
        <is>
          <t>stale: 14 days old</t>
        </is>
      </c>
    </row>
    <row r="312">
      <c r="A312" t="inlineStr">
        <is>
          <t>WARN</t>
        </is>
      </c>
      <c r="B312" t="inlineStr">
        <is>
          <t>Actor</t>
        </is>
      </c>
      <c r="C312" t="inlineStr">
        <is>
          <t>Nicholas Hoult</t>
        </is>
      </c>
      <c r="D312" t="inlineStr">
        <is>
          <t>stale: 14 days old</t>
        </is>
      </c>
    </row>
    <row r="313">
      <c r="A313" t="inlineStr">
        <is>
          <t>WARN</t>
        </is>
      </c>
      <c r="B313" t="inlineStr">
        <is>
          <t>Actor</t>
        </is>
      </c>
      <c r="C313" t="inlineStr">
        <is>
          <t>Paul Giamatti</t>
        </is>
      </c>
      <c r="D313" t="inlineStr">
        <is>
          <t>stale: 14 days old</t>
        </is>
      </c>
    </row>
    <row r="314">
      <c r="A314" t="inlineStr">
        <is>
          <t>WARN</t>
        </is>
      </c>
      <c r="B314" t="inlineStr">
        <is>
          <t>Actor</t>
        </is>
      </c>
      <c r="C314" t="inlineStr">
        <is>
          <t>John Leguizamo</t>
        </is>
      </c>
      <c r="D314" t="inlineStr">
        <is>
          <t>stale: 14 days old</t>
        </is>
      </c>
    </row>
    <row r="315">
      <c r="A315" t="inlineStr">
        <is>
          <t>WARN</t>
        </is>
      </c>
      <c r="B315" t="inlineStr">
        <is>
          <t>Actor</t>
        </is>
      </c>
      <c r="C315" t="inlineStr">
        <is>
          <t>Nathan Fillion</t>
        </is>
      </c>
      <c r="D315" t="inlineStr">
        <is>
          <t>stale: 14 days old</t>
        </is>
      </c>
    </row>
    <row r="316">
      <c r="A316" t="inlineStr">
        <is>
          <t>WARN</t>
        </is>
      </c>
      <c r="B316" t="inlineStr">
        <is>
          <t>Actor</t>
        </is>
      </c>
      <c r="C316" t="inlineStr">
        <is>
          <t>Lars Eidinger</t>
        </is>
      </c>
      <c r="D316" t="inlineStr">
        <is>
          <t>stale: 14 days old</t>
        </is>
      </c>
    </row>
    <row r="317">
      <c r="A317" t="inlineStr">
        <is>
          <t>WARN</t>
        </is>
      </c>
      <c r="B317" t="inlineStr">
        <is>
          <t>Actor</t>
        </is>
      </c>
      <c r="C317" t="inlineStr">
        <is>
          <t>Jonathan Groff</t>
        </is>
      </c>
      <c r="D317" t="inlineStr">
        <is>
          <t>stale: 14 days old</t>
        </is>
      </c>
    </row>
    <row r="318">
      <c r="A318" t="inlineStr">
        <is>
          <t>WARN</t>
        </is>
      </c>
      <c r="B318" t="inlineStr">
        <is>
          <t>Actor</t>
        </is>
      </c>
      <c r="C318" t="inlineStr">
        <is>
          <t>David Corenswet</t>
        </is>
      </c>
      <c r="D318" t="inlineStr">
        <is>
          <t>stale: 14 days old</t>
        </is>
      </c>
    </row>
    <row r="319">
      <c r="A319" t="inlineStr">
        <is>
          <t>WARN</t>
        </is>
      </c>
      <c r="B319" t="inlineStr">
        <is>
          <t>Actor</t>
        </is>
      </c>
      <c r="C319" t="inlineStr">
        <is>
          <t>Edi Gathegi</t>
        </is>
      </c>
      <c r="D319" t="inlineStr">
        <is>
          <t>stale: 14 days old</t>
        </is>
      </c>
    </row>
    <row r="320">
      <c r="A320" t="inlineStr">
        <is>
          <t>WARN</t>
        </is>
      </c>
      <c r="B320" t="inlineStr">
        <is>
          <t>Actor</t>
        </is>
      </c>
      <c r="C320" t="inlineStr">
        <is>
          <t>Xolo Maridueña</t>
        </is>
      </c>
      <c r="D320" t="inlineStr">
        <is>
          <t>stale: 14 days old</t>
        </is>
      </c>
    </row>
    <row r="321">
      <c r="A321" t="inlineStr">
        <is>
          <t>WARN</t>
        </is>
      </c>
      <c r="B321" t="inlineStr">
        <is>
          <t>Actor</t>
        </is>
      </c>
      <c r="C321" t="inlineStr">
        <is>
          <t>Andrew Garfield</t>
        </is>
      </c>
      <c r="D321" t="inlineStr">
        <is>
          <t>stale: 14 days old</t>
        </is>
      </c>
    </row>
    <row r="322">
      <c r="A322" t="inlineStr">
        <is>
          <t>WARN</t>
        </is>
      </c>
      <c r="B322" t="inlineStr">
        <is>
          <t>Actor</t>
        </is>
      </c>
      <c r="C322" t="inlineStr">
        <is>
          <t>Tom Cruise</t>
        </is>
      </c>
      <c r="D322" t="inlineStr">
        <is>
          <t>stale: 14 days old</t>
        </is>
      </c>
    </row>
    <row r="323">
      <c r="A323" t="inlineStr">
        <is>
          <t>WARN</t>
        </is>
      </c>
      <c r="B323" t="inlineStr">
        <is>
          <t>Actor</t>
        </is>
      </c>
      <c r="C323" t="inlineStr">
        <is>
          <t>Frank Grillo</t>
        </is>
      </c>
      <c r="D323" t="inlineStr">
        <is>
          <t>stale: 14 days old</t>
        </is>
      </c>
    </row>
    <row r="324">
      <c r="A324" t="inlineStr">
        <is>
          <t>WARN</t>
        </is>
      </c>
      <c r="B324" t="inlineStr">
        <is>
          <t>Actor</t>
        </is>
      </c>
      <c r="C324" t="inlineStr">
        <is>
          <t>Robert Pattinson</t>
        </is>
      </c>
      <c r="D324" t="inlineStr">
        <is>
          <t>stale: 14 days old</t>
        </is>
      </c>
    </row>
    <row r="325">
      <c r="A325" t="inlineStr">
        <is>
          <t>WARN</t>
        </is>
      </c>
      <c r="B325" t="inlineStr">
        <is>
          <t>Actor</t>
        </is>
      </c>
      <c r="C325" t="inlineStr">
        <is>
          <t>Mike Myers</t>
        </is>
      </c>
      <c r="D325" t="inlineStr">
        <is>
          <t>stale: 14 days old</t>
        </is>
      </c>
    </row>
    <row r="326">
      <c r="A326" t="inlineStr">
        <is>
          <t>WARN</t>
        </is>
      </c>
      <c r="B326" t="inlineStr">
        <is>
          <t>Actor</t>
        </is>
      </c>
      <c r="C326" t="inlineStr">
        <is>
          <t>Marcello Hernández</t>
        </is>
      </c>
      <c r="D326" t="inlineStr">
        <is>
          <t>stale: 14 days old</t>
        </is>
      </c>
    </row>
    <row r="327">
      <c r="A327" t="inlineStr">
        <is>
          <t>WARN</t>
        </is>
      </c>
      <c r="B327" t="inlineStr">
        <is>
          <t>Actor</t>
        </is>
      </c>
      <c r="C327" t="inlineStr">
        <is>
          <t>Eddie Murphy</t>
        </is>
      </c>
      <c r="D327" t="inlineStr">
        <is>
          <t>stale: 14 days old</t>
        </is>
      </c>
    </row>
    <row r="328">
      <c r="A328" t="inlineStr">
        <is>
          <t>WARN</t>
        </is>
      </c>
      <c r="B328" t="inlineStr">
        <is>
          <t>Actor</t>
        </is>
      </c>
      <c r="C328" t="inlineStr">
        <is>
          <t>Noah Jupe</t>
        </is>
      </c>
      <c r="D328" t="inlineStr">
        <is>
          <t>stale: 14 days old</t>
        </is>
      </c>
    </row>
    <row r="329">
      <c r="A329" t="inlineStr">
        <is>
          <t>WARN</t>
        </is>
      </c>
      <c r="B329" t="inlineStr">
        <is>
          <t>Actor</t>
        </is>
      </c>
      <c r="C329" t="inlineStr">
        <is>
          <t>Benjamin Evan Ainsworth</t>
        </is>
      </c>
      <c r="D329" t="inlineStr">
        <is>
          <t>stale: 14 days old</t>
        </is>
      </c>
    </row>
    <row r="330">
      <c r="A330" t="inlineStr">
        <is>
          <t>WARN</t>
        </is>
      </c>
      <c r="B330" t="inlineStr">
        <is>
          <t>Actor</t>
        </is>
      </c>
      <c r="C330" t="inlineStr">
        <is>
          <t>Uli Latukefu</t>
        </is>
      </c>
      <c r="D330" t="inlineStr">
        <is>
          <t>stale: 14 days old</t>
        </is>
      </c>
    </row>
    <row r="331">
      <c r="A331" t="inlineStr">
        <is>
          <t>WARN</t>
        </is>
      </c>
      <c r="B331" t="inlineStr">
        <is>
          <t>Actor</t>
        </is>
      </c>
      <c r="C331" t="inlineStr">
        <is>
          <t>Gerard Butler</t>
        </is>
      </c>
      <c r="D331" t="inlineStr">
        <is>
          <t>stale: 14 days old</t>
        </is>
      </c>
    </row>
    <row r="332">
      <c r="A332" t="inlineStr">
        <is>
          <t>WARN</t>
        </is>
      </c>
      <c r="B332" t="inlineStr">
        <is>
          <t>Actor</t>
        </is>
      </c>
      <c r="C332" t="inlineStr">
        <is>
          <t>Mason Thames</t>
        </is>
      </c>
      <c r="D332" t="inlineStr">
        <is>
          <t>stale: 14 days old</t>
        </is>
      </c>
    </row>
    <row r="333">
      <c r="A333" t="inlineStr">
        <is>
          <t>WARN</t>
        </is>
      </c>
      <c r="B333" t="inlineStr">
        <is>
          <t>Actor</t>
        </is>
      </c>
      <c r="C333" t="inlineStr">
        <is>
          <t>Nick Frost</t>
        </is>
      </c>
      <c r="D333" t="inlineStr">
        <is>
          <t>stale: 14 days old</t>
        </is>
      </c>
    </row>
    <row r="334">
      <c r="A334" t="inlineStr">
        <is>
          <t>WARN</t>
        </is>
      </c>
      <c r="B334" t="inlineStr">
        <is>
          <t>Actor</t>
        </is>
      </c>
      <c r="C334" t="inlineStr">
        <is>
          <t>Phil Dunster</t>
        </is>
      </c>
      <c r="D334" t="inlineStr">
        <is>
          <t>stale: 14 days old</t>
        </is>
      </c>
    </row>
    <row r="335">
      <c r="A335" t="inlineStr">
        <is>
          <t>WARN</t>
        </is>
      </c>
      <c r="B335" t="inlineStr">
        <is>
          <t>Actor</t>
        </is>
      </c>
      <c r="C335" t="inlineStr">
        <is>
          <t>Ólafur Darri Ólafsson</t>
        </is>
      </c>
      <c r="D335" t="inlineStr">
        <is>
          <t>stale: 14 days old</t>
        </is>
      </c>
    </row>
    <row r="336">
      <c r="A336" t="inlineStr">
        <is>
          <t>WARN</t>
        </is>
      </c>
      <c r="B336" t="inlineStr">
        <is>
          <t>Actor</t>
        </is>
      </c>
      <c r="C336" t="inlineStr">
        <is>
          <t>Idris Elba</t>
        </is>
      </c>
      <c r="D336" t="inlineStr">
        <is>
          <t>stale: 14 days old</t>
        </is>
      </c>
    </row>
    <row r="337">
      <c r="A337" t="inlineStr">
        <is>
          <t>WARN</t>
        </is>
      </c>
      <c r="B337" t="inlineStr">
        <is>
          <t>Actor</t>
        </is>
      </c>
      <c r="C337" t="inlineStr">
        <is>
          <t>Keanu Reeves</t>
        </is>
      </c>
      <c r="D337" t="inlineStr">
        <is>
          <t>stale: 14 days old</t>
        </is>
      </c>
    </row>
    <row r="338">
      <c r="A338" t="inlineStr">
        <is>
          <t>WARN</t>
        </is>
      </c>
      <c r="B338" t="inlineStr">
        <is>
          <t>Actor</t>
        </is>
      </c>
      <c r="C338" t="inlineStr">
        <is>
          <t>Jim Carrey</t>
        </is>
      </c>
      <c r="D338" t="inlineStr">
        <is>
          <t>stale: 14 days old</t>
        </is>
      </c>
    </row>
    <row r="339">
      <c r="A339" t="inlineStr">
        <is>
          <t>WARN</t>
        </is>
      </c>
      <c r="B339" t="inlineStr">
        <is>
          <t>Actor</t>
        </is>
      </c>
      <c r="C339" t="inlineStr">
        <is>
          <t>Richard Ayoade</t>
        </is>
      </c>
      <c r="D339" t="inlineStr">
        <is>
          <t>stale: 14 days old</t>
        </is>
      </c>
    </row>
    <row r="340">
      <c r="A340" t="inlineStr">
        <is>
          <t>WARN</t>
        </is>
      </c>
      <c r="B340" t="inlineStr">
        <is>
          <t>Actor</t>
        </is>
      </c>
      <c r="C340" t="inlineStr">
        <is>
          <t>Nick Offerman</t>
        </is>
      </c>
      <c r="D340" t="inlineStr">
        <is>
          <t>stale: 14 days old</t>
        </is>
      </c>
    </row>
    <row r="341">
      <c r="A341" t="inlineStr">
        <is>
          <t>WARN</t>
        </is>
      </c>
      <c r="B341" t="inlineStr">
        <is>
          <t>Actor</t>
        </is>
      </c>
      <c r="C341" t="inlineStr">
        <is>
          <t>James Marsden</t>
        </is>
      </c>
      <c r="D341" t="inlineStr">
        <is>
          <t>stale: 14 days old</t>
        </is>
      </c>
    </row>
    <row r="342">
      <c r="A342" t="inlineStr">
        <is>
          <t>WARN</t>
        </is>
      </c>
      <c r="B342" t="inlineStr">
        <is>
          <t>Actor</t>
        </is>
      </c>
      <c r="C342" t="inlineStr">
        <is>
          <t>Ben Kingsley</t>
        </is>
      </c>
      <c r="D342" t="inlineStr">
        <is>
          <t>stale: 14 days old</t>
        </is>
      </c>
    </row>
    <row r="343">
      <c r="A343" t="inlineStr">
        <is>
          <t>WARN</t>
        </is>
      </c>
      <c r="B343" t="inlineStr">
        <is>
          <t>Actor</t>
        </is>
      </c>
      <c r="C343" t="inlineStr">
        <is>
          <t>Sam Rockwell</t>
        </is>
      </c>
      <c r="D343" t="inlineStr">
        <is>
          <t>stale: 14 days old</t>
        </is>
      </c>
    </row>
    <row r="344">
      <c r="A344" t="inlineStr">
        <is>
          <t>WARN</t>
        </is>
      </c>
      <c r="B344" t="inlineStr">
        <is>
          <t>Actor</t>
        </is>
      </c>
      <c r="C344" t="inlineStr">
        <is>
          <t>Lee Majdoub</t>
        </is>
      </c>
      <c r="D344" t="inlineStr">
        <is>
          <t>stale: 14 days old</t>
        </is>
      </c>
    </row>
    <row r="345">
      <c r="A345" t="inlineStr">
        <is>
          <t>WARN</t>
        </is>
      </c>
      <c r="B345" t="inlineStr">
        <is>
          <t>Actor</t>
        </is>
      </c>
      <c r="C345" t="inlineStr">
        <is>
          <t>Ben Schwartz</t>
        </is>
      </c>
      <c r="D345" t="inlineStr">
        <is>
          <t>stale: 14 days old</t>
        </is>
      </c>
    </row>
    <row r="346">
      <c r="A346" t="inlineStr">
        <is>
          <t>WARN</t>
        </is>
      </c>
      <c r="B346" t="inlineStr">
        <is>
          <t>Actor</t>
        </is>
      </c>
      <c r="C346" t="inlineStr">
        <is>
          <t>Jason Momoa</t>
        </is>
      </c>
      <c r="D346" t="inlineStr">
        <is>
          <t>stale: 14 days old</t>
        </is>
      </c>
    </row>
    <row r="347">
      <c r="A347" t="inlineStr">
        <is>
          <t>WARN</t>
        </is>
      </c>
      <c r="B347" t="inlineStr">
        <is>
          <t>Actor</t>
        </is>
      </c>
      <c r="C347" t="inlineStr">
        <is>
          <t>Pedro Pascal</t>
        </is>
      </c>
      <c r="D347" t="inlineStr">
        <is>
          <t>stale: 14 days old</t>
        </is>
      </c>
    </row>
    <row r="348">
      <c r="A348" t="inlineStr">
        <is>
          <t>WARN</t>
        </is>
      </c>
      <c r="B348" t="inlineStr">
        <is>
          <t>Actor</t>
        </is>
      </c>
      <c r="C348" t="inlineStr">
        <is>
          <t>Jack O'Connell</t>
        </is>
      </c>
      <c r="D348" t="inlineStr">
        <is>
          <t>stale: 14 days old</t>
        </is>
      </c>
    </row>
    <row r="349">
      <c r="A349" t="inlineStr">
        <is>
          <t>WARN</t>
        </is>
      </c>
      <c r="B349" t="inlineStr">
        <is>
          <t>Actor</t>
        </is>
      </c>
      <c r="C349" t="inlineStr">
        <is>
          <t>Jack Black</t>
        </is>
      </c>
      <c r="D349" t="inlineStr">
        <is>
          <t>stale: 14 days old</t>
        </is>
      </c>
    </row>
    <row r="350">
      <c r="A350" t="inlineStr">
        <is>
          <t>WARN</t>
        </is>
      </c>
      <c r="B350" t="inlineStr">
        <is>
          <t>Actor</t>
        </is>
      </c>
      <c r="C350" t="inlineStr">
        <is>
          <t>Timothée Chalamet</t>
        </is>
      </c>
      <c r="D350" t="inlineStr">
        <is>
          <t>stale: 14 days old</t>
        </is>
      </c>
    </row>
    <row r="351">
      <c r="A351" t="inlineStr">
        <is>
          <t>WARN</t>
        </is>
      </c>
      <c r="B351" t="inlineStr">
        <is>
          <t>Actor</t>
        </is>
      </c>
      <c r="C351" t="inlineStr">
        <is>
          <t>Laurence Fishburne</t>
        </is>
      </c>
      <c r="D351" t="inlineStr">
        <is>
          <t>stale: 14 days old</t>
        </is>
      </c>
    </row>
    <row r="352">
      <c r="A352" t="inlineStr">
        <is>
          <t>WARN</t>
        </is>
      </c>
      <c r="B352" t="inlineStr">
        <is>
          <t>Actor</t>
        </is>
      </c>
      <c r="C352" t="inlineStr">
        <is>
          <t>John Turturro</t>
        </is>
      </c>
      <c r="D352" t="inlineStr">
        <is>
          <t>stale: 14 days old</t>
        </is>
      </c>
    </row>
    <row r="353">
      <c r="A353" t="inlineStr">
        <is>
          <t>WARN</t>
        </is>
      </c>
      <c r="B353" t="inlineStr">
        <is>
          <t>Actor</t>
        </is>
      </c>
      <c r="C353" t="inlineStr">
        <is>
          <t>Anthony Ippolito</t>
        </is>
      </c>
      <c r="D353" t="inlineStr">
        <is>
          <t>stale: 14 days old</t>
        </is>
      </c>
    </row>
    <row r="354">
      <c r="A354" t="inlineStr">
        <is>
          <t>WARN</t>
        </is>
      </c>
      <c r="B354" t="inlineStr">
        <is>
          <t>Actor</t>
        </is>
      </c>
      <c r="C354" t="inlineStr">
        <is>
          <t>Benedict Cumberbatch</t>
        </is>
      </c>
      <c r="D354" t="inlineStr">
        <is>
          <t>stale: 14 days old</t>
        </is>
      </c>
    </row>
    <row r="355">
      <c r="A355" t="inlineStr">
        <is>
          <t>WARN</t>
        </is>
      </c>
      <c r="B355" t="inlineStr">
        <is>
          <t>Actor</t>
        </is>
      </c>
      <c r="C355" t="inlineStr">
        <is>
          <t>Edward Norton</t>
        </is>
      </c>
      <c r="D355" t="inlineStr">
        <is>
          <t>stale: 14 days old</t>
        </is>
      </c>
    </row>
    <row r="356">
      <c r="A356" t="inlineStr">
        <is>
          <t>WARN</t>
        </is>
      </c>
      <c r="B356" t="inlineStr">
        <is>
          <t>Actor</t>
        </is>
      </c>
      <c r="C356" t="inlineStr">
        <is>
          <t>Ian McKellen</t>
        </is>
      </c>
      <c r="D356" t="inlineStr">
        <is>
          <t>stale: 14 days old</t>
        </is>
      </c>
    </row>
    <row r="357">
      <c r="A357" t="inlineStr">
        <is>
          <t>WARN</t>
        </is>
      </c>
      <c r="B357" t="inlineStr">
        <is>
          <t>Actor</t>
        </is>
      </c>
      <c r="C357" t="inlineStr">
        <is>
          <t>Jamie Dornan</t>
        </is>
      </c>
      <c r="D357" t="inlineStr">
        <is>
          <t>stale: 14 days old</t>
        </is>
      </c>
    </row>
    <row r="358">
      <c r="A358" t="inlineStr">
        <is>
          <t>WARN</t>
        </is>
      </c>
      <c r="B358" t="inlineStr">
        <is>
          <t>Actor</t>
        </is>
      </c>
      <c r="C358" t="inlineStr">
        <is>
          <t>Lee Pace</t>
        </is>
      </c>
      <c r="D358" t="inlineStr">
        <is>
          <t>stale: 14 days old</t>
        </is>
      </c>
    </row>
    <row r="359">
      <c r="A359" t="inlineStr">
        <is>
          <t>WARN</t>
        </is>
      </c>
      <c r="B359" t="inlineStr">
        <is>
          <t>Actor</t>
        </is>
      </c>
      <c r="C359" t="inlineStr">
        <is>
          <t>Leo Woodall</t>
        </is>
      </c>
      <c r="D359" t="inlineStr">
        <is>
          <t>stale: 14 days old</t>
        </is>
      </c>
    </row>
    <row r="360">
      <c r="A360" t="inlineStr">
        <is>
          <t>WARN</t>
        </is>
      </c>
      <c r="B360" t="inlineStr">
        <is>
          <t>Actor</t>
        </is>
      </c>
      <c r="C360" t="inlineStr">
        <is>
          <t>Anthony Mackie</t>
        </is>
      </c>
      <c r="D360" t="inlineStr">
        <is>
          <t>stale: 14 days old</t>
        </is>
      </c>
    </row>
    <row r="361">
      <c r="A361" t="inlineStr">
        <is>
          <t>WARN</t>
        </is>
      </c>
      <c r="B361" t="inlineStr">
        <is>
          <t>Actor</t>
        </is>
      </c>
      <c r="C361" t="inlineStr">
        <is>
          <t>Elijah Wood</t>
        </is>
      </c>
      <c r="D361" t="inlineStr">
        <is>
          <t>stale: 14 days old</t>
        </is>
      </c>
    </row>
    <row r="362">
      <c r="A362" t="inlineStr">
        <is>
          <t>WARN</t>
        </is>
      </c>
      <c r="B362" t="inlineStr">
        <is>
          <t>Actor</t>
        </is>
      </c>
      <c r="C362" t="inlineStr">
        <is>
          <t>Andy Serkis</t>
        </is>
      </c>
      <c r="D362" t="inlineStr">
        <is>
          <t>stale: 14 days old</t>
        </is>
      </c>
    </row>
    <row r="363">
      <c r="A363" t="inlineStr">
        <is>
          <t>WARN</t>
        </is>
      </c>
      <c r="B363" t="inlineStr">
        <is>
          <t>Actor</t>
        </is>
      </c>
      <c r="C363" t="inlineStr">
        <is>
          <t>Ebon Moss-Bachrach</t>
        </is>
      </c>
      <c r="D363" t="inlineStr">
        <is>
          <t>stale: 14 days old</t>
        </is>
      </c>
    </row>
    <row r="364">
      <c r="A364" t="inlineStr">
        <is>
          <t>WARN</t>
        </is>
      </c>
      <c r="B364" t="inlineStr">
        <is>
          <t>Actor</t>
        </is>
      </c>
      <c r="C364" t="inlineStr">
        <is>
          <t>Simu Liu</t>
        </is>
      </c>
      <c r="D364" t="inlineStr">
        <is>
          <t>stale: 14 days old</t>
        </is>
      </c>
    </row>
    <row r="365">
      <c r="A365" t="inlineStr">
        <is>
          <t>WARN</t>
        </is>
      </c>
      <c r="B365" t="inlineStr">
        <is>
          <t>Actor</t>
        </is>
      </c>
      <c r="C365" t="inlineStr">
        <is>
          <t>Robert Downey Jr.</t>
        </is>
      </c>
      <c r="D365" t="inlineStr">
        <is>
          <t>stale: 14 days old</t>
        </is>
      </c>
    </row>
    <row r="366">
      <c r="A366" t="inlineStr">
        <is>
          <t>WARN</t>
        </is>
      </c>
      <c r="B366" t="inlineStr">
        <is>
          <t>Actor</t>
        </is>
      </c>
      <c r="C366" t="inlineStr">
        <is>
          <t>Joseph Quinn</t>
        </is>
      </c>
      <c r="D366" t="inlineStr">
        <is>
          <t>stale: 14 days old</t>
        </is>
      </c>
    </row>
    <row r="367">
      <c r="A367" t="inlineStr">
        <is>
          <t>WARN</t>
        </is>
      </c>
      <c r="B367" t="inlineStr">
        <is>
          <t>Actor</t>
        </is>
      </c>
      <c r="C367" t="inlineStr">
        <is>
          <t>Paul Bettany</t>
        </is>
      </c>
      <c r="D367" t="inlineStr">
        <is>
          <t>stale: 14 days old</t>
        </is>
      </c>
    </row>
    <row r="368">
      <c r="A368" t="inlineStr">
        <is>
          <t>WARN</t>
        </is>
      </c>
      <c r="B368" t="inlineStr">
        <is>
          <t>Actor</t>
        </is>
      </c>
      <c r="C368" t="inlineStr">
        <is>
          <t>Chris Evans</t>
        </is>
      </c>
      <c r="D368" t="inlineStr">
        <is>
          <t>stale: 14 days old</t>
        </is>
      </c>
    </row>
    <row r="369">
      <c r="A369" t="inlineStr">
        <is>
          <t>WARN</t>
        </is>
      </c>
      <c r="B369" t="inlineStr">
        <is>
          <t>Actor</t>
        </is>
      </c>
      <c r="C369" t="inlineStr">
        <is>
          <t>Mark Ruffalo</t>
        </is>
      </c>
      <c r="D369" t="inlineStr">
        <is>
          <t>stale: 14 days old</t>
        </is>
      </c>
    </row>
    <row r="370">
      <c r="A370" t="inlineStr">
        <is>
          <t>WARN</t>
        </is>
      </c>
      <c r="B370" t="inlineStr">
        <is>
          <t>Actor</t>
        </is>
      </c>
      <c r="C370" t="inlineStr">
        <is>
          <t>Sebastian Stan</t>
        </is>
      </c>
      <c r="D370" t="inlineStr">
        <is>
          <t>stale: 14 days old</t>
        </is>
      </c>
    </row>
    <row r="371">
      <c r="A371" t="inlineStr">
        <is>
          <t>WARN</t>
        </is>
      </c>
      <c r="B371" t="inlineStr">
        <is>
          <t>Actor</t>
        </is>
      </c>
      <c r="C371" t="inlineStr">
        <is>
          <t>Wagner Moura</t>
        </is>
      </c>
      <c r="D371" t="inlineStr">
        <is>
          <t>stale: 14 days old</t>
        </is>
      </c>
    </row>
    <row r="372">
      <c r="A372" t="inlineStr">
        <is>
          <t>WARN</t>
        </is>
      </c>
      <c r="B372" t="inlineStr">
        <is>
          <t>Actor</t>
        </is>
      </c>
      <c r="C372" t="inlineStr">
        <is>
          <t>Tom Holland</t>
        </is>
      </c>
      <c r="D372" t="inlineStr">
        <is>
          <t>stale: 14 days old</t>
        </is>
      </c>
    </row>
    <row r="373">
      <c r="A373" t="inlineStr">
        <is>
          <t>WARN</t>
        </is>
      </c>
      <c r="B373" t="inlineStr">
        <is>
          <t>Actor</t>
        </is>
      </c>
      <c r="C373" t="inlineStr">
        <is>
          <t>Brendan Fraser</t>
        </is>
      </c>
      <c r="D373" t="inlineStr">
        <is>
          <t>stale: 14 days old</t>
        </is>
      </c>
    </row>
    <row r="374">
      <c r="A374" t="inlineStr">
        <is>
          <t>WARN</t>
        </is>
      </c>
      <c r="B374" t="inlineStr">
        <is>
          <t>Actor</t>
        </is>
      </c>
      <c r="C374" t="inlineStr">
        <is>
          <t>Anne Hathaway</t>
        </is>
      </c>
      <c r="D374" t="inlineStr">
        <is>
          <t>stale: 14 days old</t>
        </is>
      </c>
    </row>
    <row r="375">
      <c r="A375" t="inlineStr">
        <is>
          <t>WARN</t>
        </is>
      </c>
      <c r="B375" t="inlineStr">
        <is>
          <t>Actor</t>
        </is>
      </c>
      <c r="C375" t="inlineStr">
        <is>
          <t>Jeremy Allen White</t>
        </is>
      </c>
      <c r="D375" t="inlineStr">
        <is>
          <t>stale: 14 days old</t>
        </is>
      </c>
    </row>
    <row r="376">
      <c r="A376" t="inlineStr">
        <is>
          <t>WARN</t>
        </is>
      </c>
      <c r="B376" t="inlineStr">
        <is>
          <t>Actor</t>
        </is>
      </c>
      <c r="C376" t="inlineStr">
        <is>
          <t>George Clooney</t>
        </is>
      </c>
      <c r="D376" t="inlineStr">
        <is>
          <t>stale: 14 days old</t>
        </is>
      </c>
    </row>
    <row r="377">
      <c r="A377" t="inlineStr">
        <is>
          <t>WARN</t>
        </is>
      </c>
      <c r="B377" t="inlineStr">
        <is>
          <t>Actor</t>
        </is>
      </c>
      <c r="C377" t="inlineStr">
        <is>
          <t>Chris Hemsworth</t>
        </is>
      </c>
      <c r="D377" t="inlineStr">
        <is>
          <t>stale: 14 days old</t>
        </is>
      </c>
    </row>
    <row r="378">
      <c r="A378" t="inlineStr">
        <is>
          <t>WARN</t>
        </is>
      </c>
      <c r="B378" t="inlineStr">
        <is>
          <t>Actor</t>
        </is>
      </c>
      <c r="C378" t="inlineStr">
        <is>
          <t>Leonardo DiCaprio</t>
        </is>
      </c>
      <c r="D378" t="inlineStr">
        <is>
          <t>stale: 14 days old</t>
        </is>
      </c>
    </row>
    <row r="379">
      <c r="A379" t="inlineStr">
        <is>
          <t>WARN</t>
        </is>
      </c>
      <c r="B379" t="inlineStr">
        <is>
          <t>Actor</t>
        </is>
      </c>
      <c r="C379" t="inlineStr">
        <is>
          <t>Dwayne Johnson</t>
        </is>
      </c>
      <c r="D379" t="inlineStr">
        <is>
          <t>stale: 14 days old</t>
        </is>
      </c>
    </row>
    <row r="380">
      <c r="A380" t="inlineStr">
        <is>
          <t>WARN</t>
        </is>
      </c>
      <c r="B380" t="inlineStr">
        <is>
          <t>Actor</t>
        </is>
      </c>
      <c r="C380" t="inlineStr">
        <is>
          <t>Sean Penn</t>
        </is>
      </c>
      <c r="D380" t="inlineStr">
        <is>
          <t>stale: 14 days old</t>
        </is>
      </c>
    </row>
    <row r="381">
      <c r="A381" t="inlineStr">
        <is>
          <t>WARN</t>
        </is>
      </c>
      <c r="B381" t="inlineStr">
        <is>
          <t>Actor</t>
        </is>
      </c>
      <c r="C381" t="inlineStr">
        <is>
          <t>Jon Bernthal</t>
        </is>
      </c>
      <c r="D381" t="inlineStr">
        <is>
          <t>stale: 14 days old</t>
        </is>
      </c>
    </row>
    <row r="382">
      <c r="A382" t="inlineStr">
        <is>
          <t>WARN</t>
        </is>
      </c>
      <c r="B382" t="inlineStr">
        <is>
          <t>Actress</t>
        </is>
      </c>
      <c r="C382" t="inlineStr">
        <is>
          <t>Julianne Moore</t>
        </is>
      </c>
      <c r="D382" t="inlineStr">
        <is>
          <t>stale: 14 days old</t>
        </is>
      </c>
    </row>
    <row r="383">
      <c r="A383" t="inlineStr">
        <is>
          <t>WARN</t>
        </is>
      </c>
      <c r="B383" t="inlineStr">
        <is>
          <t>Actress</t>
        </is>
      </c>
      <c r="C383" t="inlineStr">
        <is>
          <t>Kristen Bell</t>
        </is>
      </c>
      <c r="D383" t="inlineStr">
        <is>
          <t>stale: 14 days old</t>
        </is>
      </c>
    </row>
    <row r="384">
      <c r="A384" t="inlineStr">
        <is>
          <t>WARN</t>
        </is>
      </c>
      <c r="B384" t="inlineStr">
        <is>
          <t>Actress</t>
        </is>
      </c>
      <c r="C384" t="inlineStr">
        <is>
          <t>Anne Hathaway</t>
        </is>
      </c>
      <c r="D384" t="inlineStr">
        <is>
          <t>stale: 14 days old</t>
        </is>
      </c>
    </row>
    <row r="385">
      <c r="A385" t="inlineStr">
        <is>
          <t>WARN</t>
        </is>
      </c>
      <c r="B385" t="inlineStr">
        <is>
          <t>Actress</t>
        </is>
      </c>
      <c r="C385" t="inlineStr">
        <is>
          <t>Hailee Steinfeld</t>
        </is>
      </c>
      <c r="D385" t="inlineStr">
        <is>
          <t>stale: 14 days old</t>
        </is>
      </c>
    </row>
    <row r="386">
      <c r="A386" t="inlineStr">
        <is>
          <t>WARN</t>
        </is>
      </c>
      <c r="B386" t="inlineStr">
        <is>
          <t>Actress</t>
        </is>
      </c>
      <c r="C386" t="inlineStr">
        <is>
          <t>Lauren Vélez</t>
        </is>
      </c>
      <c r="D386" t="inlineStr">
        <is>
          <t>stale: 14 days old</t>
        </is>
      </c>
    </row>
    <row r="387">
      <c r="A387" t="inlineStr">
        <is>
          <t>WARN</t>
        </is>
      </c>
      <c r="B387" t="inlineStr">
        <is>
          <t>Actress</t>
        </is>
      </c>
      <c r="C387" t="inlineStr">
        <is>
          <t>Kimiko Glenn</t>
        </is>
      </c>
      <c r="D387" t="inlineStr">
        <is>
          <t>stale: 14 days old</t>
        </is>
      </c>
    </row>
    <row r="388">
      <c r="A388" t="inlineStr">
        <is>
          <t>WARN</t>
        </is>
      </c>
      <c r="B388" t="inlineStr">
        <is>
          <t>Actress</t>
        </is>
      </c>
      <c r="C388" t="inlineStr">
        <is>
          <t>Adria Arjona</t>
        </is>
      </c>
      <c r="D388" t="inlineStr">
        <is>
          <t>stale: 14 days old</t>
        </is>
      </c>
    </row>
    <row r="389">
      <c r="A389" t="inlineStr">
        <is>
          <t>WARN</t>
        </is>
      </c>
      <c r="B389" t="inlineStr">
        <is>
          <t>Actress</t>
        </is>
      </c>
      <c r="C389" t="inlineStr">
        <is>
          <t>Amy Adams</t>
        </is>
      </c>
      <c r="D389" t="inlineStr">
        <is>
          <t>stale: 14 days old</t>
        </is>
      </c>
    </row>
    <row r="390">
      <c r="A390" t="inlineStr">
        <is>
          <t>WARN</t>
        </is>
      </c>
      <c r="B390" t="inlineStr">
        <is>
          <t>Actress</t>
        </is>
      </c>
      <c r="C390" t="inlineStr">
        <is>
          <t>Inde Navarrette</t>
        </is>
      </c>
      <c r="D390" t="inlineStr">
        <is>
          <t>stale: 14 days old</t>
        </is>
      </c>
    </row>
    <row r="391">
      <c r="A391" t="inlineStr">
        <is>
          <t>WARN</t>
        </is>
      </c>
      <c r="B391" t="inlineStr">
        <is>
          <t>Actress</t>
        </is>
      </c>
      <c r="C391" t="inlineStr">
        <is>
          <t>Mia Goth</t>
        </is>
      </c>
      <c r="D391" t="inlineStr">
        <is>
          <t>stale: 14 days old</t>
        </is>
      </c>
    </row>
    <row r="392">
      <c r="A392" t="inlineStr">
        <is>
          <t>WARN</t>
        </is>
      </c>
      <c r="B392" t="inlineStr">
        <is>
          <t>Actress</t>
        </is>
      </c>
      <c r="C392" t="inlineStr">
        <is>
          <t>Rachel Brosnahan</t>
        </is>
      </c>
      <c r="D392" t="inlineStr">
        <is>
          <t>stale: 14 days old</t>
        </is>
      </c>
    </row>
    <row r="393">
      <c r="A393" t="inlineStr">
        <is>
          <t>WARN</t>
        </is>
      </c>
      <c r="B393" t="inlineStr">
        <is>
          <t>Actress</t>
        </is>
      </c>
      <c r="C393" t="inlineStr">
        <is>
          <t>Isabela Merced</t>
        </is>
      </c>
      <c r="D393" t="inlineStr">
        <is>
          <t>stale: 14 days old</t>
        </is>
      </c>
    </row>
    <row r="394">
      <c r="A394" t="inlineStr">
        <is>
          <t>WARN</t>
        </is>
      </c>
      <c r="B394" t="inlineStr">
        <is>
          <t>Actress</t>
        </is>
      </c>
      <c r="C394" t="inlineStr">
        <is>
          <t>Sara Sampaio</t>
        </is>
      </c>
      <c r="D394" t="inlineStr">
        <is>
          <t>stale: 14 days old</t>
        </is>
      </c>
    </row>
    <row r="395">
      <c r="A395" t="inlineStr">
        <is>
          <t>WARN</t>
        </is>
      </c>
      <c r="B395" t="inlineStr">
        <is>
          <t>Actress</t>
        </is>
      </c>
      <c r="C395" t="inlineStr">
        <is>
          <t>María Gabriela de Faría</t>
        </is>
      </c>
      <c r="D395" t="inlineStr">
        <is>
          <t>stale: 14 days old</t>
        </is>
      </c>
    </row>
    <row r="396">
      <c r="A396" t="inlineStr">
        <is>
          <t>WARN</t>
        </is>
      </c>
      <c r="B396" t="inlineStr">
        <is>
          <t>Actress</t>
        </is>
      </c>
      <c r="C396" t="inlineStr">
        <is>
          <t>Milly Alcock</t>
        </is>
      </c>
      <c r="D396" t="inlineStr">
        <is>
          <t>stale: 14 days old</t>
        </is>
      </c>
    </row>
    <row r="397">
      <c r="A397" t="inlineStr">
        <is>
          <t>WARN</t>
        </is>
      </c>
      <c r="B397" t="inlineStr">
        <is>
          <t>Actress</t>
        </is>
      </c>
      <c r="C397" t="inlineStr">
        <is>
          <t>Idina Menzel</t>
        </is>
      </c>
      <c r="D397" t="inlineStr">
        <is>
          <t>stale: 14 days old</t>
        </is>
      </c>
    </row>
    <row r="398">
      <c r="A398" t="inlineStr">
        <is>
          <t>WARN</t>
        </is>
      </c>
      <c r="B398" t="inlineStr">
        <is>
          <t>Actress</t>
        </is>
      </c>
      <c r="C398" t="inlineStr">
        <is>
          <t>Zendaya</t>
        </is>
      </c>
      <c r="D398" t="inlineStr">
        <is>
          <t>stale: 14 days old</t>
        </is>
      </c>
    </row>
    <row r="399">
      <c r="A399" t="inlineStr">
        <is>
          <t>WARN</t>
        </is>
      </c>
      <c r="B399" t="inlineStr">
        <is>
          <t>Actress</t>
        </is>
      </c>
      <c r="C399" t="inlineStr">
        <is>
          <t>Amanda Seyfried</t>
        </is>
      </c>
      <c r="D399" t="inlineStr">
        <is>
          <t>stale: 14 days old</t>
        </is>
      </c>
    </row>
    <row r="400">
      <c r="A400" t="inlineStr">
        <is>
          <t>WARN</t>
        </is>
      </c>
      <c r="B400" t="inlineStr">
        <is>
          <t>Actress</t>
        </is>
      </c>
      <c r="C400" t="inlineStr">
        <is>
          <t>Cameron Diaz</t>
        </is>
      </c>
      <c r="D400" t="inlineStr">
        <is>
          <t>stale: 14 days old</t>
        </is>
      </c>
    </row>
    <row r="401">
      <c r="A401" t="inlineStr">
        <is>
          <t>WARN</t>
        </is>
      </c>
      <c r="B401" t="inlineStr">
        <is>
          <t>Actress</t>
        </is>
      </c>
      <c r="C401" t="inlineStr">
        <is>
          <t>Yvonne Strahovski</t>
        </is>
      </c>
      <c r="D401" t="inlineStr">
        <is>
          <t>stale: 14 days old</t>
        </is>
      </c>
    </row>
    <row r="402">
      <c r="A402" t="inlineStr">
        <is>
          <t>WARN</t>
        </is>
      </c>
      <c r="B402" t="inlineStr">
        <is>
          <t>Actress</t>
        </is>
      </c>
      <c r="C402" t="inlineStr">
        <is>
          <t>Lydia Peckham</t>
        </is>
      </c>
      <c r="D402" t="inlineStr">
        <is>
          <t>stale: 14 days old</t>
        </is>
      </c>
    </row>
    <row r="403">
      <c r="A403" t="inlineStr">
        <is>
          <t>WARN</t>
        </is>
      </c>
      <c r="B403" t="inlineStr">
        <is>
          <t>Actress</t>
        </is>
      </c>
      <c r="C403" t="inlineStr">
        <is>
          <t>Dichen Lachman</t>
        </is>
      </c>
      <c r="D403" t="inlineStr">
        <is>
          <t>stale: 14 days old</t>
        </is>
      </c>
    </row>
    <row r="404">
      <c r="A404" t="inlineStr">
        <is>
          <t>WARN</t>
        </is>
      </c>
      <c r="B404" t="inlineStr">
        <is>
          <t>Actress</t>
        </is>
      </c>
      <c r="C404" t="inlineStr">
        <is>
          <t>Bo Bragason</t>
        </is>
      </c>
      <c r="D404" t="inlineStr">
        <is>
          <t>stale: 14 days old</t>
        </is>
      </c>
    </row>
    <row r="405">
      <c r="A405" t="inlineStr">
        <is>
          <t>WARN</t>
        </is>
      </c>
      <c r="B405" t="inlineStr">
        <is>
          <t>Actress</t>
        </is>
      </c>
      <c r="C405" t="inlineStr">
        <is>
          <t>Nico Parker</t>
        </is>
      </c>
      <c r="D405" t="inlineStr">
        <is>
          <t>stale: 14 days old</t>
        </is>
      </c>
    </row>
    <row r="406">
      <c r="A406" t="inlineStr">
        <is>
          <t>WARN</t>
        </is>
      </c>
      <c r="B406" t="inlineStr">
        <is>
          <t>Actress</t>
        </is>
      </c>
      <c r="C406" t="inlineStr">
        <is>
          <t>Cate Blanchett</t>
        </is>
      </c>
      <c r="D406" t="inlineStr">
        <is>
          <t>stale: 14 days old</t>
        </is>
      </c>
    </row>
    <row r="407">
      <c r="A407" t="inlineStr">
        <is>
          <t>WARN</t>
        </is>
      </c>
      <c r="B407" t="inlineStr">
        <is>
          <t>Actress</t>
        </is>
      </c>
      <c r="C407" t="inlineStr">
        <is>
          <t>Sandra Hüller</t>
        </is>
      </c>
      <c r="D407" t="inlineStr">
        <is>
          <t>stale: 14 days old</t>
        </is>
      </c>
    </row>
    <row r="408">
      <c r="A408" t="inlineStr">
        <is>
          <t>WARN</t>
        </is>
      </c>
      <c r="B408" t="inlineStr">
        <is>
          <t>Actress</t>
        </is>
      </c>
      <c r="C408" t="inlineStr">
        <is>
          <t>Olivia Wilde</t>
        </is>
      </c>
      <c r="D408" t="inlineStr">
        <is>
          <t>stale: 14 days old</t>
        </is>
      </c>
    </row>
    <row r="409">
      <c r="A409" t="inlineStr">
        <is>
          <t>WARN</t>
        </is>
      </c>
      <c r="B409" t="inlineStr">
        <is>
          <t>Actress</t>
        </is>
      </c>
      <c r="C409" t="inlineStr">
        <is>
          <t>Kirsten Dunst</t>
        </is>
      </c>
      <c r="D409" t="inlineStr">
        <is>
          <t>stale: 14 days old</t>
        </is>
      </c>
    </row>
    <row r="410">
      <c r="A410" t="inlineStr">
        <is>
          <t>WARN</t>
        </is>
      </c>
      <c r="B410" t="inlineStr">
        <is>
          <t>Actress</t>
        </is>
      </c>
      <c r="C410" t="inlineStr">
        <is>
          <t>Colleen O'Shaughnessey</t>
        </is>
      </c>
      <c r="D410" t="inlineStr">
        <is>
          <t>stale: 14 days old</t>
        </is>
      </c>
    </row>
    <row r="411">
      <c r="A411" t="inlineStr">
        <is>
          <t>WARN</t>
        </is>
      </c>
      <c r="B411" t="inlineStr">
        <is>
          <t>Actress</t>
        </is>
      </c>
      <c r="C411" t="inlineStr">
        <is>
          <t>Tika Sumpter</t>
        </is>
      </c>
      <c r="D411" t="inlineStr">
        <is>
          <t>stale: 14 days old</t>
        </is>
      </c>
    </row>
    <row r="412">
      <c r="A412" t="inlineStr">
        <is>
          <t>WARN</t>
        </is>
      </c>
      <c r="B412" t="inlineStr">
        <is>
          <t>Actress</t>
        </is>
      </c>
      <c r="C412" t="inlineStr">
        <is>
          <t>Penélope Cruz</t>
        </is>
      </c>
      <c r="D412" t="inlineStr">
        <is>
          <t>stale: 14 days old</t>
        </is>
      </c>
    </row>
    <row r="413">
      <c r="A413" t="inlineStr">
        <is>
          <t>WARN</t>
        </is>
      </c>
      <c r="B413" t="inlineStr">
        <is>
          <t>Actress</t>
        </is>
      </c>
      <c r="C413" t="inlineStr">
        <is>
          <t>Samantha Morton</t>
        </is>
      </c>
      <c r="D413" t="inlineStr">
        <is>
          <t>stale: 14 days old</t>
        </is>
      </c>
    </row>
    <row r="414">
      <c r="A414" t="inlineStr">
        <is>
          <t>WARN</t>
        </is>
      </c>
      <c r="B414" t="inlineStr">
        <is>
          <t>Actress</t>
        </is>
      </c>
      <c r="C414" t="inlineStr">
        <is>
          <t>Danielle Brooks</t>
        </is>
      </c>
      <c r="D414" t="inlineStr">
        <is>
          <t>stale: 14 days old</t>
        </is>
      </c>
    </row>
    <row r="415">
      <c r="A415" t="inlineStr">
        <is>
          <t>WARN</t>
        </is>
      </c>
      <c r="B415" t="inlineStr">
        <is>
          <t>Actress</t>
        </is>
      </c>
      <c r="C415" t="inlineStr">
        <is>
          <t>Jennifer Coolidge</t>
        </is>
      </c>
      <c r="D415" t="inlineStr">
        <is>
          <t>stale: 14 days old</t>
        </is>
      </c>
    </row>
    <row r="416">
      <c r="A416" t="inlineStr">
        <is>
          <t>WARN</t>
        </is>
      </c>
      <c r="B416" t="inlineStr">
        <is>
          <t>Actress</t>
        </is>
      </c>
      <c r="C416" t="inlineStr">
        <is>
          <t>Daisy Ridley</t>
        </is>
      </c>
      <c r="D416" t="inlineStr">
        <is>
          <t>stale: 14 days old</t>
        </is>
      </c>
    </row>
    <row r="417">
      <c r="A417" t="inlineStr">
        <is>
          <t>WARN</t>
        </is>
      </c>
      <c r="B417" t="inlineStr">
        <is>
          <t>Actress</t>
        </is>
      </c>
      <c r="C417" t="inlineStr">
        <is>
          <t>Renate Reinsve</t>
        </is>
      </c>
      <c r="D417" t="inlineStr">
        <is>
          <t>stale: 14 days old</t>
        </is>
      </c>
    </row>
    <row r="418">
      <c r="A418" t="inlineStr">
        <is>
          <t>WARN</t>
        </is>
      </c>
      <c r="B418" t="inlineStr">
        <is>
          <t>Actress</t>
        </is>
      </c>
      <c r="C418" t="inlineStr">
        <is>
          <t>Anya Taylor-Joy</t>
        </is>
      </c>
      <c r="D418" t="inlineStr">
        <is>
          <t>stale: 14 days old</t>
        </is>
      </c>
    </row>
    <row r="419">
      <c r="A419" t="inlineStr">
        <is>
          <t>WARN</t>
        </is>
      </c>
      <c r="B419" t="inlineStr">
        <is>
          <t>Actress</t>
        </is>
      </c>
      <c r="C419" t="inlineStr">
        <is>
          <t>Kate Winslet</t>
        </is>
      </c>
      <c r="D419" t="inlineStr">
        <is>
          <t>stale: 14 days old</t>
        </is>
      </c>
    </row>
    <row r="420">
      <c r="A420" t="inlineStr">
        <is>
          <t>WARN</t>
        </is>
      </c>
      <c r="B420" t="inlineStr">
        <is>
          <t>Actress</t>
        </is>
      </c>
      <c r="C420" t="inlineStr">
        <is>
          <t>Vanessa Kirby</t>
        </is>
      </c>
      <c r="D420" t="inlineStr">
        <is>
          <t>stale: 14 days old</t>
        </is>
      </c>
    </row>
    <row r="421">
      <c r="A421" t="inlineStr">
        <is>
          <t>WARN</t>
        </is>
      </c>
      <c r="B421" t="inlineStr">
        <is>
          <t>Actress</t>
        </is>
      </c>
      <c r="C421" t="inlineStr">
        <is>
          <t>Hayley Atwell</t>
        </is>
      </c>
      <c r="D421" t="inlineStr">
        <is>
          <t>stale: 14 days old</t>
        </is>
      </c>
    </row>
    <row r="422">
      <c r="A422" t="inlineStr">
        <is>
          <t>WARN</t>
        </is>
      </c>
      <c r="B422" t="inlineStr">
        <is>
          <t>Actress</t>
        </is>
      </c>
      <c r="C422" t="inlineStr">
        <is>
          <t>Letitia Wright</t>
        </is>
      </c>
      <c r="D422" t="inlineStr">
        <is>
          <t>stale: 14 days old</t>
        </is>
      </c>
    </row>
    <row r="423">
      <c r="A423" t="inlineStr">
        <is>
          <t>WARN</t>
        </is>
      </c>
      <c r="B423" t="inlineStr">
        <is>
          <t>Actress</t>
        </is>
      </c>
      <c r="C423" t="inlineStr">
        <is>
          <t>Sadie Sink</t>
        </is>
      </c>
      <c r="D423" t="inlineStr">
        <is>
          <t>stale: 14 days old</t>
        </is>
      </c>
    </row>
    <row r="424">
      <c r="A424" t="inlineStr">
        <is>
          <t>WARN</t>
        </is>
      </c>
      <c r="B424" t="inlineStr">
        <is>
          <t>Actress</t>
        </is>
      </c>
      <c r="C424" t="inlineStr">
        <is>
          <t>Tao Okamoto</t>
        </is>
      </c>
      <c r="D424" t="inlineStr">
        <is>
          <t>stale: 14 days old</t>
        </is>
      </c>
    </row>
    <row r="425">
      <c r="A425" t="inlineStr">
        <is>
          <t>WARN</t>
        </is>
      </c>
      <c r="B425" t="inlineStr">
        <is>
          <t>Actress</t>
        </is>
      </c>
      <c r="C425" t="inlineStr">
        <is>
          <t>Kate O'Flynn</t>
        </is>
      </c>
      <c r="D425" t="inlineStr">
        <is>
          <t>stale: 14 days old</t>
        </is>
      </c>
    </row>
    <row r="426">
      <c r="A426" t="inlineStr">
        <is>
          <t>WARN</t>
        </is>
      </c>
      <c r="B426" t="inlineStr">
        <is>
          <t>Actress</t>
        </is>
      </c>
      <c r="C426" t="inlineStr">
        <is>
          <t>Allison Janney</t>
        </is>
      </c>
      <c r="D426" t="inlineStr">
        <is>
          <t>stale: 14 days old</t>
        </is>
      </c>
    </row>
    <row r="427">
      <c r="A427" t="inlineStr">
        <is>
          <t>WARN</t>
        </is>
      </c>
      <c r="B427" t="inlineStr">
        <is>
          <t>Actress</t>
        </is>
      </c>
      <c r="C427" t="inlineStr">
        <is>
          <t>Selena Gomez</t>
        </is>
      </c>
      <c r="D427" t="inlineStr">
        <is>
          <t>stale: 14 days old</t>
        </is>
      </c>
    </row>
    <row r="428">
      <c r="A428" t="inlineStr">
        <is>
          <t>WARN</t>
        </is>
      </c>
      <c r="B428" t="inlineStr">
        <is>
          <t>Actress</t>
        </is>
      </c>
      <c r="C428" t="inlineStr">
        <is>
          <t>Katy O'Brian</t>
        </is>
      </c>
      <c r="D428" t="inlineStr">
        <is>
          <t>stale: 14 days old</t>
        </is>
      </c>
    </row>
    <row r="429">
      <c r="A429" t="inlineStr">
        <is>
          <t>WARN</t>
        </is>
      </c>
      <c r="B429" t="inlineStr">
        <is>
          <t>Actress</t>
        </is>
      </c>
      <c r="C429" t="inlineStr">
        <is>
          <t>Millicent Simmonds</t>
        </is>
      </c>
      <c r="D429" t="inlineStr">
        <is>
          <t>stale: 14 days old</t>
        </is>
      </c>
    </row>
    <row r="430">
      <c r="A430" t="inlineStr">
        <is>
          <t>WARN</t>
        </is>
      </c>
      <c r="B430" t="inlineStr">
        <is>
          <t>Actress</t>
        </is>
      </c>
      <c r="C430" t="inlineStr">
        <is>
          <t>Emily Blunt</t>
        </is>
      </c>
      <c r="D430" t="inlineStr">
        <is>
          <t>stale: 14 days old</t>
        </is>
      </c>
    </row>
    <row r="431">
      <c r="A431" t="inlineStr">
        <is>
          <t>WARN</t>
        </is>
      </c>
      <c r="B431" t="inlineStr">
        <is>
          <t>Actress</t>
        </is>
      </c>
      <c r="C431" t="inlineStr">
        <is>
          <t>Cynthia Erivo</t>
        </is>
      </c>
      <c r="D431" t="inlineStr">
        <is>
          <t>stale: 14 days old</t>
        </is>
      </c>
    </row>
    <row r="432">
      <c r="A432" t="inlineStr">
        <is>
          <t>WARN</t>
        </is>
      </c>
      <c r="B432" t="inlineStr">
        <is>
          <t>Actress</t>
        </is>
      </c>
      <c r="C432" t="inlineStr">
        <is>
          <t>Mariana di Girolamo</t>
        </is>
      </c>
      <c r="D432" t="inlineStr">
        <is>
          <t>stale: 14 days old</t>
        </is>
      </c>
    </row>
    <row r="433">
      <c r="A433" t="inlineStr">
        <is>
          <t>WARN</t>
        </is>
      </c>
      <c r="B433" t="inlineStr">
        <is>
          <t>Actress</t>
        </is>
      </c>
      <c r="C433" t="inlineStr">
        <is>
          <t>Kaitlyn Dever</t>
        </is>
      </c>
      <c r="D433" t="inlineStr">
        <is>
          <t>stale: 14 days old</t>
        </is>
      </c>
    </row>
    <row r="434">
      <c r="A434" t="inlineStr">
        <is>
          <t>WARN</t>
        </is>
      </c>
      <c r="B434" t="inlineStr">
        <is>
          <t>Actress</t>
        </is>
      </c>
      <c r="C434" t="inlineStr">
        <is>
          <t>Alycia Debnam-Carey</t>
        </is>
      </c>
      <c r="D434" t="inlineStr">
        <is>
          <t>stale: 14 days old</t>
        </is>
      </c>
    </row>
    <row r="435">
      <c r="A435" t="inlineStr">
        <is>
          <t>WARN</t>
        </is>
      </c>
      <c r="B435" t="inlineStr">
        <is>
          <t>Actress</t>
        </is>
      </c>
      <c r="C435" t="inlineStr">
        <is>
          <t>Monica Barbaro</t>
        </is>
      </c>
      <c r="D435" t="inlineStr">
        <is>
          <t>stale: 14 days old</t>
        </is>
      </c>
    </row>
    <row r="436">
      <c r="A436" t="inlineStr">
        <is>
          <t>WARN</t>
        </is>
      </c>
      <c r="B436" t="inlineStr">
        <is>
          <t>Actress</t>
        </is>
      </c>
      <c r="C436" t="inlineStr">
        <is>
          <t>Lauren Ridloff</t>
        </is>
      </c>
      <c r="D436" t="inlineStr">
        <is>
          <t>stale: 14 days old</t>
        </is>
      </c>
    </row>
    <row r="437">
      <c r="A437" t="inlineStr">
        <is>
          <t>WARN</t>
        </is>
      </c>
      <c r="B437" t="inlineStr">
        <is>
          <t>Actress</t>
        </is>
      </c>
      <c r="C437" t="inlineStr">
        <is>
          <t>Vicky Krieps</t>
        </is>
      </c>
      <c r="D437" t="inlineStr">
        <is>
          <t>stale: 14 days old</t>
        </is>
      </c>
    </row>
    <row r="438">
      <c r="A438" t="inlineStr">
        <is>
          <t>WARN</t>
        </is>
      </c>
      <c r="B438" t="inlineStr">
        <is>
          <t>Actress</t>
        </is>
      </c>
      <c r="C438" t="inlineStr">
        <is>
          <t>Margot Robbie</t>
        </is>
      </c>
      <c r="D438" t="inlineStr">
        <is>
          <t>stale: 14 days old</t>
        </is>
      </c>
    </row>
    <row r="439">
      <c r="A439" t="inlineStr">
        <is>
          <t>WARN</t>
        </is>
      </c>
      <c r="B439" t="inlineStr">
        <is>
          <t>Actress</t>
        </is>
      </c>
      <c r="C439" t="inlineStr">
        <is>
          <t>Emma Mackey</t>
        </is>
      </c>
      <c r="D439" t="inlineStr">
        <is>
          <t>stale: 14 days old</t>
        </is>
      </c>
    </row>
    <row r="440">
      <c r="A440" t="inlineStr">
        <is>
          <t>WARN</t>
        </is>
      </c>
      <c r="B440" t="inlineStr">
        <is>
          <t>Actress</t>
        </is>
      </c>
      <c r="C440" t="inlineStr">
        <is>
          <t>Sandra Oh</t>
        </is>
      </c>
      <c r="D440" t="inlineStr">
        <is>
          <t>stale: 14 days old</t>
        </is>
      </c>
    </row>
    <row r="441">
      <c r="A441" t="inlineStr">
        <is>
          <t>WARN</t>
        </is>
      </c>
      <c r="B441" t="inlineStr">
        <is>
          <t>Actress</t>
        </is>
      </c>
      <c r="C441" t="inlineStr">
        <is>
          <t>Emma Stone</t>
        </is>
      </c>
      <c r="D441" t="inlineStr">
        <is>
          <t>stale: 14 days old</t>
        </is>
      </c>
    </row>
    <row r="442">
      <c r="A442" t="inlineStr">
        <is>
          <t>WARN</t>
        </is>
      </c>
      <c r="B442" t="inlineStr">
        <is>
          <t>Actress</t>
        </is>
      </c>
      <c r="C442" t="inlineStr">
        <is>
          <t>Ashley Padilla</t>
        </is>
      </c>
      <c r="D442" t="inlineStr">
        <is>
          <t>stale: 14 days old</t>
        </is>
      </c>
    </row>
    <row r="443">
      <c r="A443" t="inlineStr">
        <is>
          <t>WARN</t>
        </is>
      </c>
      <c r="B443" t="inlineStr">
        <is>
          <t>Actress</t>
        </is>
      </c>
      <c r="C443" t="inlineStr">
        <is>
          <t>Sissy Spacek</t>
        </is>
      </c>
      <c r="D443" t="inlineStr">
        <is>
          <t>stale: 14 days old</t>
        </is>
      </c>
    </row>
    <row r="444">
      <c r="A444" t="inlineStr">
        <is>
          <t>WARN</t>
        </is>
      </c>
      <c r="B444" t="inlineStr">
        <is>
          <t>Actress</t>
        </is>
      </c>
      <c r="C444" t="inlineStr">
        <is>
          <t>Tig Notaro</t>
        </is>
      </c>
      <c r="D444" t="inlineStr">
        <is>
          <t>stale: 14 days old</t>
        </is>
      </c>
    </row>
    <row r="445">
      <c r="A445" t="inlineStr">
        <is>
          <t>WARN</t>
        </is>
      </c>
      <c r="B445" t="inlineStr">
        <is>
          <t>Actress</t>
        </is>
      </c>
      <c r="C445" t="inlineStr">
        <is>
          <t>Madelyn Cline</t>
        </is>
      </c>
      <c r="D445" t="inlineStr">
        <is>
          <t>stale: 14 days old</t>
        </is>
      </c>
    </row>
    <row r="446">
      <c r="A446" t="inlineStr">
        <is>
          <t>WARN</t>
        </is>
      </c>
      <c r="B446" t="inlineStr">
        <is>
          <t>Actress</t>
        </is>
      </c>
      <c r="C446" t="inlineStr">
        <is>
          <t>Scarlett Johansson</t>
        </is>
      </c>
      <c r="D446" t="inlineStr">
        <is>
          <t>stale: 14 days old</t>
        </is>
      </c>
    </row>
    <row r="447">
      <c r="A447" t="inlineStr">
        <is>
          <t>WARN</t>
        </is>
      </c>
      <c r="B447" t="inlineStr">
        <is>
          <t>Actress</t>
        </is>
      </c>
      <c r="C447" t="inlineStr">
        <is>
          <t>Jenna Ortega</t>
        </is>
      </c>
      <c r="D447" t="inlineStr">
        <is>
          <t>stale: 14 days old</t>
        </is>
      </c>
    </row>
    <row r="448">
      <c r="A448" t="inlineStr">
        <is>
          <t>WARN</t>
        </is>
      </c>
      <c r="B448" t="inlineStr">
        <is>
          <t>Actress</t>
        </is>
      </c>
      <c r="C448" t="inlineStr">
        <is>
          <t>Sasha Calle</t>
        </is>
      </c>
      <c r="D448" t="inlineStr">
        <is>
          <t>stale: 14 days old</t>
        </is>
      </c>
    </row>
    <row r="449">
      <c r="A449" t="inlineStr">
        <is>
          <t>WARN</t>
        </is>
      </c>
      <c r="B449" t="inlineStr">
        <is>
          <t>Actress</t>
        </is>
      </c>
      <c r="C449" t="inlineStr">
        <is>
          <t>Merritt Wever</t>
        </is>
      </c>
      <c r="D449" t="inlineStr">
        <is>
          <t>stale: 14 days old</t>
        </is>
      </c>
    </row>
    <row r="450">
      <c r="A450" t="inlineStr">
        <is>
          <t>WARN</t>
        </is>
      </c>
      <c r="B450" t="inlineStr">
        <is>
          <t>Actress</t>
        </is>
      </c>
      <c r="C450" t="inlineStr">
        <is>
          <t>Sophie Okonedo</t>
        </is>
      </c>
      <c r="D450" t="inlineStr">
        <is>
          <t>stale: 14 days old</t>
        </is>
      </c>
    </row>
    <row r="451">
      <c r="A451" t="inlineStr">
        <is>
          <t>WARN</t>
        </is>
      </c>
      <c r="B451" t="inlineStr">
        <is>
          <t>Actress</t>
        </is>
      </c>
      <c r="C451" t="inlineStr">
        <is>
          <t>Rachel Weisz</t>
        </is>
      </c>
      <c r="D451" t="inlineStr">
        <is>
          <t>stale: 14 days old</t>
        </is>
      </c>
    </row>
    <row r="452">
      <c r="A452" t="inlineStr">
        <is>
          <t>WARN</t>
        </is>
      </c>
      <c r="B452" t="inlineStr">
        <is>
          <t>Actress</t>
        </is>
      </c>
      <c r="C452" t="inlineStr">
        <is>
          <t>Lily Gladstone</t>
        </is>
      </c>
      <c r="D452" t="inlineStr">
        <is>
          <t>stale: 14 days old</t>
        </is>
      </c>
    </row>
    <row r="453">
      <c r="A453" t="inlineStr">
        <is>
          <t>WARN</t>
        </is>
      </c>
      <c r="B453" t="inlineStr">
        <is>
          <t>Actress</t>
        </is>
      </c>
      <c r="C453" t="inlineStr">
        <is>
          <t>Danai Gurira</t>
        </is>
      </c>
      <c r="D453" t="inlineStr">
        <is>
          <t>stale: 14 days old</t>
        </is>
      </c>
    </row>
    <row r="454">
      <c r="A454" t="inlineStr">
        <is>
          <t>WARN</t>
        </is>
      </c>
      <c r="B454" t="inlineStr">
        <is>
          <t>Actress</t>
        </is>
      </c>
      <c r="C454" t="inlineStr">
        <is>
          <t>Yara Shahidi</t>
        </is>
      </c>
      <c r="D454" t="inlineStr">
        <is>
          <t>stale: 14 days old</t>
        </is>
      </c>
    </row>
    <row r="455">
      <c r="A455" t="inlineStr">
        <is>
          <t>WARN</t>
        </is>
      </c>
      <c r="B455" t="inlineStr">
        <is>
          <t>Actress</t>
        </is>
      </c>
      <c r="C455" t="inlineStr">
        <is>
          <t>Vanessa Bayer</t>
        </is>
      </c>
      <c r="D455" t="inlineStr">
        <is>
          <t>stale: 14 days old</t>
        </is>
      </c>
    </row>
    <row r="456">
      <c r="A456" t="inlineStr">
        <is>
          <t>WARN</t>
        </is>
      </c>
      <c r="B456" t="inlineStr">
        <is>
          <t>Actress</t>
        </is>
      </c>
      <c r="C456" t="inlineStr">
        <is>
          <t>Phoebe Dynevor</t>
        </is>
      </c>
      <c r="D456" t="inlineStr">
        <is>
          <t>stale: 14 days old</t>
        </is>
      </c>
    </row>
    <row r="457">
      <c r="A457" t="inlineStr">
        <is>
          <t>WARN</t>
        </is>
      </c>
      <c r="B457" t="inlineStr">
        <is>
          <t>Actress</t>
        </is>
      </c>
      <c r="C457" t="inlineStr">
        <is>
          <t>Pom Klementieff</t>
        </is>
      </c>
      <c r="D457" t="inlineStr">
        <is>
          <t>stale: 14 days old</t>
        </is>
      </c>
    </row>
    <row r="458">
      <c r="A458" t="inlineStr">
        <is>
          <t>WARN</t>
        </is>
      </c>
      <c r="B458" t="inlineStr">
        <is>
          <t>Actress</t>
        </is>
      </c>
      <c r="C458" t="inlineStr">
        <is>
          <t>Emmy Raver-Lampman</t>
        </is>
      </c>
      <c r="D458" t="inlineStr">
        <is>
          <t>stale: 14 days old</t>
        </is>
      </c>
    </row>
    <row r="459">
      <c r="A459" t="inlineStr">
        <is>
          <t>WARN</t>
        </is>
      </c>
      <c r="B459" t="inlineStr">
        <is>
          <t>Actress</t>
        </is>
      </c>
      <c r="C459" t="inlineStr">
        <is>
          <t>Brittany Snow</t>
        </is>
      </c>
      <c r="D459" t="inlineStr">
        <is>
          <t>stale: 14 days old</t>
        </is>
      </c>
    </row>
    <row r="460">
      <c r="A460" t="inlineStr">
        <is>
          <t>WARN</t>
        </is>
      </c>
      <c r="B460" t="inlineStr">
        <is>
          <t>Actress</t>
        </is>
      </c>
      <c r="C460" t="inlineStr">
        <is>
          <t>Cristin Milioti</t>
        </is>
      </c>
      <c r="D460" t="inlineStr">
        <is>
          <t>stale: 14 days old</t>
        </is>
      </c>
    </row>
    <row r="461">
      <c r="A461" t="inlineStr">
        <is>
          <t>WARN</t>
        </is>
      </c>
      <c r="B461" t="inlineStr">
        <is>
          <t>Actress</t>
        </is>
      </c>
      <c r="C461" t="inlineStr">
        <is>
          <t>Sydney Sweeney</t>
        </is>
      </c>
      <c r="D461" t="inlineStr">
        <is>
          <t>stale: 14 days old</t>
        </is>
      </c>
    </row>
    <row r="462">
      <c r="A462" t="inlineStr">
        <is>
          <t>WARN</t>
        </is>
      </c>
      <c r="B462" t="inlineStr">
        <is>
          <t>Actress</t>
        </is>
      </c>
      <c r="C462" t="inlineStr">
        <is>
          <t>Amy Madigan</t>
        </is>
      </c>
      <c r="D462" t="inlineStr">
        <is>
          <t>stale: 14 days old</t>
        </is>
      </c>
    </row>
    <row r="463">
      <c r="A463" t="inlineStr">
        <is>
          <t>WARN</t>
        </is>
      </c>
      <c r="B463" t="inlineStr">
        <is>
          <t>Actress</t>
        </is>
      </c>
      <c r="C463" t="inlineStr">
        <is>
          <t>Julia Roberts</t>
        </is>
      </c>
      <c r="D463" t="inlineStr">
        <is>
          <t>stale: 14 days old</t>
        </is>
      </c>
    </row>
    <row r="464">
      <c r="A464" t="inlineStr">
        <is>
          <t>WARN</t>
        </is>
      </c>
      <c r="B464" t="inlineStr">
        <is>
          <t>Actress</t>
        </is>
      </c>
      <c r="C464" t="inlineStr">
        <is>
          <t>Tessa Thompson</t>
        </is>
      </c>
      <c r="D464" t="inlineStr">
        <is>
          <t>stale: 14 days old</t>
        </is>
      </c>
    </row>
    <row r="465">
      <c r="A465" t="inlineStr">
        <is>
          <t>WARN</t>
        </is>
      </c>
      <c r="B465" t="inlineStr">
        <is>
          <t>Actress</t>
        </is>
      </c>
      <c r="C465" t="inlineStr">
        <is>
          <t>Florence Pugh</t>
        </is>
      </c>
      <c r="D465" t="inlineStr">
        <is>
          <t>stale: 14 days old</t>
        </is>
      </c>
    </row>
    <row r="466">
      <c r="A466" t="inlineStr">
        <is>
          <t>WARN</t>
        </is>
      </c>
      <c r="B466" t="inlineStr">
        <is>
          <t>Actress</t>
        </is>
      </c>
      <c r="C466" t="inlineStr">
        <is>
          <t>Teyana Taylor</t>
        </is>
      </c>
      <c r="D466" t="inlineStr">
        <is>
          <t>stale: 14 days old</t>
        </is>
      </c>
    </row>
    <row r="467">
      <c r="A467" t="inlineStr">
        <is>
          <t>WARN</t>
        </is>
      </c>
      <c r="B467" t="inlineStr">
        <is>
          <t>Actress</t>
        </is>
      </c>
      <c r="C467" t="inlineStr">
        <is>
          <t>Charlize Theron</t>
        </is>
      </c>
      <c r="D467" t="inlineStr">
        <is>
          <t>stale: 14 days old</t>
        </is>
      </c>
    </row>
    <row r="468">
      <c r="A468" t="inlineStr">
        <is>
          <t>WARN</t>
        </is>
      </c>
      <c r="B468" t="inlineStr">
        <is>
          <t>Actress</t>
        </is>
      </c>
      <c r="C468" t="inlineStr">
        <is>
          <t>Jessie Buckley</t>
        </is>
      </c>
      <c r="D468" t="inlineStr">
        <is>
          <t>stale: 14 days old</t>
        </is>
      </c>
    </row>
    <row r="469">
      <c r="A469" t="inlineStr">
        <is>
          <t>WARN</t>
        </is>
      </c>
      <c r="B469" t="inlineStr">
        <is>
          <t>Actress</t>
        </is>
      </c>
      <c r="C469" t="inlineStr">
        <is>
          <t>Ariana Grande</t>
        </is>
      </c>
      <c r="D469" t="inlineStr">
        <is>
          <t>stale: 14 days old</t>
        </is>
      </c>
    </row>
    <row r="470">
      <c r="A470" t="inlineStr">
        <is>
          <t>WARN</t>
        </is>
      </c>
      <c r="B470" t="inlineStr">
        <is>
          <t>Musician</t>
        </is>
      </c>
      <c r="C470" t="inlineStr">
        <is>
          <t>Ella Langley</t>
        </is>
      </c>
      <c r="D470" t="inlineStr">
        <is>
          <t>stale: 14 days old</t>
        </is>
      </c>
    </row>
    <row r="471">
      <c r="A471" t="inlineStr">
        <is>
          <t>WARN</t>
        </is>
      </c>
      <c r="B471" t="inlineStr">
        <is>
          <t>Musician</t>
        </is>
      </c>
      <c r="C471" t="inlineStr">
        <is>
          <t>Ella Langley</t>
        </is>
      </c>
      <c r="D471" t="inlineStr">
        <is>
          <t>confidence-C candidate is in the overall board top 10 — verify before relying</t>
        </is>
      </c>
    </row>
    <row r="472">
      <c r="A472" t="inlineStr">
        <is>
          <t>WARN</t>
        </is>
      </c>
      <c r="B472" t="inlineStr">
        <is>
          <t>Musician</t>
        </is>
      </c>
      <c r="C472" t="inlineStr">
        <is>
          <t>Olivia Rodrigo</t>
        </is>
      </c>
      <c r="D472" t="inlineStr">
        <is>
          <t>stale: 14 days old</t>
        </is>
      </c>
    </row>
    <row r="473">
      <c r="A473" t="inlineStr">
        <is>
          <t>WARN</t>
        </is>
      </c>
      <c r="B473" t="inlineStr">
        <is>
          <t>Musician</t>
        </is>
      </c>
      <c r="C473" t="inlineStr">
        <is>
          <t>Olivia Rodrigo</t>
        </is>
      </c>
      <c r="D473" t="inlineStr">
        <is>
          <t>confidence-C candidate is in the overall board top 10 — verify before relying</t>
        </is>
      </c>
    </row>
    <row r="474">
      <c r="A474" t="inlineStr">
        <is>
          <t>WARN</t>
        </is>
      </c>
      <c r="B474" t="inlineStr">
        <is>
          <t>Musician</t>
        </is>
      </c>
      <c r="C474" t="inlineStr">
        <is>
          <t>Olivia Dean</t>
        </is>
      </c>
      <c r="D474" t="inlineStr">
        <is>
          <t>stale: 14 days old</t>
        </is>
      </c>
    </row>
    <row r="475">
      <c r="A475" t="inlineStr">
        <is>
          <t>WARN</t>
        </is>
      </c>
      <c r="B475" t="inlineStr">
        <is>
          <t>Musician</t>
        </is>
      </c>
      <c r="C475" t="inlineStr">
        <is>
          <t>Bruno Mars</t>
        </is>
      </c>
      <c r="D475" t="inlineStr">
        <is>
          <t>stale: 14 days old</t>
        </is>
      </c>
    </row>
    <row r="476">
      <c r="A476" t="inlineStr">
        <is>
          <t>WARN</t>
        </is>
      </c>
      <c r="B476" t="inlineStr">
        <is>
          <t>Musician</t>
        </is>
      </c>
      <c r="C476" t="inlineStr">
        <is>
          <t>Taylor Swift</t>
        </is>
      </c>
      <c r="D476" t="inlineStr">
        <is>
          <t>stale: 14 days old</t>
        </is>
      </c>
    </row>
    <row r="477">
      <c r="A477" t="inlineStr">
        <is>
          <t>WARN</t>
        </is>
      </c>
      <c r="B477" t="inlineStr">
        <is>
          <t>Musician</t>
        </is>
      </c>
      <c r="C477" t="inlineStr">
        <is>
          <t>Rosalía</t>
        </is>
      </c>
      <c r="D477" t="inlineStr">
        <is>
          <t>stale: 14 days old</t>
        </is>
      </c>
    </row>
    <row r="478">
      <c r="A478" t="inlineStr">
        <is>
          <t>WARN</t>
        </is>
      </c>
      <c r="B478" t="inlineStr">
        <is>
          <t>Musician</t>
        </is>
      </c>
      <c r="C478" t="inlineStr">
        <is>
          <t>Harry Styles</t>
        </is>
      </c>
      <c r="D478" t="inlineStr">
        <is>
          <t>stale: 14 days old</t>
        </is>
      </c>
    </row>
    <row r="479">
      <c r="A479" t="inlineStr">
        <is>
          <t>WARN</t>
        </is>
      </c>
      <c r="B479" t="inlineStr">
        <is>
          <t>Musician</t>
        </is>
      </c>
      <c r="C479" t="inlineStr">
        <is>
          <t>Ariana Grande</t>
        </is>
      </c>
      <c r="D479" t="inlineStr">
        <is>
          <t>stale: 14 days old</t>
        </is>
      </c>
    </row>
    <row r="480">
      <c r="A480" t="inlineStr">
        <is>
          <t>WARN</t>
        </is>
      </c>
      <c r="B480" t="inlineStr">
        <is>
          <t>Musician</t>
        </is>
      </c>
      <c r="C480" t="inlineStr">
        <is>
          <t>Raye</t>
        </is>
      </c>
      <c r="D480" t="inlineStr">
        <is>
          <t>stale: 14 days old</t>
        </is>
      </c>
    </row>
    <row r="481">
      <c r="A481" t="inlineStr">
        <is>
          <t>WARN</t>
        </is>
      </c>
      <c r="B481" t="inlineStr">
        <is>
          <t>Musician</t>
        </is>
      </c>
      <c r="C481" t="inlineStr">
        <is>
          <t>BTS</t>
        </is>
      </c>
      <c r="D481" t="inlineStr">
        <is>
          <t>stale: 14 days old</t>
        </is>
      </c>
    </row>
    <row r="482">
      <c r="A482" t="inlineStr">
        <is>
          <t>WARN</t>
        </is>
      </c>
      <c r="B482" t="inlineStr">
        <is>
          <t>Musician</t>
        </is>
      </c>
      <c r="C482" t="inlineStr">
        <is>
          <t>Morgan Wallen</t>
        </is>
      </c>
      <c r="D482" t="inlineStr">
        <is>
          <t>stale: 14 days old</t>
        </is>
      </c>
    </row>
    <row r="483">
      <c r="A483" t="inlineStr">
        <is>
          <t>WARN</t>
        </is>
      </c>
      <c r="B483" t="inlineStr">
        <is>
          <t>Musician</t>
        </is>
      </c>
      <c r="C483" t="inlineStr">
        <is>
          <t>Drake</t>
        </is>
      </c>
      <c r="D483" t="inlineStr">
        <is>
          <t>stale: 14 days old</t>
        </is>
      </c>
    </row>
    <row r="484">
      <c r="A484" t="inlineStr">
        <is>
          <t>WARN</t>
        </is>
      </c>
      <c r="B484" t="inlineStr">
        <is>
          <t>Musician</t>
        </is>
      </c>
      <c r="C484" t="inlineStr">
        <is>
          <t>Bad Bunny</t>
        </is>
      </c>
      <c r="D484" t="inlineStr">
        <is>
          <t>stale: 14 days old</t>
        </is>
      </c>
    </row>
    <row r="485">
      <c r="A485" t="inlineStr">
        <is>
          <t>WARN</t>
        </is>
      </c>
      <c r="B485" t="inlineStr">
        <is>
          <t>Musician</t>
        </is>
      </c>
      <c r="C485" t="inlineStr">
        <is>
          <t>Phoebe Bridgers</t>
        </is>
      </c>
      <c r="D485" t="inlineStr">
        <is>
          <t>stale: 14 days old</t>
        </is>
      </c>
    </row>
    <row r="486">
      <c r="A486" t="inlineStr">
        <is>
          <t>WARN</t>
        </is>
      </c>
      <c r="B486" t="inlineStr">
        <is>
          <t>Musician</t>
        </is>
      </c>
      <c r="C486" t="inlineStr">
        <is>
          <t>Justin Bieber</t>
        </is>
      </c>
      <c r="D486" t="inlineStr">
        <is>
          <t>stale: 14 days old</t>
        </is>
      </c>
    </row>
    <row r="487">
      <c r="A487" t="inlineStr">
        <is>
          <t>WARN</t>
        </is>
      </c>
      <c r="B487" t="inlineStr">
        <is>
          <t>Musician</t>
        </is>
      </c>
      <c r="C487" t="inlineStr">
        <is>
          <t>Sienna Spiro</t>
        </is>
      </c>
      <c r="D487" t="inlineStr">
        <is>
          <t>stale: 14 days old</t>
        </is>
      </c>
    </row>
    <row r="488">
      <c r="A488" t="inlineStr">
        <is>
          <t>WARN</t>
        </is>
      </c>
      <c r="B488" t="inlineStr">
        <is>
          <t>Musician</t>
        </is>
      </c>
      <c r="C488" t="inlineStr">
        <is>
          <t>Kendrick Lamar</t>
        </is>
      </c>
      <c r="D488" t="inlineStr">
        <is>
          <t>stale: 14 days old</t>
        </is>
      </c>
    </row>
    <row r="489">
      <c r="A489" t="inlineStr">
        <is>
          <t>WARN</t>
        </is>
      </c>
      <c r="B489" t="inlineStr">
        <is>
          <t>Musician</t>
        </is>
      </c>
      <c r="C489" t="inlineStr">
        <is>
          <t>Sabrina Carpenter</t>
        </is>
      </c>
      <c r="D489" t="inlineStr">
        <is>
          <t>stale: 14 days old</t>
        </is>
      </c>
    </row>
    <row r="490">
      <c r="A490" t="inlineStr">
        <is>
          <t>WARN</t>
        </is>
      </c>
      <c r="B490" t="inlineStr">
        <is>
          <t>Musician</t>
        </is>
      </c>
      <c r="C490" t="inlineStr">
        <is>
          <t>The Weeknd</t>
        </is>
      </c>
      <c r="D490" t="inlineStr">
        <is>
          <t>stale: 14 days old</t>
        </is>
      </c>
    </row>
    <row r="491">
      <c r="A491" t="inlineStr">
        <is>
          <t>WARN</t>
        </is>
      </c>
      <c r="B491" t="inlineStr">
        <is>
          <t>Musician</t>
        </is>
      </c>
      <c r="C491" t="inlineStr">
        <is>
          <t>SZA</t>
        </is>
      </c>
      <c r="D491" t="inlineStr">
        <is>
          <t>stale: 14 days old</t>
        </is>
      </c>
    </row>
    <row r="492">
      <c r="A492" t="inlineStr">
        <is>
          <t>WARN</t>
        </is>
      </c>
      <c r="B492" t="inlineStr">
        <is>
          <t>Musician</t>
        </is>
      </c>
      <c r="C492" t="inlineStr">
        <is>
          <t>Lady Gaga</t>
        </is>
      </c>
      <c r="D492" t="inlineStr">
        <is>
          <t>stale: 14 days old</t>
        </is>
      </c>
    </row>
    <row r="493">
      <c r="A493" t="inlineStr">
        <is>
          <t>WARN</t>
        </is>
      </c>
      <c r="B493" t="inlineStr">
        <is>
          <t>Musician</t>
        </is>
      </c>
      <c r="C493" t="inlineStr">
        <is>
          <t>Beyoncé</t>
        </is>
      </c>
      <c r="D493" t="inlineStr">
        <is>
          <t>stale: 14 days old</t>
        </is>
      </c>
    </row>
    <row r="494">
      <c r="A494" t="inlineStr">
        <is>
          <t>WARN</t>
        </is>
      </c>
      <c r="B494" t="inlineStr">
        <is>
          <t>Musician</t>
        </is>
      </c>
      <c r="C494" t="inlineStr">
        <is>
          <t>Billie Eilish</t>
        </is>
      </c>
      <c r="D494" t="inlineStr">
        <is>
          <t>stale: 14 days old</t>
        </is>
      </c>
    </row>
    <row r="495">
      <c r="A495" t="inlineStr">
        <is>
          <t>WARN</t>
        </is>
      </c>
      <c r="B495" t="inlineStr">
        <is>
          <t>Musician</t>
        </is>
      </c>
      <c r="C495" t="inlineStr">
        <is>
          <t>Doechii</t>
        </is>
      </c>
      <c r="D495" t="inlineStr">
        <is>
          <t>stale: 14 days old</t>
        </is>
      </c>
    </row>
    <row r="496">
      <c r="A496" t="inlineStr">
        <is>
          <t>WARN</t>
        </is>
      </c>
      <c r="B496" t="inlineStr">
        <is>
          <t>Musician</t>
        </is>
      </c>
      <c r="C496" t="inlineStr">
        <is>
          <t>Tate McRae</t>
        </is>
      </c>
      <c r="D496" t="inlineStr">
        <is>
          <t>stale: 14 days old</t>
        </is>
      </c>
    </row>
    <row r="497">
      <c r="A497" t="inlineStr">
        <is>
          <t>WARN</t>
        </is>
      </c>
      <c r="B497" t="inlineStr">
        <is>
          <t>Musician</t>
        </is>
      </c>
      <c r="C497" t="inlineStr">
        <is>
          <t>Zach Bryan</t>
        </is>
      </c>
      <c r="D497" t="inlineStr">
        <is>
          <t>stale: 14 days old</t>
        </is>
      </c>
    </row>
    <row r="498">
      <c r="A498" t="inlineStr">
        <is>
          <t>WARN</t>
        </is>
      </c>
      <c r="B498" t="inlineStr">
        <is>
          <t>Musician</t>
        </is>
      </c>
      <c r="C498" t="inlineStr">
        <is>
          <t>Tyler, the Creator</t>
        </is>
      </c>
      <c r="D498" t="inlineStr">
        <is>
          <t>stale: 14 days old</t>
        </is>
      </c>
    </row>
    <row r="499">
      <c r="A499" t="inlineStr">
        <is>
          <t>WARN</t>
        </is>
      </c>
      <c r="B499" t="inlineStr">
        <is>
          <t>Musician</t>
        </is>
      </c>
      <c r="C499" t="inlineStr">
        <is>
          <t>Chappell Roan</t>
        </is>
      </c>
      <c r="D499" t="inlineStr">
        <is>
          <t>stale: 14 days old</t>
        </is>
      </c>
    </row>
    <row r="500">
      <c r="A500" t="inlineStr">
        <is>
          <t>WARN</t>
        </is>
      </c>
      <c r="B500" t="inlineStr">
        <is>
          <t>Musician</t>
        </is>
      </c>
      <c r="C500" t="inlineStr">
        <is>
          <t>Travis Scott</t>
        </is>
      </c>
      <c r="D500" t="inlineStr">
        <is>
          <t>stale: 14 days old</t>
        </is>
      </c>
    </row>
    <row r="501">
      <c r="A501" t="inlineStr">
        <is>
          <t>WARN</t>
        </is>
      </c>
      <c r="B501" t="inlineStr">
        <is>
          <t>Musician</t>
        </is>
      </c>
      <c r="C501" t="inlineStr">
        <is>
          <t>FKA Twigs</t>
        </is>
      </c>
      <c r="D501" t="inlineStr">
        <is>
          <t>stale: 14 days old</t>
        </is>
      </c>
    </row>
    <row r="502">
      <c r="A502" t="inlineStr">
        <is>
          <t>WARN</t>
        </is>
      </c>
      <c r="B502" t="inlineStr">
        <is>
          <t>Musician</t>
        </is>
      </c>
      <c r="C502" t="inlineStr">
        <is>
          <t>Doja Cat</t>
        </is>
      </c>
      <c r="D502" t="inlineStr">
        <is>
          <t>stale: 14 days old</t>
        </is>
      </c>
    </row>
    <row r="503">
      <c r="A503" t="inlineStr">
        <is>
          <t>WARN</t>
        </is>
      </c>
      <c r="B503" t="inlineStr">
        <is>
          <t>Musician</t>
        </is>
      </c>
      <c r="C503" t="inlineStr">
        <is>
          <t>Post Malone</t>
        </is>
      </c>
      <c r="D503" t="inlineStr">
        <is>
          <t>stale: 14 days old</t>
        </is>
      </c>
    </row>
    <row r="504">
      <c r="A504" t="inlineStr">
        <is>
          <t>WARN</t>
        </is>
      </c>
      <c r="B504" t="inlineStr">
        <is>
          <t>Country</t>
        </is>
      </c>
      <c r="C504" t="inlineStr">
        <is>
          <t>Iraq</t>
        </is>
      </c>
      <c r="D504" t="inlineStr">
        <is>
          <t>stale: 9 days old</t>
        </is>
      </c>
    </row>
    <row r="505">
      <c r="A505" t="inlineStr">
        <is>
          <t>WARN</t>
        </is>
      </c>
      <c r="B505" t="inlineStr">
        <is>
          <t>Country</t>
        </is>
      </c>
      <c r="C505" t="inlineStr">
        <is>
          <t>Qatar</t>
        </is>
      </c>
      <c r="D505" t="inlineStr">
        <is>
          <t>stale: 9 days old</t>
        </is>
      </c>
    </row>
    <row r="506">
      <c r="A506" t="inlineStr">
        <is>
          <t>WARN</t>
        </is>
      </c>
      <c r="B506" t="inlineStr">
        <is>
          <t>Country</t>
        </is>
      </c>
      <c r="C506" t="inlineStr">
        <is>
          <t>Guyana</t>
        </is>
      </c>
      <c r="D506" t="inlineStr">
        <is>
          <t>stale: 9 days old</t>
        </is>
      </c>
    </row>
    <row r="507">
      <c r="A507" t="inlineStr">
        <is>
          <t>WARN</t>
        </is>
      </c>
      <c r="B507" t="inlineStr">
        <is>
          <t>Country</t>
        </is>
      </c>
      <c r="C507" t="inlineStr">
        <is>
          <t>Kuwait</t>
        </is>
      </c>
      <c r="D507" t="inlineStr">
        <is>
          <t>stale: 9 days old</t>
        </is>
      </c>
    </row>
    <row r="508">
      <c r="A508" t="inlineStr">
        <is>
          <t>WARN</t>
        </is>
      </c>
      <c r="B508" t="inlineStr">
        <is>
          <t>Country</t>
        </is>
      </c>
      <c r="C508" t="inlineStr">
        <is>
          <t>Sudan</t>
        </is>
      </c>
      <c r="D508" t="inlineStr">
        <is>
          <t>stale: 9 days old</t>
        </is>
      </c>
    </row>
    <row r="509">
      <c r="A509" t="inlineStr">
        <is>
          <t>WARN</t>
        </is>
      </c>
      <c r="B509" t="inlineStr">
        <is>
          <t>Country</t>
        </is>
      </c>
      <c r="C509" t="inlineStr">
        <is>
          <t>Bahrain</t>
        </is>
      </c>
      <c r="D509" t="inlineStr">
        <is>
          <t>stale: 9 days old</t>
        </is>
      </c>
    </row>
    <row r="510">
      <c r="A510" t="inlineStr">
        <is>
          <t>WARN</t>
        </is>
      </c>
      <c r="B510" t="inlineStr">
        <is>
          <t>Country</t>
        </is>
      </c>
      <c r="C510" t="inlineStr">
        <is>
          <t>Uganda</t>
        </is>
      </c>
      <c r="D510" t="inlineStr">
        <is>
          <t>stale: 9 days old</t>
        </is>
      </c>
    </row>
    <row r="511">
      <c r="A511" t="inlineStr">
        <is>
          <t>WARN</t>
        </is>
      </c>
      <c r="B511" t="inlineStr">
        <is>
          <t>Country</t>
        </is>
      </c>
      <c r="C511" t="inlineStr">
        <is>
          <t>Saudi Arabia</t>
        </is>
      </c>
      <c r="D511" t="inlineStr">
        <is>
          <t>stale: 9 days old</t>
        </is>
      </c>
    </row>
    <row r="512">
      <c r="A512" t="inlineStr">
        <is>
          <t>WARN</t>
        </is>
      </c>
      <c r="B512" t="inlineStr">
        <is>
          <t>Country</t>
        </is>
      </c>
      <c r="C512" t="inlineStr">
        <is>
          <t>Guinea</t>
        </is>
      </c>
      <c r="D512" t="inlineStr">
        <is>
          <t>stale: 9 days old</t>
        </is>
      </c>
    </row>
    <row r="513">
      <c r="A513" t="inlineStr">
        <is>
          <t>WARN</t>
        </is>
      </c>
      <c r="B513" t="inlineStr">
        <is>
          <t>Country</t>
        </is>
      </c>
      <c r="C513" t="inlineStr">
        <is>
          <t>Ethiopia</t>
        </is>
      </c>
      <c r="D513" t="inlineStr">
        <is>
          <t>stale: 9 days old</t>
        </is>
      </c>
    </row>
    <row r="514">
      <c r="A514" t="inlineStr">
        <is>
          <t>WARN</t>
        </is>
      </c>
      <c r="B514" t="inlineStr">
        <is>
          <t>Country</t>
        </is>
      </c>
      <c r="C514" t="inlineStr">
        <is>
          <t>United Arab Emirates</t>
        </is>
      </c>
      <c r="D514" t="inlineStr">
        <is>
          <t>stale: 9 days old</t>
        </is>
      </c>
    </row>
    <row r="515">
      <c r="A515" t="inlineStr">
        <is>
          <t>WARN</t>
        </is>
      </c>
      <c r="B515" t="inlineStr">
        <is>
          <t>Country</t>
        </is>
      </c>
      <c r="C515" t="inlineStr">
        <is>
          <t>Venezuela</t>
        </is>
      </c>
      <c r="D515" t="inlineStr">
        <is>
          <t>stale: 9 days old</t>
        </is>
      </c>
    </row>
    <row r="516">
      <c r="A516" t="inlineStr">
        <is>
          <t>WARN</t>
        </is>
      </c>
      <c r="B516" t="inlineStr">
        <is>
          <t>Country</t>
        </is>
      </c>
      <c r="C516" t="inlineStr">
        <is>
          <t>Vietnam</t>
        </is>
      </c>
      <c r="D516" t="inlineStr">
        <is>
          <t>stale: 9 days old</t>
        </is>
      </c>
    </row>
    <row r="517">
      <c r="A517" t="inlineStr">
        <is>
          <t>WARN</t>
        </is>
      </c>
      <c r="B517" t="inlineStr">
        <is>
          <t>Country</t>
        </is>
      </c>
      <c r="C517" t="inlineStr">
        <is>
          <t>South Sudan</t>
        </is>
      </c>
      <c r="D517" t="inlineStr">
        <is>
          <t>stale: 9 days old</t>
        </is>
      </c>
    </row>
    <row r="518">
      <c r="A518" t="inlineStr">
        <is>
          <t>WARN</t>
        </is>
      </c>
      <c r="B518" t="inlineStr">
        <is>
          <t>Country</t>
        </is>
      </c>
      <c r="C518" t="inlineStr">
        <is>
          <t>Rwanda</t>
        </is>
      </c>
      <c r="D518" t="inlineStr">
        <is>
          <t>stale: 9 days old</t>
        </is>
      </c>
    </row>
    <row r="519">
      <c r="A519" t="inlineStr">
        <is>
          <t>WARN</t>
        </is>
      </c>
      <c r="B519" t="inlineStr">
        <is>
          <t>Country</t>
        </is>
      </c>
      <c r="C519" t="inlineStr">
        <is>
          <t>Kyrgyzstan</t>
        </is>
      </c>
      <c r="D519" t="inlineStr">
        <is>
          <t>stale: 9 days old</t>
        </is>
      </c>
    </row>
    <row r="520">
      <c r="A520" t="inlineStr">
        <is>
          <t>WARN</t>
        </is>
      </c>
      <c r="B520" t="inlineStr">
        <is>
          <t>Country</t>
        </is>
      </c>
      <c r="C520" t="inlineStr">
        <is>
          <t>India</t>
        </is>
      </c>
      <c r="D520" t="inlineStr">
        <is>
          <t>stale: 9 days old</t>
        </is>
      </c>
    </row>
    <row r="521">
      <c r="A521" t="inlineStr">
        <is>
          <t>WARN</t>
        </is>
      </c>
      <c r="B521" t="inlineStr">
        <is>
          <t>Country</t>
        </is>
      </c>
      <c r="C521" t="inlineStr">
        <is>
          <t>Niger</t>
        </is>
      </c>
      <c r="D521" t="inlineStr">
        <is>
          <t>stale: 9 days old</t>
        </is>
      </c>
    </row>
    <row r="522">
      <c r="A522" t="inlineStr">
        <is>
          <t>WARN</t>
        </is>
      </c>
      <c r="B522" t="inlineStr">
        <is>
          <t>Country</t>
        </is>
      </c>
      <c r="C522" t="inlineStr">
        <is>
          <t>Bhutan</t>
        </is>
      </c>
      <c r="D522" t="inlineStr">
        <is>
          <t>stale: 9 days old</t>
        </is>
      </c>
    </row>
    <row r="523">
      <c r="A523" t="inlineStr">
        <is>
          <t>WARN</t>
        </is>
      </c>
      <c r="B523" t="inlineStr">
        <is>
          <t>Country</t>
        </is>
      </c>
      <c r="C523" t="inlineStr">
        <is>
          <t>Benin</t>
        </is>
      </c>
      <c r="D523" t="inlineStr">
        <is>
          <t>stale: 9 days old</t>
        </is>
      </c>
    </row>
    <row r="524">
      <c r="A524" t="inlineStr">
        <is>
          <t>WARN</t>
        </is>
      </c>
      <c r="B524" t="inlineStr">
        <is>
          <t>Country</t>
        </is>
      </c>
      <c r="C524" t="inlineStr">
        <is>
          <t>Tajikistan</t>
        </is>
      </c>
      <c r="D524" t="inlineStr">
        <is>
          <t>stale: 9 days old</t>
        </is>
      </c>
    </row>
    <row r="525">
      <c r="A525" t="inlineStr">
        <is>
          <t>WARN</t>
        </is>
      </c>
      <c r="B525" t="inlineStr">
        <is>
          <t>Country</t>
        </is>
      </c>
      <c r="C525" t="inlineStr">
        <is>
          <t>Uzbekistan</t>
        </is>
      </c>
      <c r="D525" t="inlineStr">
        <is>
          <t>stale: 9 days old</t>
        </is>
      </c>
    </row>
    <row r="526">
      <c r="A526" t="inlineStr">
        <is>
          <t>WARN</t>
        </is>
      </c>
      <c r="B526" t="inlineStr">
        <is>
          <t>Country</t>
        </is>
      </c>
      <c r="C526" t="inlineStr">
        <is>
          <t>Mongolia</t>
        </is>
      </c>
      <c r="D526" t="inlineStr">
        <is>
          <t>stale: 9 days old</t>
        </is>
      </c>
    </row>
    <row r="527">
      <c r="A527" t="inlineStr">
        <is>
          <t>WARN</t>
        </is>
      </c>
      <c r="B527" t="inlineStr">
        <is>
          <t>Country</t>
        </is>
      </c>
      <c r="C527" t="inlineStr">
        <is>
          <t>Chad</t>
        </is>
      </c>
      <c r="D527" t="inlineStr">
        <is>
          <t>stale: 9 days old</t>
        </is>
      </c>
    </row>
    <row r="528">
      <c r="A528" t="inlineStr">
        <is>
          <t>WARN</t>
        </is>
      </c>
      <c r="B528" t="inlineStr">
        <is>
          <t>Country</t>
        </is>
      </c>
      <c r="C528" t="inlineStr">
        <is>
          <t>Côte d'Ivoire</t>
        </is>
      </c>
      <c r="D528" t="inlineStr">
        <is>
          <t>stale: 9 days old</t>
        </is>
      </c>
    </row>
    <row r="529">
      <c r="A529" t="inlineStr">
        <is>
          <t>WARN</t>
        </is>
      </c>
      <c r="B529" t="inlineStr">
        <is>
          <t>Country</t>
        </is>
      </c>
      <c r="C529" t="inlineStr">
        <is>
          <t>Tanzania</t>
        </is>
      </c>
      <c r="D529" t="inlineStr">
        <is>
          <t>stale: 9 days old</t>
        </is>
      </c>
    </row>
    <row r="530">
      <c r="A530" t="inlineStr">
        <is>
          <t>WARN</t>
        </is>
      </c>
      <c r="B530" t="inlineStr">
        <is>
          <t>Country</t>
        </is>
      </c>
      <c r="C530" t="inlineStr">
        <is>
          <t>Israel</t>
        </is>
      </c>
      <c r="D530" t="inlineStr">
        <is>
          <t>stale: 9 days old</t>
        </is>
      </c>
    </row>
    <row r="531">
      <c r="A531" t="inlineStr">
        <is>
          <t>WARN</t>
        </is>
      </c>
      <c r="B531" t="inlineStr">
        <is>
          <t>Country</t>
        </is>
      </c>
      <c r="C531" t="inlineStr">
        <is>
          <t>Georgia</t>
        </is>
      </c>
      <c r="D531" t="inlineStr">
        <is>
          <t>stale: 9 days old</t>
        </is>
      </c>
    </row>
    <row r="532">
      <c r="A532" t="inlineStr">
        <is>
          <t>WARN</t>
        </is>
      </c>
      <c r="B532" t="inlineStr">
        <is>
          <t>Country</t>
        </is>
      </c>
      <c r="C532" t="inlineStr">
        <is>
          <t>Congo, The Democratic Republic of the</t>
        </is>
      </c>
      <c r="D532" t="inlineStr">
        <is>
          <t>stale: 9 days old</t>
        </is>
      </c>
    </row>
    <row r="533">
      <c r="A533" t="inlineStr">
        <is>
          <t>WARN</t>
        </is>
      </c>
      <c r="B533" t="inlineStr">
        <is>
          <t>Country</t>
        </is>
      </c>
      <c r="C533" t="inlineStr">
        <is>
          <t>Mali</t>
        </is>
      </c>
      <c r="D533" t="inlineStr">
        <is>
          <t>stale: 9 days old</t>
        </is>
      </c>
    </row>
    <row r="534">
      <c r="A534" t="inlineStr">
        <is>
          <t>WARN</t>
        </is>
      </c>
      <c r="B534" t="inlineStr">
        <is>
          <t>Country</t>
        </is>
      </c>
      <c r="C534" t="inlineStr">
        <is>
          <t>Kazakhstan</t>
        </is>
      </c>
      <c r="D534" t="inlineStr">
        <is>
          <t>stale: 9 days old</t>
        </is>
      </c>
    </row>
    <row r="535">
      <c r="A535" t="inlineStr">
        <is>
          <t>WARN</t>
        </is>
      </c>
      <c r="B535" t="inlineStr">
        <is>
          <t>Country</t>
        </is>
      </c>
      <c r="C535" t="inlineStr">
        <is>
          <t>Armenia</t>
        </is>
      </c>
      <c r="D535" t="inlineStr">
        <is>
          <t>stale: 9 days old</t>
        </is>
      </c>
    </row>
    <row r="536">
      <c r="A536" t="inlineStr">
        <is>
          <t>WARN</t>
        </is>
      </c>
      <c r="B536" t="inlineStr">
        <is>
          <t>Country</t>
        </is>
      </c>
      <c r="C536" t="inlineStr">
        <is>
          <t>Togo</t>
        </is>
      </c>
      <c r="D536" t="inlineStr">
        <is>
          <t>stale: 9 days old</t>
        </is>
      </c>
    </row>
    <row r="537">
      <c r="A537" t="inlineStr">
        <is>
          <t>WARN</t>
        </is>
      </c>
      <c r="B537" t="inlineStr">
        <is>
          <t>Country</t>
        </is>
      </c>
      <c r="C537" t="inlineStr">
        <is>
          <t>Ghana</t>
        </is>
      </c>
      <c r="D537" t="inlineStr">
        <is>
          <t>stale: 9 days old</t>
        </is>
      </c>
    </row>
    <row r="538">
      <c r="A538" t="inlineStr">
        <is>
          <t>WARN</t>
        </is>
      </c>
      <c r="B538" t="inlineStr">
        <is>
          <t>Country</t>
        </is>
      </c>
      <c r="C538" t="inlineStr">
        <is>
          <t>Gambia</t>
        </is>
      </c>
      <c r="D538" t="inlineStr">
        <is>
          <t>stale: 9 days old</t>
        </is>
      </c>
    </row>
    <row r="539">
      <c r="A539" t="inlineStr">
        <is>
          <t>WARN</t>
        </is>
      </c>
      <c r="B539" t="inlineStr">
        <is>
          <t>Country</t>
        </is>
      </c>
      <c r="C539" t="inlineStr">
        <is>
          <t>Indonesia</t>
        </is>
      </c>
      <c r="D539" t="inlineStr">
        <is>
          <t>stale: 9 days old</t>
        </is>
      </c>
    </row>
    <row r="540">
      <c r="A540" t="inlineStr">
        <is>
          <t>WARN</t>
        </is>
      </c>
      <c r="B540" t="inlineStr">
        <is>
          <t>Country</t>
        </is>
      </c>
      <c r="C540" t="inlineStr">
        <is>
          <t>Philippines</t>
        </is>
      </c>
      <c r="D540" t="inlineStr">
        <is>
          <t>stale: 9 days old</t>
        </is>
      </c>
    </row>
    <row r="541">
      <c r="A541" t="inlineStr">
        <is>
          <t>WARN</t>
        </is>
      </c>
      <c r="B541" t="inlineStr">
        <is>
          <t>Country</t>
        </is>
      </c>
      <c r="C541" t="inlineStr">
        <is>
          <t>Liberia</t>
        </is>
      </c>
      <c r="D541" t="inlineStr">
        <is>
          <t>stale: 9 days old</t>
        </is>
      </c>
    </row>
    <row r="542">
      <c r="A542" t="inlineStr">
        <is>
          <t>WARN</t>
        </is>
      </c>
      <c r="B542" t="inlineStr">
        <is>
          <t>Country</t>
        </is>
      </c>
      <c r="C542" t="inlineStr">
        <is>
          <t>Cabo Verde</t>
        </is>
      </c>
      <c r="D542" t="inlineStr">
        <is>
          <t>stale: 9 days old</t>
        </is>
      </c>
    </row>
    <row r="543">
      <c r="A543" t="inlineStr">
        <is>
          <t>WARN</t>
        </is>
      </c>
      <c r="B543" t="inlineStr">
        <is>
          <t>Country</t>
        </is>
      </c>
      <c r="C543" t="inlineStr">
        <is>
          <t>Djibouti</t>
        </is>
      </c>
      <c r="D543" t="inlineStr">
        <is>
          <t>stale: 9 days old</t>
        </is>
      </c>
    </row>
    <row r="544">
      <c r="A544" t="inlineStr">
        <is>
          <t>WARN</t>
        </is>
      </c>
      <c r="B544" t="inlineStr">
        <is>
          <t>Country</t>
        </is>
      </c>
      <c r="C544" t="inlineStr">
        <is>
          <t>Zambia</t>
        </is>
      </c>
      <c r="D544" t="inlineStr">
        <is>
          <t>stale: 9 days old</t>
        </is>
      </c>
    </row>
    <row r="545">
      <c r="A545" t="inlineStr">
        <is>
          <t>WARN</t>
        </is>
      </c>
      <c r="B545" t="inlineStr">
        <is>
          <t>Country</t>
        </is>
      </c>
      <c r="C545" t="inlineStr">
        <is>
          <t>Guinea-Bissau</t>
        </is>
      </c>
      <c r="D545" t="inlineStr">
        <is>
          <t>stale: 9 days old</t>
        </is>
      </c>
    </row>
    <row r="546">
      <c r="A546" t="inlineStr">
        <is>
          <t>WARN</t>
        </is>
      </c>
      <c r="B546" t="inlineStr">
        <is>
          <t>Country</t>
        </is>
      </c>
      <c r="C546" t="inlineStr">
        <is>
          <t>Burkina Faso</t>
        </is>
      </c>
      <c r="D546" t="inlineStr">
        <is>
          <t>stale: 9 days old</t>
        </is>
      </c>
    </row>
    <row r="547">
      <c r="A547" t="inlineStr">
        <is>
          <t>WARN</t>
        </is>
      </c>
      <c r="B547" t="inlineStr">
        <is>
          <t>Country</t>
        </is>
      </c>
      <c r="C547" t="inlineStr">
        <is>
          <t>Burundi</t>
        </is>
      </c>
      <c r="D547" t="inlineStr">
        <is>
          <t>stale: 9 days old</t>
        </is>
      </c>
    </row>
    <row r="548">
      <c r="A548" t="inlineStr">
        <is>
          <t>WARN</t>
        </is>
      </c>
      <c r="B548" t="inlineStr">
        <is>
          <t>Country</t>
        </is>
      </c>
      <c r="C548" t="inlineStr">
        <is>
          <t>Egypt</t>
        </is>
      </c>
      <c r="D548" t="inlineStr">
        <is>
          <t>stale: 9 days old</t>
        </is>
      </c>
    </row>
    <row r="549">
      <c r="A549" t="inlineStr">
        <is>
          <t>WARN</t>
        </is>
      </c>
      <c r="B549" t="inlineStr">
        <is>
          <t>Country</t>
        </is>
      </c>
      <c r="C549" t="inlineStr">
        <is>
          <t>Kenya</t>
        </is>
      </c>
      <c r="D549" t="inlineStr">
        <is>
          <t>stale: 9 days old</t>
        </is>
      </c>
    </row>
    <row r="550">
      <c r="A550" t="inlineStr">
        <is>
          <t>WARN</t>
        </is>
      </c>
      <c r="B550" t="inlineStr">
        <is>
          <t>Country</t>
        </is>
      </c>
      <c r="C550" t="inlineStr">
        <is>
          <t>Malaysia</t>
        </is>
      </c>
      <c r="D550" t="inlineStr">
        <is>
          <t>stale: 9 days old</t>
        </is>
      </c>
    </row>
    <row r="551">
      <c r="A551" t="inlineStr">
        <is>
          <t>WARN</t>
        </is>
      </c>
      <c r="B551" t="inlineStr">
        <is>
          <t>Country</t>
        </is>
      </c>
      <c r="C551" t="inlineStr">
        <is>
          <t>Madagascar</t>
        </is>
      </c>
      <c r="D551" t="inlineStr">
        <is>
          <t>stale: 9 days old</t>
        </is>
      </c>
    </row>
    <row r="552">
      <c r="A552" t="inlineStr">
        <is>
          <t>WARN</t>
        </is>
      </c>
      <c r="B552" t="inlineStr">
        <is>
          <t>Country</t>
        </is>
      </c>
      <c r="C552" t="inlineStr">
        <is>
          <t>Mauritania</t>
        </is>
      </c>
      <c r="D552" t="inlineStr">
        <is>
          <t>stale: 9 days old</t>
        </is>
      </c>
    </row>
    <row r="553">
      <c r="A553" t="inlineStr">
        <is>
          <t>WARN</t>
        </is>
      </c>
      <c r="B553" t="inlineStr">
        <is>
          <t>Country</t>
        </is>
      </c>
      <c r="C553" t="inlineStr">
        <is>
          <t>Laos</t>
        </is>
      </c>
      <c r="D553" t="inlineStr">
        <is>
          <t>stale: 9 days old</t>
        </is>
      </c>
    </row>
    <row r="554">
      <c r="A554" t="inlineStr">
        <is>
          <t>WARN</t>
        </is>
      </c>
      <c r="B554" t="inlineStr">
        <is>
          <t>Country</t>
        </is>
      </c>
      <c r="C554" t="inlineStr">
        <is>
          <t>Sierra Leone</t>
        </is>
      </c>
      <c r="D554" t="inlineStr">
        <is>
          <t>stale: 9 days old</t>
        </is>
      </c>
    </row>
    <row r="555">
      <c r="A555" t="inlineStr">
        <is>
          <t>WARN</t>
        </is>
      </c>
      <c r="B555" t="inlineStr">
        <is>
          <t>Country</t>
        </is>
      </c>
      <c r="C555" t="inlineStr">
        <is>
          <t>Argentina</t>
        </is>
      </c>
      <c r="D555" t="inlineStr">
        <is>
          <t>stale: 9 days old</t>
        </is>
      </c>
    </row>
    <row r="556">
      <c r="A556" t="inlineStr">
        <is>
          <t>WARN</t>
        </is>
      </c>
      <c r="B556" t="inlineStr">
        <is>
          <t>Country</t>
        </is>
      </c>
      <c r="C556" t="inlineStr">
        <is>
          <t>United States</t>
        </is>
      </c>
      <c r="D556" t="inlineStr">
        <is>
          <t>stale: 9 days old</t>
        </is>
      </c>
    </row>
    <row r="557">
      <c r="A557" t="inlineStr">
        <is>
          <t>WARN</t>
        </is>
      </c>
      <c r="B557" t="inlineStr">
        <is>
          <t>Country</t>
        </is>
      </c>
      <c r="C557" t="inlineStr">
        <is>
          <t>Canada</t>
        </is>
      </c>
      <c r="D557" t="inlineStr">
        <is>
          <t>stale: 9 days old</t>
        </is>
      </c>
    </row>
    <row r="558">
      <c r="A558" t="inlineStr">
        <is>
          <t>WARN</t>
        </is>
      </c>
      <c r="B558" t="inlineStr">
        <is>
          <t>Country</t>
        </is>
      </c>
      <c r="C558" t="inlineStr">
        <is>
          <t>Brazil</t>
        </is>
      </c>
      <c r="D558" t="inlineStr">
        <is>
          <t>stale: 9 days old</t>
        </is>
      </c>
    </row>
    <row r="559">
      <c r="A559" t="inlineStr">
        <is>
          <t>WARN</t>
        </is>
      </c>
      <c r="B559" t="inlineStr">
        <is>
          <t>Country</t>
        </is>
      </c>
      <c r="C559" t="inlineStr">
        <is>
          <t>Spain</t>
        </is>
      </c>
      <c r="D559" t="inlineStr">
        <is>
          <t>stale: 9 days old</t>
        </is>
      </c>
    </row>
    <row r="560">
      <c r="A560" t="inlineStr">
        <is>
          <t>WARN</t>
        </is>
      </c>
      <c r="B560" t="inlineStr">
        <is>
          <t>Country</t>
        </is>
      </c>
      <c r="C560" t="inlineStr">
        <is>
          <t>Netherlands</t>
        </is>
      </c>
      <c r="D560" t="inlineStr">
        <is>
          <t>stale: 9 days old</t>
        </is>
      </c>
    </row>
    <row r="561">
      <c r="A561" t="inlineStr">
        <is>
          <t>WARN</t>
        </is>
      </c>
      <c r="B561" t="inlineStr">
        <is>
          <t>Country</t>
        </is>
      </c>
      <c r="C561" t="inlineStr">
        <is>
          <t>Norway</t>
        </is>
      </c>
      <c r="D561" t="inlineStr">
        <is>
          <t>stale: 9 days old</t>
        </is>
      </c>
    </row>
    <row r="562">
      <c r="A562" t="inlineStr">
        <is>
          <t>WARN</t>
        </is>
      </c>
      <c r="B562" t="inlineStr">
        <is>
          <t>Country</t>
        </is>
      </c>
      <c r="C562" t="inlineStr">
        <is>
          <t>Germany</t>
        </is>
      </c>
      <c r="D562" t="inlineStr">
        <is>
          <t>stale: 9 days old</t>
        </is>
      </c>
    </row>
    <row r="563">
      <c r="A563" t="inlineStr">
        <is>
          <t>WARN</t>
        </is>
      </c>
      <c r="B563" t="inlineStr">
        <is>
          <t>Country</t>
        </is>
      </c>
      <c r="C563" t="inlineStr">
        <is>
          <t>Switzerland</t>
        </is>
      </c>
      <c r="D563" t="inlineStr">
        <is>
          <t>stale: 9 days old</t>
        </is>
      </c>
    </row>
    <row r="564">
      <c r="A564" t="inlineStr">
        <is>
          <t>WARN</t>
        </is>
      </c>
      <c r="B564" t="inlineStr">
        <is>
          <t>Country</t>
        </is>
      </c>
      <c r="C564" t="inlineStr">
        <is>
          <t>France</t>
        </is>
      </c>
      <c r="D564" t="inlineStr">
        <is>
          <t>stale: 9 days old</t>
        </is>
      </c>
    </row>
    <row r="565">
      <c r="A565" t="inlineStr">
        <is>
          <t>WARN</t>
        </is>
      </c>
      <c r="B565" t="inlineStr">
        <is>
          <t>Stock</t>
        </is>
      </c>
      <c r="C565" t="inlineStr">
        <is>
          <t>MSTR (Long)</t>
        </is>
      </c>
      <c r="D565" t="inlineStr">
        <is>
          <t>stale: 14 days old</t>
        </is>
      </c>
    </row>
    <row r="566">
      <c r="A566" t="inlineStr">
        <is>
          <t>WARN</t>
        </is>
      </c>
      <c r="B566" t="inlineStr">
        <is>
          <t>Stock</t>
        </is>
      </c>
      <c r="C566" t="inlineStr">
        <is>
          <t>COIN (Long)</t>
        </is>
      </c>
      <c r="D566" t="inlineStr">
        <is>
          <t>stale: 14 days old</t>
        </is>
      </c>
    </row>
    <row r="567">
      <c r="A567" t="inlineStr">
        <is>
          <t>WARN</t>
        </is>
      </c>
      <c r="B567" t="inlineStr">
        <is>
          <t>Stock</t>
        </is>
      </c>
      <c r="C567" t="inlineStr">
        <is>
          <t>AMD (Long)</t>
        </is>
      </c>
      <c r="D567" t="inlineStr">
        <is>
          <t>stale: 14 days old</t>
        </is>
      </c>
    </row>
    <row r="568">
      <c r="A568" t="inlineStr">
        <is>
          <t>WARN</t>
        </is>
      </c>
      <c r="B568" t="inlineStr">
        <is>
          <t>Stock</t>
        </is>
      </c>
      <c r="C568" t="inlineStr">
        <is>
          <t>TTWO (Long)</t>
        </is>
      </c>
      <c r="D568" t="inlineStr">
        <is>
          <t>stale: 14 days old</t>
        </is>
      </c>
    </row>
    <row r="569">
      <c r="A569" t="inlineStr">
        <is>
          <t>WARN</t>
        </is>
      </c>
      <c r="B569" t="inlineStr">
        <is>
          <t>Stock</t>
        </is>
      </c>
      <c r="C569" t="inlineStr">
        <is>
          <t>SMCI (Long)</t>
        </is>
      </c>
      <c r="D569" t="inlineStr">
        <is>
          <t>stale: 14 days old</t>
        </is>
      </c>
    </row>
    <row r="570">
      <c r="A570" t="inlineStr">
        <is>
          <t>WARN</t>
        </is>
      </c>
      <c r="B570" t="inlineStr">
        <is>
          <t>Stock</t>
        </is>
      </c>
      <c r="C570" t="inlineStr">
        <is>
          <t>TSLA (Short)</t>
        </is>
      </c>
      <c r="D570" t="inlineStr">
        <is>
          <t>stale: 14 days old</t>
        </is>
      </c>
    </row>
    <row r="571">
      <c r="A571" t="inlineStr">
        <is>
          <t>WARN</t>
        </is>
      </c>
      <c r="B571" t="inlineStr">
        <is>
          <t>Stock</t>
        </is>
      </c>
      <c r="C571" t="inlineStr">
        <is>
          <t>RKLB (Long)</t>
        </is>
      </c>
      <c r="D571" t="inlineStr">
        <is>
          <t>stale: 14 days old</t>
        </is>
      </c>
    </row>
    <row r="572">
      <c r="A572" t="inlineStr">
        <is>
          <t>WARN</t>
        </is>
      </c>
      <c r="B572" t="inlineStr">
        <is>
          <t>Stock</t>
        </is>
      </c>
      <c r="C572" t="inlineStr">
        <is>
          <t>HOOD (Long)</t>
        </is>
      </c>
      <c r="D572" t="inlineStr">
        <is>
          <t>stale: 14 days old</t>
        </is>
      </c>
    </row>
    <row r="573">
      <c r="A573" t="inlineStr">
        <is>
          <t>WARN</t>
        </is>
      </c>
      <c r="B573" t="inlineStr">
        <is>
          <t>Stock</t>
        </is>
      </c>
      <c r="C573" t="inlineStr">
        <is>
          <t>TSLA (Long)</t>
        </is>
      </c>
      <c r="D573" t="inlineStr">
        <is>
          <t>stale: 14 days old</t>
        </is>
      </c>
    </row>
    <row r="574">
      <c r="A574" t="inlineStr">
        <is>
          <t>WARN</t>
        </is>
      </c>
      <c r="B574" t="inlineStr">
        <is>
          <t>Stock</t>
        </is>
      </c>
      <c r="C574" t="inlineStr">
        <is>
          <t>SOFI (Long)</t>
        </is>
      </c>
      <c r="D574" t="inlineStr">
        <is>
          <t>stale: 14 days old</t>
        </is>
      </c>
    </row>
    <row r="575">
      <c r="A575" t="inlineStr">
        <is>
          <t>WARN</t>
        </is>
      </c>
      <c r="B575" t="inlineStr">
        <is>
          <t>Stock</t>
        </is>
      </c>
      <c r="C575" t="inlineStr">
        <is>
          <t>IONQ (Long)</t>
        </is>
      </c>
      <c r="D575" t="inlineStr">
        <is>
          <t>stale: 14 days old</t>
        </is>
      </c>
    </row>
    <row r="576">
      <c r="A576" t="inlineStr">
        <is>
          <t>WARN</t>
        </is>
      </c>
      <c r="B576" t="inlineStr">
        <is>
          <t>Stock</t>
        </is>
      </c>
      <c r="C576" t="inlineStr">
        <is>
          <t>MSTR (Short)</t>
        </is>
      </c>
      <c r="D576" t="inlineStr">
        <is>
          <t>stale: 14 days old</t>
        </is>
      </c>
    </row>
    <row r="577">
      <c r="A577" t="inlineStr">
        <is>
          <t>WARN</t>
        </is>
      </c>
      <c r="B577" t="inlineStr">
        <is>
          <t>Stock</t>
        </is>
      </c>
      <c r="C577" t="inlineStr">
        <is>
          <t>CRWV (Long)</t>
        </is>
      </c>
      <c r="D577" t="inlineStr">
        <is>
          <t>stale: 14 days old</t>
        </is>
      </c>
    </row>
    <row r="578">
      <c r="A578" t="inlineStr">
        <is>
          <t>WARN</t>
        </is>
      </c>
      <c r="B578" t="inlineStr">
        <is>
          <t>Stock</t>
        </is>
      </c>
      <c r="C578" t="inlineStr">
        <is>
          <t>CVNA (Short)</t>
        </is>
      </c>
      <c r="D578" t="inlineStr">
        <is>
          <t>stale: 14 days old</t>
        </is>
      </c>
    </row>
    <row r="579">
      <c r="A579" t="inlineStr">
        <is>
          <t>WARN</t>
        </is>
      </c>
      <c r="B579" t="inlineStr">
        <is>
          <t>Stock</t>
        </is>
      </c>
      <c r="C579" t="inlineStr">
        <is>
          <t>LULU (Long)</t>
        </is>
      </c>
      <c r="D579" t="inlineStr">
        <is>
          <t>stale: 14 days old</t>
        </is>
      </c>
    </row>
    <row r="580">
      <c r="A580" t="inlineStr">
        <is>
          <t>WARN</t>
        </is>
      </c>
      <c r="B580" t="inlineStr">
        <is>
          <t>Stock</t>
        </is>
      </c>
      <c r="C580" t="inlineStr">
        <is>
          <t>PLTR (Short)</t>
        </is>
      </c>
      <c r="D580" t="inlineStr">
        <is>
          <t>stale: 14 days old</t>
        </is>
      </c>
    </row>
    <row r="581">
      <c r="A581" t="inlineStr">
        <is>
          <t>WARN</t>
        </is>
      </c>
      <c r="B581" t="inlineStr">
        <is>
          <t>Stock</t>
        </is>
      </c>
      <c r="C581" t="inlineStr">
        <is>
          <t>OKLO (Long)</t>
        </is>
      </c>
      <c r="D581" t="inlineStr">
        <is>
          <t>stale: 14 days old</t>
        </is>
      </c>
    </row>
    <row r="582">
      <c r="A582" t="inlineStr">
        <is>
          <t>WARN</t>
        </is>
      </c>
      <c r="B582" t="inlineStr">
        <is>
          <t>Stock</t>
        </is>
      </c>
      <c r="C582" t="inlineStr">
        <is>
          <t>NVDA (Long)</t>
        </is>
      </c>
      <c r="D582" t="inlineStr">
        <is>
          <t>stale: 14 days old</t>
        </is>
      </c>
    </row>
    <row r="583">
      <c r="A583" t="inlineStr">
        <is>
          <t>WARN</t>
        </is>
      </c>
      <c r="B583" t="inlineStr">
        <is>
          <t>Stock</t>
        </is>
      </c>
      <c r="C583" t="inlineStr">
        <is>
          <t>CMG (Long)</t>
        </is>
      </c>
      <c r="D583" t="inlineStr">
        <is>
          <t>stale: 14 days old</t>
        </is>
      </c>
    </row>
    <row r="584">
      <c r="A584" t="inlineStr">
        <is>
          <t>WARN</t>
        </is>
      </c>
      <c r="B584" t="inlineStr">
        <is>
          <t>Stock</t>
        </is>
      </c>
      <c r="C584" t="inlineStr">
        <is>
          <t>CRCL (Long)</t>
        </is>
      </c>
      <c r="D584" t="inlineStr">
        <is>
          <t>stale: 14 days old</t>
        </is>
      </c>
    </row>
    <row r="585">
      <c r="A585" t="inlineStr">
        <is>
          <t>WARN</t>
        </is>
      </c>
      <c r="B585" t="inlineStr">
        <is>
          <t>Stock</t>
        </is>
      </c>
      <c r="C585" t="inlineStr">
        <is>
          <t>UNH (Long)</t>
        </is>
      </c>
      <c r="D585" t="inlineStr">
        <is>
          <t>stale: 14 days old</t>
        </is>
      </c>
    </row>
    <row r="586">
      <c r="A586" t="inlineStr">
        <is>
          <t>WARN</t>
        </is>
      </c>
      <c r="B586" t="inlineStr">
        <is>
          <t>Stock</t>
        </is>
      </c>
      <c r="C586" t="inlineStr">
        <is>
          <t>INTC (Long)</t>
        </is>
      </c>
      <c r="D586" t="inlineStr">
        <is>
          <t>stale: 14 days old</t>
        </is>
      </c>
    </row>
    <row r="587">
      <c r="A587" t="inlineStr">
        <is>
          <t>WARN</t>
        </is>
      </c>
      <c r="B587" t="inlineStr">
        <is>
          <t>Stock</t>
        </is>
      </c>
      <c r="C587" t="inlineStr">
        <is>
          <t>PLTR (Long)</t>
        </is>
      </c>
      <c r="D587" t="inlineStr">
        <is>
          <t>stale: 14 days old</t>
        </is>
      </c>
    </row>
    <row r="588">
      <c r="A588" t="inlineStr">
        <is>
          <t>WARN</t>
        </is>
      </c>
      <c r="B588" t="inlineStr">
        <is>
          <t>Stock</t>
        </is>
      </c>
      <c r="C588" t="inlineStr">
        <is>
          <t>MU (Long)</t>
        </is>
      </c>
      <c r="D588" t="inlineStr">
        <is>
          <t>stale: 14 days old</t>
        </is>
      </c>
    </row>
    <row r="589">
      <c r="A589" t="inlineStr">
        <is>
          <t>WARN</t>
        </is>
      </c>
      <c r="B589" t="inlineStr">
        <is>
          <t>Stock</t>
        </is>
      </c>
      <c r="C589" t="inlineStr">
        <is>
          <t>AVGO (Long)</t>
        </is>
      </c>
      <c r="D589" t="inlineStr">
        <is>
          <t>stale: 14 days old</t>
        </is>
      </c>
    </row>
    <row r="590">
      <c r="A590" t="inlineStr">
        <is>
          <t>WARN</t>
        </is>
      </c>
      <c r="B590" t="inlineStr">
        <is>
          <t>Stock</t>
        </is>
      </c>
      <c r="C590" t="inlineStr">
        <is>
          <t>NEE (Long)</t>
        </is>
      </c>
      <c r="D590" t="inlineStr">
        <is>
          <t>stale: 14 days old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4" customWidth="1" min="1" max="1"/>
    <col width="44" customWidth="1" min="2" max="2"/>
  </cols>
  <sheetData>
    <row r="1">
      <c r="A1" s="2" t="inlineStr">
        <is>
          <t>Alias (what you might type / sources use)</t>
        </is>
      </c>
      <c r="B1" s="2" t="inlineStr">
        <is>
          <t>Canonical (what the board uses)</t>
        </is>
      </c>
    </row>
    <row r="2">
      <c r="A2" t="inlineStr">
        <is>
          <t>Miami</t>
        </is>
      </c>
      <c r="B2" t="inlineStr">
        <is>
          <t>Miami (FL)</t>
        </is>
      </c>
    </row>
    <row r="3">
      <c r="A3" t="inlineStr">
        <is>
          <t>Minnesota United</t>
        </is>
      </c>
      <c r="B3" t="inlineStr">
        <is>
          <t>Minnesota United FC</t>
        </is>
      </c>
    </row>
    <row r="4">
      <c r="A4" t="inlineStr">
        <is>
          <t>Orlando City</t>
        </is>
      </c>
      <c r="B4" t="inlineStr">
        <is>
          <t>Orlando City SC</t>
        </is>
      </c>
    </row>
    <row r="5">
      <c r="A5" t="inlineStr">
        <is>
          <t>Inter Miami</t>
        </is>
      </c>
      <c r="B5" t="inlineStr">
        <is>
          <t>Inter Miami CF</t>
        </is>
      </c>
    </row>
    <row r="6">
      <c r="A6" t="inlineStr">
        <is>
          <t>Vancouver Whitecaps</t>
        </is>
      </c>
      <c r="B6" t="inlineStr">
        <is>
          <t>Vancouver Whitecaps FC</t>
        </is>
      </c>
    </row>
    <row r="7">
      <c r="A7" t="inlineStr">
        <is>
          <t>Seattle Sounders</t>
        </is>
      </c>
      <c r="B7" t="inlineStr">
        <is>
          <t>Seattle Sounders FC</t>
        </is>
      </c>
    </row>
    <row r="8">
      <c r="A8" t="inlineStr">
        <is>
          <t>LAFC</t>
        </is>
      </c>
      <c r="B8" t="inlineStr">
        <is>
          <t>Los Angeles FC</t>
        </is>
      </c>
    </row>
    <row r="9">
      <c r="A9" t="inlineStr">
        <is>
          <t>Timothee Chalamet</t>
        </is>
      </c>
      <c r="B9" t="inlineStr">
        <is>
          <t>Timothée Chalamet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2026-10-22T16:26:49Z</dcterms:created>
  <dcterms:modified xsi:type="dcterms:W3CDTF">2026-10-22T16:26:49Z</dcterms:modified>
</cp:coreProperties>
</file>